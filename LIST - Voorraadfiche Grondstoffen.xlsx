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zicht" sheetId="1" r:id="rId5"/>
    <sheet state="visible" name="Leveranciers" sheetId="2" r:id="rId6"/>
    <sheet state="visible" name="Kostprijsberekening" sheetId="3" r:id="rId7"/>
    <sheet state="visible" name="Granen" sheetId="4" r:id="rId8"/>
    <sheet state="visible" name="Gist" sheetId="5" r:id="rId9"/>
    <sheet state="visible" name="Hop" sheetId="6" r:id="rId10"/>
    <sheet state="visible" name="Toevoegingen" sheetId="7" r:id="rId11"/>
    <sheet state="visible" name="Verpakkingen" sheetId="8" r:id="rId12"/>
    <sheet state="hidden" name="Grondstoffen" sheetId="9" r:id="rId13"/>
    <sheet state="hidden" name="Uitleg" sheetId="10" r:id="rId14"/>
    <sheet state="hidden" name="0 - Template" sheetId="11" r:id="rId15"/>
    <sheet state="hidden" name="001 - Pilsmout" sheetId="12" r:id="rId16"/>
    <sheet state="hidden" name="002 - Tarwemout" sheetId="13" r:id="rId17"/>
    <sheet state="visible" name="Grondstof soorten" sheetId="14" r:id="rId18"/>
    <sheet state="hidden" name="003 - CaraAroma" sheetId="15" r:id="rId19"/>
    <sheet state="hidden" name="004 - Munich mout" sheetId="16" r:id="rId20"/>
    <sheet state="hidden" name="005 - Witte haver" sheetId="17" r:id="rId21"/>
    <sheet state="hidden" name="006 - CaraGold" sheetId="18" r:id="rId22"/>
    <sheet state="hidden" name="007 - CaraBody" sheetId="19" r:id="rId23"/>
    <sheet state="hidden" name="008 - Biscuit" sheetId="20" r:id="rId24"/>
    <sheet state="hidden" name="009 - Chocolate Dark" sheetId="21" r:id="rId25"/>
    <sheet state="hidden" name="101 - Mandarina Bavaria" sheetId="22" r:id="rId26"/>
    <sheet state="hidden" name="102 - Galaxy" sheetId="23" r:id="rId27"/>
    <sheet state="hidden" name="103 - Idaho7" sheetId="24" r:id="rId28"/>
    <sheet state="hidden" name="104 - Citra" sheetId="25" r:id="rId29"/>
  </sheets>
  <definedNames/>
  <calcPr/>
</workbook>
</file>

<file path=xl/sharedStrings.xml><?xml version="1.0" encoding="utf-8"?>
<sst xmlns="http://schemas.openxmlformats.org/spreadsheetml/2006/main" count="2772" uniqueCount="573">
  <si>
    <t>Overzicht grondstoffen</t>
  </si>
  <si>
    <t>Man &amp; Brouw</t>
  </si>
  <si>
    <t>BE0778.696.105</t>
  </si>
  <si>
    <t>entrepotnr:</t>
  </si>
  <si>
    <t>Granen</t>
  </si>
  <si>
    <t>aangekocht [kg]</t>
  </si>
  <si>
    <t>gebruikt [kg]</t>
  </si>
  <si>
    <t>voorraad [kg]</t>
  </si>
  <si>
    <t>Hop</t>
  </si>
  <si>
    <t>Toevoegingen</t>
  </si>
  <si>
    <t>voorraad</t>
  </si>
  <si>
    <t>Gist</t>
  </si>
  <si>
    <t>Verpakkingen</t>
  </si>
  <si>
    <t xml:space="preserve">aangekocht </t>
  </si>
  <si>
    <t xml:space="preserve">gebruikt </t>
  </si>
  <si>
    <t>Lijst van leveranciers</t>
  </si>
  <si>
    <t>Naam</t>
  </si>
  <si>
    <t>Adres</t>
  </si>
  <si>
    <t>contactpersoon</t>
  </si>
  <si>
    <t>telefoon</t>
  </si>
  <si>
    <t xml:space="preserve">mail </t>
  </si>
  <si>
    <t>KBO</t>
  </si>
  <si>
    <t>FAVV registratienummer</t>
  </si>
  <si>
    <t>LV Janssens - Dormaalhof</t>
  </si>
  <si>
    <t>Caubergstraat 2 3150 Haacht</t>
  </si>
  <si>
    <t>Dries Janssens</t>
  </si>
  <si>
    <t>0497359423</t>
  </si>
  <si>
    <t>dries@hoftendormaal.com</t>
  </si>
  <si>
    <t>BE0560669797</t>
  </si>
  <si>
    <t>2.234.204.958</t>
  </si>
  <si>
    <t>Brouwland BV</t>
  </si>
  <si>
    <t>Korpelsesteenweg 86 3581 Beverlo</t>
  </si>
  <si>
    <t>011401408</t>
  </si>
  <si>
    <t>profsales@brouwland.com</t>
  </si>
  <si>
    <t>BE0412461618</t>
  </si>
  <si>
    <t>2.038.594.164</t>
  </si>
  <si>
    <t>HVB-IMTC BV</t>
  </si>
  <si>
    <t>Kasteelstraat 21 9870 Olsene</t>
  </si>
  <si>
    <t>092302770</t>
  </si>
  <si>
    <t>info@hvb-imtc.be</t>
  </si>
  <si>
    <t>BE0693813779</t>
  </si>
  <si>
    <t>2.274.409.775</t>
  </si>
  <si>
    <t>Brouwerij De Coureur</t>
  </si>
  <si>
    <t>Borstelstraat 20 bus 001 3010 Kessel-Lo</t>
  </si>
  <si>
    <t>Bart Delvaux</t>
  </si>
  <si>
    <t>0485178695</t>
  </si>
  <si>
    <t>brouwerijdecoureur@gmail.com</t>
  </si>
  <si>
    <t>BE0713410551</t>
  </si>
  <si>
    <t>2.281.451.282</t>
  </si>
  <si>
    <t>Solucious SA NV</t>
  </si>
  <si>
    <t>Edingensesteenweg 196 1500 Halle</t>
  </si>
  <si>
    <t>023338888</t>
  </si>
  <si>
    <t>info@solucious.be</t>
  </si>
  <si>
    <t>BE0448692207</t>
  </si>
  <si>
    <t>2.359.957.342</t>
  </si>
  <si>
    <t>Pit &amp; Pit</t>
  </si>
  <si>
    <t>Putten 27 2320 Hoogstraten</t>
  </si>
  <si>
    <t>BE0505805213</t>
  </si>
  <si>
    <t>Aarschotsesteenweg 179 3012 Wilsele</t>
  </si>
  <si>
    <t>Sibren De Bast</t>
  </si>
  <si>
    <t>Nr brouwsel</t>
  </si>
  <si>
    <t>Kostprijs grondstoffen</t>
  </si>
  <si>
    <t>Kostprijs verpakking</t>
  </si>
  <si>
    <t>Totale kostprijs</t>
  </si>
  <si>
    <t>2023/001</t>
  </si>
  <si>
    <t>2023/002</t>
  </si>
  <si>
    <t>2023/003</t>
  </si>
  <si>
    <t>2023/004</t>
  </si>
  <si>
    <t>2023/005</t>
  </si>
  <si>
    <t>2023/006</t>
  </si>
  <si>
    <t>2023/007</t>
  </si>
  <si>
    <t>2023/008</t>
  </si>
  <si>
    <t>2023/009</t>
  </si>
  <si>
    <t>2023/010</t>
  </si>
  <si>
    <t>2023/011</t>
  </si>
  <si>
    <t>2023/012</t>
  </si>
  <si>
    <t>2024/001</t>
  </si>
  <si>
    <t>2024/002</t>
  </si>
  <si>
    <t>2024/003</t>
  </si>
  <si>
    <t>2024/004</t>
  </si>
  <si>
    <t>2024/005</t>
  </si>
  <si>
    <t>2024/006</t>
  </si>
  <si>
    <t>2024/007</t>
  </si>
  <si>
    <t>2024/008</t>
  </si>
  <si>
    <t>2024/009</t>
  </si>
  <si>
    <t>2024/010</t>
  </si>
  <si>
    <t>2024/011</t>
  </si>
  <si>
    <t>2024/012</t>
  </si>
  <si>
    <t>2025/001</t>
  </si>
  <si>
    <t>2025/002</t>
  </si>
  <si>
    <t>2025/003</t>
  </si>
  <si>
    <t>2025/004</t>
  </si>
  <si>
    <t>2025/005</t>
  </si>
  <si>
    <t>2025/006</t>
  </si>
  <si>
    <t>2025/007</t>
  </si>
  <si>
    <t>2025/008</t>
  </si>
  <si>
    <t>2025/009</t>
  </si>
  <si>
    <t>2025/010</t>
  </si>
  <si>
    <t>2025/011</t>
  </si>
  <si>
    <t>2025/012</t>
  </si>
  <si>
    <t>2025/013</t>
  </si>
  <si>
    <t>2025/014</t>
  </si>
  <si>
    <t>IN</t>
  </si>
  <si>
    <t>OUT</t>
  </si>
  <si>
    <t>Nr inslagbon</t>
  </si>
  <si>
    <t>Factuur nummer</t>
  </si>
  <si>
    <t>Naam ontvanger</t>
  </si>
  <si>
    <t>Datum</t>
  </si>
  <si>
    <t>Leverancier</t>
  </si>
  <si>
    <t>Fabricant</t>
  </si>
  <si>
    <t>Soort</t>
  </si>
  <si>
    <t>Lot</t>
  </si>
  <si>
    <t>Houdbaar tot</t>
  </si>
  <si>
    <t>Hoeveelheid [kg]</t>
  </si>
  <si>
    <t>Kostprijs [€]</t>
  </si>
  <si>
    <t>Afwijking?</t>
  </si>
  <si>
    <t>Actie?</t>
  </si>
  <si>
    <t>Opmerkingen</t>
  </si>
  <si>
    <t>Nr Brouwsel</t>
  </si>
  <si>
    <t>A2023007</t>
  </si>
  <si>
    <t>Tom</t>
  </si>
  <si>
    <t>Hof Ten Dormaal</t>
  </si>
  <si>
    <t>Pilsmout</t>
  </si>
  <si>
    <t>23-004</t>
  </si>
  <si>
    <t>Tarwemout</t>
  </si>
  <si>
    <t>23-011</t>
  </si>
  <si>
    <t>23-008</t>
  </si>
  <si>
    <t>Munich</t>
  </si>
  <si>
    <t>22-086</t>
  </si>
  <si>
    <t>A2023005</t>
  </si>
  <si>
    <t>Sibren</t>
  </si>
  <si>
    <t>Brouwland</t>
  </si>
  <si>
    <t>Weyermann</t>
  </si>
  <si>
    <t>CaraAroma</t>
  </si>
  <si>
    <t>Y017</t>
  </si>
  <si>
    <t>Verpakking</t>
  </si>
  <si>
    <t>Rechtzetting</t>
  </si>
  <si>
    <t>verpakking gescheurd</t>
  </si>
  <si>
    <t>Witte Haver</t>
  </si>
  <si>
    <t>22-016</t>
  </si>
  <si>
    <t>Castle Malting</t>
  </si>
  <si>
    <t>CaraGold</t>
  </si>
  <si>
    <t>M221200246</t>
  </si>
  <si>
    <t>Viking</t>
  </si>
  <si>
    <t>CaraBody</t>
  </si>
  <si>
    <t>BA/2022-01-27/cb</t>
  </si>
  <si>
    <t>Biscuit</t>
  </si>
  <si>
    <t>BA/M221000179</t>
  </si>
  <si>
    <t>BA/M230100326</t>
  </si>
  <si>
    <t>Chocolate Dark</t>
  </si>
  <si>
    <t>BA/20221010/C212</t>
  </si>
  <si>
    <t>BA/20221010/CZ12</t>
  </si>
  <si>
    <t>A2023014</t>
  </si>
  <si>
    <t>22-120</t>
  </si>
  <si>
    <t>a2023014</t>
  </si>
  <si>
    <t xml:space="preserve">Tarwe </t>
  </si>
  <si>
    <t>22-055</t>
  </si>
  <si>
    <t>a2023021</t>
  </si>
  <si>
    <t>23-031</t>
  </si>
  <si>
    <t>Hof ten Dormaal</t>
  </si>
  <si>
    <t>22-116</t>
  </si>
  <si>
    <t>/</t>
  </si>
  <si>
    <t>Bakkerij Apers</t>
  </si>
  <si>
    <t>Oud brood</t>
  </si>
  <si>
    <t>A2023045</t>
  </si>
  <si>
    <t>BA-M230100398</t>
  </si>
  <si>
    <t>-</t>
  </si>
  <si>
    <t>Uit stock gehaald na QC</t>
  </si>
  <si>
    <t>23-041</t>
  </si>
  <si>
    <t>23-042</t>
  </si>
  <si>
    <t>BAM230700063</t>
  </si>
  <si>
    <t>BAZR070113198</t>
  </si>
  <si>
    <t>BA-Y292</t>
  </si>
  <si>
    <t>BA-M230900019</t>
  </si>
  <si>
    <t>Chateau</t>
  </si>
  <si>
    <t>M231000327</t>
  </si>
  <si>
    <t>Havervlokken</t>
  </si>
  <si>
    <t>CaraAmber</t>
  </si>
  <si>
    <t>Y264</t>
  </si>
  <si>
    <t>Caramel 30</t>
  </si>
  <si>
    <t>BA-2023-05-04/90</t>
  </si>
  <si>
    <t>24-008</t>
  </si>
  <si>
    <t>fermentationculture.eu</t>
  </si>
  <si>
    <t>Luvi Fermente</t>
  </si>
  <si>
    <t>parelgerst</t>
  </si>
  <si>
    <t>AT-BIO-401</t>
  </si>
  <si>
    <t>Brouwerij de Coureur</t>
  </si>
  <si>
    <t>Mouterij Dingemans</t>
  </si>
  <si>
    <t>Cara 50 MD</t>
  </si>
  <si>
    <t>Belgomalt</t>
  </si>
  <si>
    <t>23.12050.M1.0060-70</t>
  </si>
  <si>
    <t>lot moeilijk leesbaar</t>
  </si>
  <si>
    <t>Malterie du chateau</t>
  </si>
  <si>
    <t>Asia &amp; More</t>
  </si>
  <si>
    <t>Misako</t>
  </si>
  <si>
    <t>Sushi rijst</t>
  </si>
  <si>
    <t>ASia &amp; More</t>
  </si>
  <si>
    <t>24-017</t>
  </si>
  <si>
    <t>24-015</t>
  </si>
  <si>
    <t>Delhaize</t>
  </si>
  <si>
    <t>PRO20710_2</t>
  </si>
  <si>
    <t>24/015</t>
  </si>
  <si>
    <t>24/008</t>
  </si>
  <si>
    <t>24/023</t>
  </si>
  <si>
    <t>Colruyt</t>
  </si>
  <si>
    <t>Everyday</t>
  </si>
  <si>
    <t>Spelt</t>
  </si>
  <si>
    <t>Maselis</t>
  </si>
  <si>
    <t>20250206 0016 1035</t>
  </si>
  <si>
    <t>M2410000751</t>
  </si>
  <si>
    <t>Brewferm</t>
  </si>
  <si>
    <t>rijsthulzen</t>
  </si>
  <si>
    <t>nvt</t>
  </si>
  <si>
    <t>B1RB-2013325</t>
  </si>
  <si>
    <t>250825 1158 219</t>
  </si>
  <si>
    <t>Carafa Special</t>
  </si>
  <si>
    <t>BAB156</t>
  </si>
  <si>
    <t>waterschade</t>
  </si>
  <si>
    <t>vervallen</t>
  </si>
  <si>
    <t>2026/001</t>
  </si>
  <si>
    <t>2026/002</t>
  </si>
  <si>
    <t>Lallemand</t>
  </si>
  <si>
    <t>Verdant IPA</t>
  </si>
  <si>
    <t>45806741027711X</t>
  </si>
  <si>
    <t>Fermentis</t>
  </si>
  <si>
    <t>LP652</t>
  </si>
  <si>
    <t>Coureur</t>
  </si>
  <si>
    <t>S-04</t>
  </si>
  <si>
    <t>2000657 KB</t>
  </si>
  <si>
    <t>A2023012</t>
  </si>
  <si>
    <t>WB-06</t>
  </si>
  <si>
    <t>04/25</t>
  </si>
  <si>
    <t>A2023030</t>
  </si>
  <si>
    <t>HVB</t>
  </si>
  <si>
    <t>BE-256</t>
  </si>
  <si>
    <t>De coureur</t>
  </si>
  <si>
    <t>S-33</t>
  </si>
  <si>
    <t>AJH7200848</t>
  </si>
  <si>
    <t>rest van de coureur</t>
  </si>
  <si>
    <t>US-05</t>
  </si>
  <si>
    <t>AJH152201209</t>
  </si>
  <si>
    <t>AJH52300276</t>
  </si>
  <si>
    <t>Voss Kveik</t>
  </si>
  <si>
    <t>45708840430611V</t>
  </si>
  <si>
    <t>Aspergillus Luchuensis</t>
  </si>
  <si>
    <t>AJ H5 2301006</t>
  </si>
  <si>
    <t>220633311 1959</t>
  </si>
  <si>
    <t>BE-134</t>
  </si>
  <si>
    <t>bl2200001a</t>
  </si>
  <si>
    <t>De Coureur</t>
  </si>
  <si>
    <t>HJH32300349</t>
  </si>
  <si>
    <t>Mangrove Jack</t>
  </si>
  <si>
    <t>cider M02</t>
  </si>
  <si>
    <t>MAC202500067</t>
  </si>
  <si>
    <t>H6AJ24VI0488</t>
  </si>
  <si>
    <t>WHC Lab</t>
  </si>
  <si>
    <t>Apres-Ski</t>
  </si>
  <si>
    <t>WHCAS3072414</t>
  </si>
  <si>
    <t>BL2300001A</t>
  </si>
  <si>
    <t>repitch</t>
  </si>
  <si>
    <t>Mandarina Bavaria</t>
  </si>
  <si>
    <t>22-0125</t>
  </si>
  <si>
    <t>Galaxy</t>
  </si>
  <si>
    <t>VX16</t>
  </si>
  <si>
    <t>Idaho7</t>
  </si>
  <si>
    <t>Citra</t>
  </si>
  <si>
    <t>Styrian Dana</t>
  </si>
  <si>
    <t>HPP2095-01</t>
  </si>
  <si>
    <t>A2023021</t>
  </si>
  <si>
    <t>Magnum</t>
  </si>
  <si>
    <t>Magnum 2022</t>
  </si>
  <si>
    <t>A2023036</t>
  </si>
  <si>
    <t>Hallertau Blanc</t>
  </si>
  <si>
    <t>22-481</t>
  </si>
  <si>
    <t>Styrian Dragon</t>
  </si>
  <si>
    <t>Calista</t>
  </si>
  <si>
    <t>22-567</t>
  </si>
  <si>
    <t>Solero</t>
  </si>
  <si>
    <t>22-0127</t>
  </si>
  <si>
    <t>Barbe Rouge</t>
  </si>
  <si>
    <t>22-0055</t>
  </si>
  <si>
    <t>Motueka</t>
  </si>
  <si>
    <t>PM22-L01-MOT</t>
  </si>
  <si>
    <t>Nelson Sauvin</t>
  </si>
  <si>
    <t>PM22-L01-NS</t>
  </si>
  <si>
    <t>Cashmere</t>
  </si>
  <si>
    <t>Crystal</t>
  </si>
  <si>
    <t>Hallertau Cascade</t>
  </si>
  <si>
    <t>23-230</t>
  </si>
  <si>
    <t>22-0127_1</t>
  </si>
  <si>
    <t>Bobek</t>
  </si>
  <si>
    <t>Styrian Kolibri</t>
  </si>
  <si>
    <t>HPP 2053-01</t>
  </si>
  <si>
    <t>Yakima</t>
  </si>
  <si>
    <t>Talus</t>
  </si>
  <si>
    <t>Pacific Jade</t>
  </si>
  <si>
    <t>24DE/2023/10014</t>
  </si>
  <si>
    <t>Sabro</t>
  </si>
  <si>
    <t>L12-NS</t>
  </si>
  <si>
    <t>VA23-0133</t>
  </si>
  <si>
    <t>31-12-0206</t>
  </si>
  <si>
    <t>pe01848</t>
  </si>
  <si>
    <t>va23-580</t>
  </si>
  <si>
    <t>Tuinhop</t>
  </si>
  <si>
    <t>Tuin2025</t>
  </si>
  <si>
    <t>24-0203</t>
  </si>
  <si>
    <t>Ariana</t>
  </si>
  <si>
    <t>23-0039</t>
  </si>
  <si>
    <t>Tango</t>
  </si>
  <si>
    <t>VA1-370</t>
  </si>
  <si>
    <t>DEH HBC</t>
  </si>
  <si>
    <t>crop 2024</t>
  </si>
  <si>
    <t>Fabrikant</t>
  </si>
  <si>
    <t>Candico</t>
  </si>
  <si>
    <t>Bruine suiker</t>
  </si>
  <si>
    <t>15L225225500</t>
  </si>
  <si>
    <t>A2023031</t>
  </si>
  <si>
    <t>Appelsienen</t>
  </si>
  <si>
    <t>1856 P12M1</t>
  </si>
  <si>
    <t>Witte suiker</t>
  </si>
  <si>
    <t>L1530400 3</t>
  </si>
  <si>
    <t>Limoen</t>
  </si>
  <si>
    <t>35101041002230014</t>
  </si>
  <si>
    <t>Marsel</t>
  </si>
  <si>
    <t>Grof zeezout</t>
  </si>
  <si>
    <t>L23032D</t>
  </si>
  <si>
    <t>A2023008</t>
  </si>
  <si>
    <t>CacaoSupply</t>
  </si>
  <si>
    <t>cacaobonen</t>
  </si>
  <si>
    <t>OBC-NI-002</t>
  </si>
  <si>
    <t>A2023022</t>
  </si>
  <si>
    <t>VanBeekumSpecerijen</t>
  </si>
  <si>
    <t>Speculaaskruiden</t>
  </si>
  <si>
    <t>Rabarber</t>
  </si>
  <si>
    <t>CHM-23-090-A</t>
  </si>
  <si>
    <t>A2023016</t>
  </si>
  <si>
    <t>FineFoodsOnline</t>
  </si>
  <si>
    <t>CH-23000621</t>
  </si>
  <si>
    <t>TiefKuhlKost</t>
  </si>
  <si>
    <t>A2023018</t>
  </si>
  <si>
    <t>Aldi</t>
  </si>
  <si>
    <t>06L225232500</t>
  </si>
  <si>
    <t>L1534300</t>
  </si>
  <si>
    <t>Boni</t>
  </si>
  <si>
    <t>Frambozen diepvries</t>
  </si>
  <si>
    <t>Sosa</t>
  </si>
  <si>
    <t>yuzu aroma</t>
  </si>
  <si>
    <t>L8AR23192</t>
  </si>
  <si>
    <t>BOS FOOD</t>
  </si>
  <si>
    <t>oranjebloesem</t>
  </si>
  <si>
    <t>PA0111353</t>
  </si>
  <si>
    <t>Bakker Barendrecht BV</t>
  </si>
  <si>
    <t>Bhut Jolokia</t>
  </si>
  <si>
    <t>BH2024</t>
  </si>
  <si>
    <t>Peperhof</t>
  </si>
  <si>
    <t>mandarijnen</t>
  </si>
  <si>
    <t>mandarijn aroma</t>
  </si>
  <si>
    <t>L8AR23327</t>
  </si>
  <si>
    <t>Japanse duizendknoop</t>
  </si>
  <si>
    <t>duizend-001</t>
  </si>
  <si>
    <t>Zelf</t>
  </si>
  <si>
    <t>zelf geplukt</t>
  </si>
  <si>
    <t>pompelmoes</t>
  </si>
  <si>
    <t>L1541700</t>
  </si>
  <si>
    <t>Ronny</t>
  </si>
  <si>
    <t>Renders Guy</t>
  </si>
  <si>
    <t>Kersen</t>
  </si>
  <si>
    <t>Baktotaal</t>
  </si>
  <si>
    <t>Brand new cake</t>
  </si>
  <si>
    <t>Tonkabonen</t>
  </si>
  <si>
    <t>BNC01197200401</t>
  </si>
  <si>
    <t>Pompelmoesmunt</t>
  </si>
  <si>
    <t>pompelmoesmunt001</t>
  </si>
  <si>
    <t>eiegn kweek</t>
  </si>
  <si>
    <t>Dropwinkel</t>
  </si>
  <si>
    <t>King</t>
  </si>
  <si>
    <t>King mints</t>
  </si>
  <si>
    <t>Green Sichuan Pepper</t>
  </si>
  <si>
    <t>ChuanChen</t>
  </si>
  <si>
    <t>Special Gunpowder</t>
  </si>
  <si>
    <t>groene thee</t>
  </si>
  <si>
    <t>Nature's best harvest</t>
  </si>
  <si>
    <t>jasmijn</t>
  </si>
  <si>
    <t>HK 13.001.041</t>
  </si>
  <si>
    <t>Eigen kweek</t>
  </si>
  <si>
    <t>Kamillebloemen</t>
  </si>
  <si>
    <t>MB202501</t>
  </si>
  <si>
    <t>R354</t>
  </si>
  <si>
    <t>Bloedappelsiensap</t>
  </si>
  <si>
    <t>0152013-2-120</t>
  </si>
  <si>
    <t>Bloedappelsienen</t>
  </si>
  <si>
    <t>Y25W04D01</t>
  </si>
  <si>
    <t>Boni Bio</t>
  </si>
  <si>
    <t>Onan</t>
  </si>
  <si>
    <t>koffie</t>
  </si>
  <si>
    <t>vanillestokjes.be</t>
  </si>
  <si>
    <t>vanille</t>
  </si>
  <si>
    <t>MAD25</t>
  </si>
  <si>
    <t>limoen</t>
  </si>
  <si>
    <t>Bas Boer Noten</t>
  </si>
  <si>
    <t>CA07022025</t>
  </si>
  <si>
    <t>appelsap</t>
  </si>
  <si>
    <t>oogst_2024</t>
  </si>
  <si>
    <t>Most Cider</t>
  </si>
  <si>
    <t xml:space="preserve">Asian Century </t>
  </si>
  <si>
    <t>Gember</t>
  </si>
  <si>
    <t>D13051</t>
  </si>
  <si>
    <t>vers</t>
  </si>
  <si>
    <t>Citroengras</t>
  </si>
  <si>
    <t>D13061</t>
  </si>
  <si>
    <t>Notenshop</t>
  </si>
  <si>
    <t>kokosnoot</t>
  </si>
  <si>
    <t>BVBA de fruittoren</t>
  </si>
  <si>
    <t>abrikoos</t>
  </si>
  <si>
    <t xml:space="preserve">citroen </t>
  </si>
  <si>
    <t>citroen25</t>
  </si>
  <si>
    <t>pompelmoesmunt002</t>
  </si>
  <si>
    <t>Solucious</t>
  </si>
  <si>
    <t>Dono Vicente</t>
  </si>
  <si>
    <t>aardbei</t>
  </si>
  <si>
    <t>Tasmaanse Bergpeper</t>
  </si>
  <si>
    <t>LWL2WHFE8</t>
  </si>
  <si>
    <t>Zwarte Peper Tellicherry</t>
  </si>
  <si>
    <t>LWQQUD7FZ</t>
  </si>
  <si>
    <t>Zwarte Peper Lampong</t>
  </si>
  <si>
    <t>LWPFBCTX7</t>
  </si>
  <si>
    <t>eigen kweek</t>
  </si>
  <si>
    <t>hotsauce</t>
  </si>
  <si>
    <t>HS_3/12/2025</t>
  </si>
  <si>
    <t>Pardijszaad</t>
  </si>
  <si>
    <t>L-WRNRQISU</t>
  </si>
  <si>
    <t>L-WUCI78DU</t>
  </si>
  <si>
    <t>Timut peper</t>
  </si>
  <si>
    <t>L-WTJWBOIX</t>
  </si>
  <si>
    <t xml:space="preserve">Hoeveelheid </t>
  </si>
  <si>
    <t>Hoeveelheid</t>
  </si>
  <si>
    <t>A2023011</t>
  </si>
  <si>
    <t>Braumarkt</t>
  </si>
  <si>
    <t>Fles vichy 33cl</t>
  </si>
  <si>
    <t>Say yes to the fles</t>
  </si>
  <si>
    <t>A2023010</t>
  </si>
  <si>
    <t>Fles Longneck 33cl</t>
  </si>
  <si>
    <t>kroonkurk wit</t>
  </si>
  <si>
    <t>A2023009</t>
  </si>
  <si>
    <t>KeyKeg</t>
  </si>
  <si>
    <t>keykeg 20l</t>
  </si>
  <si>
    <t>LWB02</t>
  </si>
  <si>
    <t>Fiere Margarita</t>
  </si>
  <si>
    <t>A2023017</t>
  </si>
  <si>
    <t>Leerdam</t>
  </si>
  <si>
    <t>LWC03</t>
  </si>
  <si>
    <t>Orangette</t>
  </si>
  <si>
    <t>Dozen 24st APO</t>
  </si>
  <si>
    <t>Rest van vroeger</t>
  </si>
  <si>
    <t>Fraulein Barbara</t>
  </si>
  <si>
    <t>Fles belge 75cl</t>
  </si>
  <si>
    <t>Polsinelli</t>
  </si>
  <si>
    <t>Doos trio 75cl</t>
  </si>
  <si>
    <t>SCP0102.30</t>
  </si>
  <si>
    <t>S81280771</t>
  </si>
  <si>
    <t>intern</t>
  </si>
  <si>
    <t>Corny keg 19l</t>
  </si>
  <si>
    <t>MB001</t>
  </si>
  <si>
    <t>Gekuist</t>
  </si>
  <si>
    <t>Ariadne</t>
  </si>
  <si>
    <t>017.358.3</t>
  </si>
  <si>
    <t>012.235.100</t>
  </si>
  <si>
    <t>o2 absorberen</t>
  </si>
  <si>
    <t>Framblij</t>
  </si>
  <si>
    <t>017.358.3B</t>
  </si>
  <si>
    <t>Keykeg</t>
  </si>
  <si>
    <t>HVB-IMTC</t>
  </si>
  <si>
    <t>Speculotje</t>
  </si>
  <si>
    <t>FramblijXSpeculotje</t>
  </si>
  <si>
    <t>Malle Magda</t>
  </si>
  <si>
    <t>Fiery Margarita</t>
  </si>
  <si>
    <t>Heilige Heidi</t>
  </si>
  <si>
    <t>Jolige Yoko</t>
  </si>
  <si>
    <t>Tipsy Tine</t>
  </si>
  <si>
    <t>Magische Millie</t>
  </si>
  <si>
    <t>Super Suki</t>
  </si>
  <si>
    <t>Wulpse Wanda</t>
  </si>
  <si>
    <t>Andere Anna</t>
  </si>
  <si>
    <t>Kinky Kinga</t>
  </si>
  <si>
    <t>Joviale Jasmien</t>
  </si>
  <si>
    <t>Ongeschikt</t>
  </si>
  <si>
    <t>Malafide Margarita</t>
  </si>
  <si>
    <t>Passionele Pommelien</t>
  </si>
  <si>
    <t>BB</t>
  </si>
  <si>
    <t>CK</t>
  </si>
  <si>
    <t>LL</t>
  </si>
  <si>
    <t>AA</t>
  </si>
  <si>
    <t>CC</t>
  </si>
  <si>
    <t>FF</t>
  </si>
  <si>
    <t>PP</t>
  </si>
  <si>
    <t>fout gevuld</t>
  </si>
  <si>
    <t>DD</t>
  </si>
  <si>
    <t>z</t>
  </si>
  <si>
    <t>Mout</t>
  </si>
  <si>
    <t>Tab</t>
  </si>
  <si>
    <t>Voorraad [kg]</t>
  </si>
  <si>
    <t>001</t>
  </si>
  <si>
    <t>101</t>
  </si>
  <si>
    <t>002</t>
  </si>
  <si>
    <t>102</t>
  </si>
  <si>
    <t>003</t>
  </si>
  <si>
    <t>103</t>
  </si>
  <si>
    <t>004</t>
  </si>
  <si>
    <t>Munich mout</t>
  </si>
  <si>
    <t>104</t>
  </si>
  <si>
    <t>005</t>
  </si>
  <si>
    <t>Witte haver</t>
  </si>
  <si>
    <t>105</t>
  </si>
  <si>
    <t>006</t>
  </si>
  <si>
    <t>106</t>
  </si>
  <si>
    <t>007</t>
  </si>
  <si>
    <t>107</t>
  </si>
  <si>
    <t>008</t>
  </si>
  <si>
    <t>108</t>
  </si>
  <si>
    <t>009</t>
  </si>
  <si>
    <t>109</t>
  </si>
  <si>
    <t>010</t>
  </si>
  <si>
    <t>110</t>
  </si>
  <si>
    <t>011</t>
  </si>
  <si>
    <t>111</t>
  </si>
  <si>
    <t>012</t>
  </si>
  <si>
    <t>112</t>
  </si>
  <si>
    <t>013</t>
  </si>
  <si>
    <t>113</t>
  </si>
  <si>
    <t>014</t>
  </si>
  <si>
    <t>114</t>
  </si>
  <si>
    <t>015</t>
  </si>
  <si>
    <t>115</t>
  </si>
  <si>
    <t>016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</si>
  <si>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</si>
  <si>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</si>
  <si>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</si>
  <si>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</si>
  <si>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</si>
  <si>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</si>
  <si>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</si>
  <si>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</si>
  <si>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</si>
  <si>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</si>
  <si>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</si>
  <si>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</si>
  <si>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</si>
  <si>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Personeelsleden</t>
  </si>
  <si>
    <t>Types afwijkingen</t>
  </si>
  <si>
    <t>Acties bij afwijking</t>
  </si>
  <si>
    <t>Hygiene bij levering</t>
  </si>
  <si>
    <t>Terugzending</t>
  </si>
  <si>
    <t>Liquidatie</t>
  </si>
  <si>
    <t>Temperatuur bij levering</t>
  </si>
  <si>
    <t>Houdbaarheid</t>
  </si>
  <si>
    <t>Negeren</t>
  </si>
  <si>
    <t>Kwaliteit</t>
  </si>
  <si>
    <t>Bestelling</t>
  </si>
  <si>
    <t>Template</t>
  </si>
  <si>
    <t>Type</t>
  </si>
  <si>
    <t>Voorraad</t>
  </si>
  <si>
    <t>kg</t>
  </si>
  <si>
    <t>Test-001</t>
  </si>
  <si>
    <t>2022-001</t>
  </si>
  <si>
    <t>32/12/2022</t>
  </si>
  <si>
    <t>2022-002</t>
  </si>
  <si>
    <t>33/12/2022</t>
  </si>
  <si>
    <t>24-004</t>
  </si>
  <si>
    <t>Grodstof soorten</t>
  </si>
  <si>
    <t>Voeg hier de verschillende grondstoffen toe</t>
  </si>
  <si>
    <t>Saaz+FirstGold 2023</t>
  </si>
  <si>
    <t>Verpakking gescheurd en getaped</t>
  </si>
  <si>
    <t xml:space="preserve">Biscuit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</si>
</sst>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[$€]#,##0.00"/>
    <numFmt numFmtId="165" formatCode="dd/MM/yyyy"/>
    <numFmt numFmtId="166" formatCode="mm/yyyy"/>
    <numFmt numFmtId="167" formatCode="dd-mm-yyyy"/>
    <numFmt numFmtId="168" formatCode="dd/mm/yyyy"/>
    <numFmt numFmtId="169" formatCode="m/yyyy"/>
    <numFmt numFmtId="170" formatCode="d/m/yyyy"/>
    <numFmt numFmtId="171" formatCode="d/m/yy"/>
    <numFmt numFmtId="172" formatCode="mmm/yyyy"/>
    <numFmt numFmtId="173" formatCode="d-m-yyyy"/>
    <numFmt numFmtId="174" formatCode="dd-mm-yy"/>
    <numFmt numFmtId="175" formatCode="dd-mm"/>
  </numFmts>
  <fonts count="9">
    <font>
      <sz val="10.0"/>
      <color rgb="FF000000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9.0"/>
      <color rgb="FF333333"/>
      <name val="Verdana"/>
    </font>
    <font>
      <b/>
      <sz val="22.0"/>
      <color theme="1"/>
      <name val="Arial"/>
      <scheme val="minor"/>
    </font>
    <font>
      <b/>
      <sz val="24.0"/>
      <color theme="1"/>
      <name val="Arial"/>
      <scheme val="minor"/>
    </font>
    <font>
      <u/>
      <color rgb="FF0000FF"/>
    </font>
    <font>
      <color rgb="FF0A0A0A"/>
      <name val="Helvetica"/>
    </font>
  </fonts>
  <fills count="1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A2C4C9"/>
        <bgColor rgb="FFA2C4C9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0" fontId="2" numFmtId="0" xfId="0" applyFont="1"/>
    <xf borderId="0" fillId="7" fontId="0" numFmtId="0" xfId="0" applyFill="1" applyFont="1"/>
    <xf borderId="1" fillId="8" fontId="3" numFmtId="0" xfId="0" applyAlignment="1" applyBorder="1" applyFill="1" applyFont="1">
      <alignment readingOrder="0"/>
    </xf>
    <xf borderId="2" fillId="8" fontId="3" numFmtId="0" xfId="0" applyAlignment="1" applyBorder="1" applyFont="1">
      <alignment readingOrder="0"/>
    </xf>
    <xf borderId="3" fillId="0" fontId="3" numFmtId="0" xfId="0" applyBorder="1" applyFont="1"/>
    <xf borderId="0" fillId="0" fontId="2" numFmtId="0" xfId="0" applyFont="1"/>
    <xf borderId="0" fillId="0" fontId="2" numFmtId="49" xfId="0" applyFont="1" applyNumberFormat="1"/>
    <xf borderId="0" fillId="0" fontId="2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2" fontId="2" numFmtId="164" xfId="0" applyAlignment="1" applyFont="1" applyNumberFormat="1">
      <alignment readingOrder="0"/>
    </xf>
    <xf borderId="0" fillId="9" fontId="5" numFmtId="0" xfId="0" applyAlignment="1" applyFill="1" applyFont="1">
      <alignment horizontal="center" readingOrder="0" vertical="center"/>
    </xf>
    <xf borderId="0" fillId="10" fontId="6" numFmtId="0" xfId="0" applyAlignment="1" applyFill="1" applyFont="1">
      <alignment horizontal="center" readingOrder="0" vertical="center"/>
    </xf>
    <xf borderId="0" fillId="11" fontId="2" numFmtId="0" xfId="0" applyAlignment="1" applyFill="1" applyFont="1">
      <alignment readingOrder="0"/>
    </xf>
    <xf borderId="0" fillId="12" fontId="2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13" fontId="2" numFmtId="164" xfId="0" applyAlignment="1" applyFill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5" xfId="0" applyFont="1" applyNumberFormat="1"/>
    <xf borderId="0" fillId="0" fontId="2" numFmtId="168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0" fontId="2" numFmtId="171" xfId="0" applyAlignment="1" applyFont="1" applyNumberFormat="1">
      <alignment readingOrder="0"/>
    </xf>
    <xf borderId="0" fillId="13" fontId="2" numFmtId="0" xfId="0" applyFont="1"/>
    <xf borderId="0" fillId="13" fontId="2" numFmtId="0" xfId="0" applyAlignment="1" applyFont="1">
      <alignment readingOrder="0"/>
    </xf>
    <xf borderId="0" fillId="0" fontId="2" numFmtId="172" xfId="0" applyAlignment="1" applyFont="1" applyNumberFormat="1">
      <alignment readingOrder="0"/>
    </xf>
    <xf borderId="0" fillId="11" fontId="2" numFmtId="164" xfId="0" applyAlignment="1" applyFont="1" applyNumberFormat="1">
      <alignment readingOrder="0"/>
    </xf>
    <xf borderId="0" fillId="12" fontId="2" numFmtId="164" xfId="0" applyAlignment="1" applyFont="1" applyNumberFormat="1">
      <alignment readingOrder="0"/>
    </xf>
    <xf borderId="0" fillId="0" fontId="2" numFmtId="173" xfId="0" applyAlignment="1" applyFont="1" applyNumberFormat="1">
      <alignment readingOrder="0"/>
    </xf>
    <xf borderId="0" fillId="14" fontId="2" numFmtId="165" xfId="0" applyAlignment="1" applyFill="1" applyFont="1" applyNumberFormat="1">
      <alignment readingOrder="0"/>
    </xf>
    <xf borderId="0" fillId="14" fontId="2" numFmtId="0" xfId="0" applyAlignment="1" applyFont="1">
      <alignment readingOrder="0"/>
    </xf>
    <xf borderId="0" fillId="14" fontId="2" numFmtId="165" xfId="0" applyFont="1" applyNumberFormat="1"/>
    <xf borderId="0" fillId="14" fontId="2" numFmtId="0" xfId="0" applyFont="1"/>
    <xf borderId="0" fillId="14" fontId="2" numFmtId="164" xfId="0" applyAlignment="1" applyFont="1" applyNumberFormat="1">
      <alignment readingOrder="0"/>
    </xf>
    <xf borderId="0" fillId="0" fontId="2" numFmtId="17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2" numFmtId="175" xfId="0" applyAlignment="1" applyFont="1" applyNumberFormat="1">
      <alignment readingOrder="0"/>
    </xf>
    <xf borderId="0" fillId="7" fontId="8" numFmtId="0" xfId="0" applyAlignment="1" applyFont="1">
      <alignment horizontal="left" readingOrder="0"/>
    </xf>
    <xf borderId="0" fillId="15" fontId="2" numFmtId="0" xfId="0" applyAlignment="1" applyFill="1" applyFont="1">
      <alignment readingOrder="0"/>
    </xf>
    <xf borderId="0" fillId="9" fontId="2" numFmtId="0" xfId="0" applyAlignment="1" applyFont="1">
      <alignment readingOrder="0"/>
    </xf>
    <xf borderId="0" fillId="16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2" fontId="2" numFmtId="0" xfId="0" applyFont="1"/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vanillestokjes.be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13"/>
    <col customWidth="1" min="4" max="4" width="10.75"/>
    <col customWidth="1" min="5" max="5" width="2.0"/>
    <col customWidth="1" min="8" max="8" width="10.13"/>
    <col customWidth="1" min="9" max="9" width="10.75"/>
    <col customWidth="1" min="10" max="10" width="2.25"/>
    <col customWidth="1" min="13" max="13" width="10.13"/>
    <col customWidth="1" min="14" max="14" width="7.63"/>
    <col customWidth="1" min="15" max="15" width="2.75"/>
    <col customWidth="1" min="18" max="18" width="10.13"/>
    <col customWidth="1" min="19" max="19" width="7.63"/>
    <col customWidth="1" min="20" max="20" width="3.0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s="2" t="s">
        <v>3</v>
      </c>
    </row>
    <row r="7">
      <c r="A7" s="3" t="s">
        <v>4</v>
      </c>
      <c r="B7" s="3" t="s">
        <v>5</v>
      </c>
      <c r="C7" s="3" t="s">
        <v>6</v>
      </c>
      <c r="D7" s="3" t="s">
        <v>7</v>
      </c>
      <c r="F7" s="4" t="s">
        <v>8</v>
      </c>
      <c r="G7" s="4" t="s">
        <v>5</v>
      </c>
      <c r="H7" s="4" t="s">
        <v>6</v>
      </c>
      <c r="I7" s="4" t="s">
        <v>7</v>
      </c>
      <c r="K7" s="5" t="s">
        <v>9</v>
      </c>
      <c r="L7" s="5" t="s">
        <v>5</v>
      </c>
      <c r="M7" s="5" t="s">
        <v>6</v>
      </c>
      <c r="N7" s="5" t="s">
        <v>10</v>
      </c>
      <c r="P7" s="6" t="s">
        <v>11</v>
      </c>
      <c r="Q7" s="6" t="s">
        <v>5</v>
      </c>
      <c r="R7" s="6" t="s">
        <v>6</v>
      </c>
      <c r="S7" s="6" t="s">
        <v>10</v>
      </c>
      <c r="U7" s="7" t="s">
        <v>12</v>
      </c>
      <c r="V7" s="7" t="s">
        <v>13</v>
      </c>
      <c r="W7" s="7" t="s">
        <v>14</v>
      </c>
      <c r="X7" s="7" t="s">
        <v>10</v>
      </c>
    </row>
    <row r="8">
      <c r="A8" s="8" t="str">
        <f>'Grondstof soorten'!A7</f>
        <v>Pilsmout</v>
      </c>
      <c r="B8" s="8">
        <f>SUMIF(Granen!G6:G999,A8,Granen!J6:J99)</f>
        <v>1550</v>
      </c>
      <c r="C8" s="9">
        <f>SUMIF(Granen!R6:R999,A8,Granen!S6:S999)</f>
        <v>1500</v>
      </c>
      <c r="D8" s="8">
        <f t="shared" ref="D8:D72" si="1">B8-C8</f>
        <v>50</v>
      </c>
      <c r="F8" s="8" t="str">
        <f>'Grondstof soorten'!C7</f>
        <v>Mandarina Bavaria</v>
      </c>
      <c r="G8" s="8">
        <f>SUMIF(Hop!$G$6:$G$999,F8,Hop!$J$6:$J$99)</f>
        <v>3.6</v>
      </c>
      <c r="H8" s="9">
        <f>SUMIF(Hop!$R$6:$R$999,F8,Hop!$S$6:$S$999)</f>
        <v>2.4</v>
      </c>
      <c r="I8" s="8">
        <f t="shared" ref="I8:I72" si="2">G8-H8</f>
        <v>1.2</v>
      </c>
      <c r="K8" s="8" t="str">
        <f>'Grondstof soorten'!B7</f>
        <v>Bruine suiker</v>
      </c>
      <c r="L8" s="8">
        <f>SUMIF(Toevoegingen!$G$6:$G$999,K8,Toevoegingen!$J$6:$J$99)</f>
        <v>20</v>
      </c>
      <c r="M8" s="9">
        <f>SUMIF(Toevoegingen!$R$6:$R$999,K8,Toevoegingen!$S$6:$S$999)</f>
        <v>20</v>
      </c>
      <c r="N8" s="8">
        <f t="shared" ref="N8:N72" si="3">L8-M8</f>
        <v>0</v>
      </c>
      <c r="P8" s="8" t="str">
        <f>'Grondstof soorten'!D7</f>
        <v>S-04</v>
      </c>
      <c r="Q8" s="8">
        <f>SUMIF(Gist!$G$6:$G$999,P8,Gist!$J$6:$J$99)</f>
        <v>1.2</v>
      </c>
      <c r="R8" s="9">
        <f>SUMIF(Gist!$R$6:$R$999,P8,Gist!$S$6:$S$999)</f>
        <v>0.575</v>
      </c>
      <c r="S8" s="8">
        <f t="shared" ref="S8:S72" si="4">Q8-R8</f>
        <v>0.625</v>
      </c>
      <c r="U8" s="8" t="str">
        <f>'Grondstof soorten'!E7</f>
        <v>Fles vichy 33cl</v>
      </c>
      <c r="V8" s="8">
        <f>SUMIF(Verpakkingen!$G$6:$G$999,U8,Verpakkingen!$J$6:$J$99)</f>
        <v>11648</v>
      </c>
      <c r="W8" s="9">
        <f>SUMIF(Verpakkingen!$S$6:$S$999,U8,Verpakkingen!$T$6:$T$999)</f>
        <v>10062</v>
      </c>
      <c r="X8" s="8">
        <f t="shared" ref="X8:X72" si="5">V8-W8</f>
        <v>1586</v>
      </c>
    </row>
    <row r="9">
      <c r="A9" s="8" t="str">
        <f>'Grondstof soorten'!A8</f>
        <v>Tarwemout</v>
      </c>
      <c r="B9" s="8">
        <f>SUMIF(Granen!G7:G1000,A9,Granen!J7:J100)</f>
        <v>450</v>
      </c>
      <c r="C9" s="9">
        <f>SUMIF(Granen!R7:R1000,A9,Granen!S7:S1000)</f>
        <v>370</v>
      </c>
      <c r="D9" s="8">
        <f t="shared" si="1"/>
        <v>80</v>
      </c>
      <c r="F9" s="8" t="str">
        <f>'Grondstof soorten'!C8</f>
        <v>Idaho7</v>
      </c>
      <c r="G9" s="8">
        <f>SUMIF(Hop!$G$6:$G$999,F9,Hop!$J$6:$J$99)</f>
        <v>1.1</v>
      </c>
      <c r="H9" s="9">
        <f>SUMIF(Hop!$R$6:$R$999,F9,Hop!$S$6:$S$999)</f>
        <v>1.1</v>
      </c>
      <c r="I9" s="8">
        <f t="shared" si="2"/>
        <v>0</v>
      </c>
      <c r="K9" s="8" t="str">
        <f>'Grondstof soorten'!B8</f>
        <v>Witte suiker</v>
      </c>
      <c r="L9" s="8">
        <f>SUMIF(Toevoegingen!$G$6:$G$999,K9,Toevoegingen!$J$6:$J$99)</f>
        <v>51</v>
      </c>
      <c r="M9" s="9">
        <f>SUMIF(Toevoegingen!$R$6:$R$999,K9,Toevoegingen!$S$6:$S$999)</f>
        <v>43</v>
      </c>
      <c r="N9" s="8">
        <f t="shared" si="3"/>
        <v>8</v>
      </c>
      <c r="P9" s="8" t="str">
        <f>'Grondstof soorten'!D8</f>
        <v>Voss Kveik</v>
      </c>
      <c r="Q9" s="8">
        <f>SUMIF(Gist!$G$6:$G$999,P9,Gist!$J$6:$J$99)</f>
        <v>0.5</v>
      </c>
      <c r="R9" s="9">
        <f>SUMIF(Gist!$R$6:$R$999,P9,Gist!$S$6:$S$999)</f>
        <v>0.5</v>
      </c>
      <c r="S9" s="8">
        <f t="shared" si="4"/>
        <v>0</v>
      </c>
      <c r="U9" s="8" t="str">
        <f>'Grondstof soorten'!E8</f>
        <v>keykeg 20l</v>
      </c>
      <c r="V9" s="8">
        <f>SUMIF(Verpakkingen!$G$6:$G$999,U9,Verpakkingen!$J$6:$J$99)</f>
        <v>166</v>
      </c>
      <c r="W9" s="9">
        <f>SUMIF(Verpakkingen!$S$6:$S$999,U9,Verpakkingen!$T$6:$T$999)</f>
        <v>162</v>
      </c>
      <c r="X9" s="8">
        <f t="shared" si="5"/>
        <v>4</v>
      </c>
    </row>
    <row r="10">
      <c r="A10" s="8" t="str">
        <f>'Grondstof soorten'!A9</f>
        <v>Munich</v>
      </c>
      <c r="B10" s="8">
        <f>SUMIF(Granen!G8:G1001,A10,Granen!J8:J101)</f>
        <v>75</v>
      </c>
      <c r="C10" s="9">
        <f>SUMIF(Granen!R8:R1001,A10,Granen!S8:S1001)</f>
        <v>75</v>
      </c>
      <c r="D10" s="8">
        <f t="shared" si="1"/>
        <v>0</v>
      </c>
      <c r="F10" s="8" t="str">
        <f>'Grondstof soorten'!C9</f>
        <v>Citra</v>
      </c>
      <c r="G10" s="8">
        <f>SUMIF(Hop!$G$6:$G$999,F10,Hop!$J$6:$J$99)</f>
        <v>1.1</v>
      </c>
      <c r="H10" s="9">
        <f>SUMIF(Hop!$R$6:$R$999,F10,Hop!$S$6:$S$999)</f>
        <v>1.1</v>
      </c>
      <c r="I10" s="8">
        <f t="shared" si="2"/>
        <v>0</v>
      </c>
      <c r="K10" s="8" t="str">
        <f>'Grondstof soorten'!B9</f>
        <v>Appelsienen</v>
      </c>
      <c r="L10" s="8">
        <f>SUMIF(Toevoegingen!$G$6:$G$999,K10,Toevoegingen!$J$6:$J$99)</f>
        <v>8</v>
      </c>
      <c r="M10" s="9">
        <f>SUMIF(Toevoegingen!$R$6:$R$999,K10,Toevoegingen!$S$6:$S$999)</f>
        <v>8</v>
      </c>
      <c r="N10" s="8">
        <f t="shared" si="3"/>
        <v>0</v>
      </c>
      <c r="P10" s="8" t="str">
        <f>'Grondstof soorten'!D9</f>
        <v>Verdant IPA</v>
      </c>
      <c r="Q10" s="8">
        <f>SUMIF(Gist!$G$6:$G$999,P10,Gist!$J$6:$J$99)</f>
        <v>0.055</v>
      </c>
      <c r="R10" s="9">
        <f>SUMIF(Gist!$R$6:$R$999,P10,Gist!$S$6:$S$999)</f>
        <v>0.055</v>
      </c>
      <c r="S10" s="8">
        <f t="shared" si="4"/>
        <v>0</v>
      </c>
      <c r="U10" s="8" t="str">
        <f>'Grondstof soorten'!E9</f>
        <v>kroonkurk wit</v>
      </c>
      <c r="V10" s="8">
        <f>SUMIF(Verpakkingen!$G$6:$G$999,U10,Verpakkingen!$J$6:$J$99)</f>
        <v>12500</v>
      </c>
      <c r="W10" s="9">
        <f>SUMIF(Verpakkingen!$S$6:$S$999,U10,Verpakkingen!$T$6:$T$999)</f>
        <v>11316</v>
      </c>
      <c r="X10" s="8">
        <f t="shared" si="5"/>
        <v>1184</v>
      </c>
    </row>
    <row r="11">
      <c r="A11" s="8" t="str">
        <f>'Grondstof soorten'!A10</f>
        <v>Chocolate Dark</v>
      </c>
      <c r="B11" s="8">
        <f>SUMIF(Granen!G9:G1002,A11,Granen!J9:J102)</f>
        <v>9</v>
      </c>
      <c r="C11" s="9">
        <f>SUMIF(Granen!R9:R1002,A11,Granen!S9:S1002)</f>
        <v>9</v>
      </c>
      <c r="D11" s="8">
        <f t="shared" si="1"/>
        <v>0</v>
      </c>
      <c r="F11" s="8" t="str">
        <f>'Grondstof soorten'!C10</f>
        <v>Galaxy</v>
      </c>
      <c r="G11" s="8">
        <f>SUMIF(Hop!$G$6:$G$999,F11,Hop!$J$6:$J$99)</f>
        <v>0.2</v>
      </c>
      <c r="H11" s="9">
        <f>SUMIF(Hop!$R$6:$R$999,F11,Hop!$S$6:$S$999)</f>
        <v>0.2</v>
      </c>
      <c r="I11" s="8">
        <f t="shared" si="2"/>
        <v>0</v>
      </c>
      <c r="K11" s="8" t="str">
        <f>'Grondstof soorten'!B10</f>
        <v>Limoen</v>
      </c>
      <c r="L11" s="8">
        <f>SUMIF(Toevoegingen!$G$6:$G$999,K11,Toevoegingen!$J$6:$J$99)</f>
        <v>167</v>
      </c>
      <c r="M11" s="9">
        <f>SUMIF(Toevoegingen!$R$6:$R$999,K11,Toevoegingen!$S$6:$S$999)</f>
        <v>167</v>
      </c>
      <c r="N11" s="8">
        <f t="shared" si="3"/>
        <v>0</v>
      </c>
      <c r="P11" s="8" t="str">
        <f>'Grondstof soorten'!D10</f>
        <v>LP652</v>
      </c>
      <c r="Q11" s="8">
        <f>SUMIF(Gist!$G$6:$G$999,P11,Gist!$J$6:$J$99)</f>
        <v>0.3</v>
      </c>
      <c r="R11" s="9">
        <f>SUMIF(Gist!$R$6:$R$999,P11,Gist!$S$6:$S$999)</f>
        <v>0.283</v>
      </c>
      <c r="S11" s="8">
        <f t="shared" si="4"/>
        <v>0.017</v>
      </c>
      <c r="U11" s="8" t="str">
        <f>'Grondstof soorten'!E10</f>
        <v>Fles Longneck 33cl</v>
      </c>
      <c r="V11" s="8">
        <f>SUMIF(Verpakkingen!$G$6:$G$999,U11,Verpakkingen!$J$6:$J$99)</f>
        <v>816</v>
      </c>
      <c r="W11" s="9">
        <f>SUMIF(Verpakkingen!$S$6:$S$999,U11,Verpakkingen!$T$6:$T$999)</f>
        <v>816</v>
      </c>
      <c r="X11" s="8">
        <f t="shared" si="5"/>
        <v>0</v>
      </c>
    </row>
    <row r="12">
      <c r="A12" s="8" t="str">
        <f>'Grondstof soorten'!A11</f>
        <v>CaraAroma</v>
      </c>
      <c r="B12" s="8">
        <f>SUMIF(Granen!G10:G1003,A12,Granen!J10:J103)</f>
        <v>35</v>
      </c>
      <c r="C12" s="9">
        <f>SUMIF(Granen!R10:R1003,A12,Granen!S10:S1003)</f>
        <v>35</v>
      </c>
      <c r="D12" s="8">
        <f t="shared" si="1"/>
        <v>0</v>
      </c>
      <c r="F12" s="8" t="str">
        <f>'Grondstof soorten'!C11</f>
        <v>Styrian Dana</v>
      </c>
      <c r="G12" s="8">
        <f>SUMIF(Hop!$G$6:$G$999,F12,Hop!$J$6:$J$99)</f>
        <v>0.4</v>
      </c>
      <c r="H12" s="9">
        <f>SUMIF(Hop!$R$6:$R$999,F12,Hop!$S$6:$S$999)</f>
        <v>0.4</v>
      </c>
      <c r="I12" s="8">
        <f t="shared" si="2"/>
        <v>0</v>
      </c>
      <c r="K12" s="8" t="str">
        <f>'Grondstof soorten'!B11</f>
        <v>Grof zeezout</v>
      </c>
      <c r="L12" s="8">
        <f>SUMIF(Toevoegingen!$G$6:$G$999,K12,Toevoegingen!$J$6:$J$99)</f>
        <v>2</v>
      </c>
      <c r="M12" s="9">
        <f>SUMIF(Toevoegingen!$R$6:$R$999,K12,Toevoegingen!$S$6:$S$999)</f>
        <v>1.635</v>
      </c>
      <c r="N12" s="8">
        <f t="shared" si="3"/>
        <v>0.365</v>
      </c>
      <c r="P12" s="8" t="str">
        <f>'Grondstof soorten'!D11</f>
        <v>WB-06</v>
      </c>
      <c r="Q12" s="8">
        <f>SUMIF(Gist!$G$6:$G$999,P12,Gist!$J$6:$J$99)</f>
        <v>0.5</v>
      </c>
      <c r="R12" s="9">
        <f>SUMIF(Gist!$R$6:$R$999,P12,Gist!$S$6:$S$999)</f>
        <v>0.5</v>
      </c>
      <c r="S12" s="8">
        <f t="shared" si="4"/>
        <v>0</v>
      </c>
      <c r="U12" s="8" t="str">
        <f>'Grondstof soorten'!E11</f>
        <v>Dozen 24st APO</v>
      </c>
      <c r="V12" s="8">
        <f>SUMIF(Verpakkingen!$G$6:$G$999,U12,Verpakkingen!$J$6:$J$99)</f>
        <v>140</v>
      </c>
      <c r="W12" s="9">
        <f>SUMIF(Verpakkingen!$S$6:$S$999,U12,Verpakkingen!$T$6:$T$999)</f>
        <v>47</v>
      </c>
      <c r="X12" s="8">
        <f t="shared" si="5"/>
        <v>93</v>
      </c>
    </row>
    <row r="13">
      <c r="A13" s="8" t="str">
        <f>'Grondstof soorten'!A12</f>
        <v>Witte Haver</v>
      </c>
      <c r="B13" s="8">
        <f>SUMIF(Granen!G11:G1004,A13,Granen!J11:J104)</f>
        <v>40</v>
      </c>
      <c r="C13" s="9">
        <f>SUMIF(Granen!R11:R1004,A13,Granen!S11:S1004)</f>
        <v>40</v>
      </c>
      <c r="D13" s="8">
        <f t="shared" si="1"/>
        <v>0</v>
      </c>
      <c r="F13" s="8" t="str">
        <f>'Grondstof soorten'!C12</f>
        <v>Magnum</v>
      </c>
      <c r="G13" s="8">
        <f>SUMIF(Hop!$G$6:$G$999,F13,Hop!$J$6:$J$99)</f>
        <v>1</v>
      </c>
      <c r="H13" s="9">
        <f>SUMIF(Hop!$R$6:$R$999,F13,Hop!$S$6:$S$999)</f>
        <v>1</v>
      </c>
      <c r="I13" s="8">
        <f t="shared" si="2"/>
        <v>0</v>
      </c>
      <c r="K13" s="8" t="str">
        <f>'Grondstof soorten'!B12</f>
        <v>cacaobonen</v>
      </c>
      <c r="L13" s="8">
        <f>SUMIF(Toevoegingen!$G$6:$G$999,K13,Toevoegingen!$J$6:$J$99)</f>
        <v>4.05</v>
      </c>
      <c r="M13" s="9">
        <f>SUMIF(Toevoegingen!$R$6:$R$999,K13,Toevoegingen!$S$6:$S$999)</f>
        <v>4.05</v>
      </c>
      <c r="N13" s="8">
        <f t="shared" si="3"/>
        <v>0</v>
      </c>
      <c r="P13" s="8" t="str">
        <f>'Grondstof soorten'!D12</f>
        <v>BE-256</v>
      </c>
      <c r="Q13" s="8">
        <f>SUMIF(Gist!$G$6:$G$999,P13,Gist!$J$6:$J$99)</f>
        <v>0.5</v>
      </c>
      <c r="R13" s="9">
        <f>SUMIF(Gist!$R$6:$R$999,P13,Gist!$S$6:$S$999)</f>
        <v>0.5</v>
      </c>
      <c r="S13" s="8">
        <f t="shared" si="4"/>
        <v>0</v>
      </c>
      <c r="U13" s="8" t="str">
        <f>'Grondstof soorten'!E12</f>
        <v>Fles belge 75cl</v>
      </c>
      <c r="V13" s="8">
        <f>SUMIF(Verpakkingen!$G$6:$G$999,U13,Verpakkingen!$J$6:$J$99)</f>
        <v>264</v>
      </c>
      <c r="W13" s="9">
        <f>SUMIF(Verpakkingen!$S$6:$S$999,U13,Verpakkingen!$T$6:$T$999)</f>
        <v>264</v>
      </c>
      <c r="X13" s="8">
        <f t="shared" si="5"/>
        <v>0</v>
      </c>
    </row>
    <row r="14">
      <c r="A14" s="8" t="str">
        <f>'Grondstof soorten'!A13</f>
        <v>CaraGold</v>
      </c>
      <c r="B14" s="8">
        <f>SUMIF(Granen!G12:G1005,A14,Granen!J12:J105)</f>
        <v>30</v>
      </c>
      <c r="C14" s="9">
        <f>SUMIF(Granen!R12:R1005,A14,Granen!S12:S1005)</f>
        <v>30</v>
      </c>
      <c r="D14" s="8">
        <f t="shared" si="1"/>
        <v>0</v>
      </c>
      <c r="F14" s="8" t="str">
        <f>'Grondstof soorten'!C13</f>
        <v>Hallertau Blanc</v>
      </c>
      <c r="G14" s="8">
        <f>SUMIF(Hop!$G$6:$G$999,F14,Hop!$J$6:$J$99)</f>
        <v>7.9</v>
      </c>
      <c r="H14" s="9">
        <f>SUMIF(Hop!$R$6:$R$999,F14,Hop!$S$6:$S$999)</f>
        <v>3.5</v>
      </c>
      <c r="I14" s="8">
        <f t="shared" si="2"/>
        <v>4.4</v>
      </c>
      <c r="K14" s="8" t="str">
        <f>'Grondstof soorten'!B13</f>
        <v>Speculaaskruiden</v>
      </c>
      <c r="L14" s="8">
        <f>SUMIF(Toevoegingen!$G$6:$G$999,K14,Toevoegingen!$J$6:$J$99)</f>
        <v>0.4</v>
      </c>
      <c r="M14" s="9">
        <f>SUMIF(Toevoegingen!$R$6:$R$999,K14,Toevoegingen!$S$6:$S$999)</f>
        <v>0.28</v>
      </c>
      <c r="N14" s="8">
        <f t="shared" si="3"/>
        <v>0.12</v>
      </c>
      <c r="P14" s="8" t="str">
        <f>'Grondstof soorten'!D13</f>
        <v>S-33</v>
      </c>
      <c r="Q14" s="8">
        <f>SUMIF(Gist!$G$6:$G$999,P14,Gist!$J$6:$J$99)</f>
        <v>0.9</v>
      </c>
      <c r="R14" s="9">
        <f>SUMIF(Gist!$R$6:$R$999,P14,Gist!$S$6:$S$999)</f>
        <v>0.525</v>
      </c>
      <c r="S14" s="8">
        <f t="shared" si="4"/>
        <v>0.375</v>
      </c>
      <c r="U14" s="8" t="str">
        <f>'Grondstof soorten'!E13</f>
        <v>Doos trio 75cl</v>
      </c>
      <c r="V14" s="8">
        <f>SUMIF(Verpakkingen!$G$6:$G$999,U14,Verpakkingen!$J$6:$J$99)</f>
        <v>60</v>
      </c>
      <c r="W14" s="9">
        <f>SUMIF(Verpakkingen!$S$6:$S$999,U14,Verpakkingen!$T$6:$T$999)</f>
        <v>60</v>
      </c>
      <c r="X14" s="8">
        <f t="shared" si="5"/>
        <v>0</v>
      </c>
    </row>
    <row r="15">
      <c r="A15" s="8" t="str">
        <f>'Grondstof soorten'!A14</f>
        <v>CaraBody</v>
      </c>
      <c r="B15" s="8">
        <f>SUMIF(Granen!G13:G1006,A15,Granen!J13:J106)</f>
        <v>5</v>
      </c>
      <c r="C15" s="9">
        <f>SUMIF(Granen!R13:R1006,A15,Granen!S13:S1006)</f>
        <v>5</v>
      </c>
      <c r="D15" s="8">
        <f t="shared" si="1"/>
        <v>0</v>
      </c>
      <c r="F15" s="8" t="str">
        <f>'Grondstof soorten'!C14</f>
        <v>Styrian Dragon</v>
      </c>
      <c r="G15" s="8">
        <f>SUMIF(Hop!$G$6:$G$999,F15,Hop!$J$6:$J$99)</f>
        <v>0.1</v>
      </c>
      <c r="H15" s="9">
        <f>SUMIF(Hop!$R$6:$R$999,F15,Hop!$S$6:$S$999)</f>
        <v>0</v>
      </c>
      <c r="I15" s="8">
        <f t="shared" si="2"/>
        <v>0.1</v>
      </c>
      <c r="K15" s="8" t="str">
        <f>'Grondstof soorten'!B14</f>
        <v>Rabarber</v>
      </c>
      <c r="L15" s="8">
        <f>SUMIF(Toevoegingen!$G$6:$G$999,K15,Toevoegingen!$J$6:$J$99)</f>
        <v>25</v>
      </c>
      <c r="M15" s="9">
        <f>SUMIF(Toevoegingen!$R$6:$R$999,K15,Toevoegingen!$S$6:$S$999)</f>
        <v>25</v>
      </c>
      <c r="N15" s="8">
        <f t="shared" si="3"/>
        <v>0</v>
      </c>
      <c r="P15" s="8" t="str">
        <f>'Grondstof soorten'!D14</f>
        <v>US-05</v>
      </c>
      <c r="Q15" s="8">
        <f>SUMIF(Gist!$G$6:$G$999,P15,Gist!$J$6:$J$99)</f>
        <v>0.7</v>
      </c>
      <c r="R15" s="9">
        <f>SUMIF(Gist!$R$6:$R$999,P15,Gist!$S$6:$S$999)</f>
        <v>0.325</v>
      </c>
      <c r="S15" s="8">
        <f t="shared" si="4"/>
        <v>0.375</v>
      </c>
      <c r="U15" s="8" t="str">
        <f>'Grondstof soorten'!E14</f>
        <v>Corny keg 19l</v>
      </c>
      <c r="V15" s="8">
        <f>SUMIF(Verpakkingen!$G$6:$G$999,U15,Verpakkingen!$J$6:$J$99)</f>
        <v>6</v>
      </c>
      <c r="W15" s="9">
        <f>SUMIF(Verpakkingen!$S$6:$S$999,U15,Verpakkingen!$T$6:$T$999)</f>
        <v>7</v>
      </c>
      <c r="X15" s="8">
        <f t="shared" si="5"/>
        <v>-1</v>
      </c>
    </row>
    <row r="16">
      <c r="A16" s="8" t="str">
        <f>'Grondstof soorten'!A15</f>
        <v>Biscuit</v>
      </c>
      <c r="B16" s="8">
        <f>SUMIF(Granen!G14:G1007,A16,Granen!J14:J107)</f>
        <v>51</v>
      </c>
      <c r="C16" s="9">
        <f>SUMIF(Granen!R14:R1007,A16,Granen!S14:S1007)</f>
        <v>51</v>
      </c>
      <c r="D16" s="8">
        <f t="shared" si="1"/>
        <v>0</v>
      </c>
      <c r="F16" s="8" t="str">
        <f>'Grondstof soorten'!C15</f>
        <v>Calista</v>
      </c>
      <c r="G16" s="8">
        <f>SUMIF(Hop!$G$6:$G$999,F16,Hop!$J$6:$J$99)</f>
        <v>5.2</v>
      </c>
      <c r="H16" s="9">
        <f>SUMIF(Hop!$R$6:$R$999,F16,Hop!$S$6:$S$999)</f>
        <v>3.4</v>
      </c>
      <c r="I16" s="8">
        <f t="shared" si="2"/>
        <v>1.8</v>
      </c>
      <c r="K16" s="8" t="str">
        <f>'Grondstof soorten'!B15</f>
        <v>Frambozen diepvries</v>
      </c>
      <c r="L16" s="8">
        <f>SUMIF(Toevoegingen!$G$6:$G$999,K16,Toevoegingen!$J$6:$J$99)</f>
        <v>32</v>
      </c>
      <c r="M16" s="9">
        <f>SUMIF(Toevoegingen!$R$6:$R$999,K16,Toevoegingen!$S$6:$S$999)</f>
        <v>32</v>
      </c>
      <c r="N16" s="8">
        <f t="shared" si="3"/>
        <v>0</v>
      </c>
      <c r="P16" s="8" t="str">
        <f>'Grondstof soorten'!D15</f>
        <v>Aspergillus Luchuensis</v>
      </c>
      <c r="Q16" s="8">
        <f>SUMIF(Gist!$G$6:$G$999,P16,Gist!$J$6:$J$99)</f>
        <v>0.003</v>
      </c>
      <c r="R16" s="9">
        <f>SUMIF(Gist!$R$6:$R$999,P16,Gist!$S$6:$S$999)</f>
        <v>0.003</v>
      </c>
      <c r="S16" s="8">
        <f t="shared" si="4"/>
        <v>0</v>
      </c>
      <c r="U16" s="8" t="str">
        <f>'Grondstof soorten'!E15</f>
        <v/>
      </c>
      <c r="V16" s="8">
        <f>SUMIF(Verpakkingen!$G$6:$G$999,U16,Verpakkingen!$J$6:$J$99)</f>
        <v>0</v>
      </c>
      <c r="W16" s="9">
        <f>SUMIF(Verpakkingen!$S$6:$S$999,U16,Verpakkingen!$T$6:$T$999)</f>
        <v>0</v>
      </c>
      <c r="X16" s="8">
        <f t="shared" si="5"/>
        <v>0</v>
      </c>
    </row>
    <row r="17">
      <c r="A17" s="8" t="str">
        <f>'Grondstof soorten'!A16</f>
        <v>Tarwe </v>
      </c>
      <c r="B17" s="8">
        <f>SUMIF(Granen!G15:G1008,A17,Granen!J15:J108)</f>
        <v>300</v>
      </c>
      <c r="C17" s="9">
        <f>SUMIF(Granen!R15:R1008,A17,Granen!S15:S1008)</f>
        <v>286</v>
      </c>
      <c r="D17" s="8">
        <f t="shared" si="1"/>
        <v>14</v>
      </c>
      <c r="F17" s="8" t="str">
        <f>'Grondstof soorten'!C16</f>
        <v>Solero</v>
      </c>
      <c r="G17" s="8">
        <f>SUMIF(Hop!$G$6:$G$999,F17,Hop!$J$6:$J$99)</f>
        <v>0.1</v>
      </c>
      <c r="H17" s="9">
        <f>SUMIF(Hop!$R$6:$R$999,F17,Hop!$S$6:$S$999)</f>
        <v>0</v>
      </c>
      <c r="I17" s="8">
        <f t="shared" si="2"/>
        <v>0.1</v>
      </c>
      <c r="K17" s="8" t="str">
        <f>'Grondstof soorten'!B16</f>
        <v>yuzu aroma</v>
      </c>
      <c r="L17" s="8">
        <f>SUMIF(Toevoegingen!$G$6:$G$999,K17,Toevoegingen!$J$6:$J$99)</f>
        <v>0.05</v>
      </c>
      <c r="M17" s="9">
        <f>SUMIF(Toevoegingen!$R$6:$R$999,K17,Toevoegingen!$S$6:$S$999)</f>
        <v>0.05</v>
      </c>
      <c r="N17" s="8">
        <f t="shared" si="3"/>
        <v>0</v>
      </c>
      <c r="P17" s="8" t="str">
        <f>'Grondstof soorten'!D16</f>
        <v>BE-134</v>
      </c>
      <c r="Q17" s="8">
        <f>SUMIF(Gist!$G$6:$G$999,P17,Gist!$J$6:$J$99)</f>
        <v>1</v>
      </c>
      <c r="R17" s="9">
        <f>SUMIF(Gist!$R$6:$R$999,P17,Gist!$S$6:$S$999)</f>
        <v>0.5</v>
      </c>
      <c r="S17" s="8">
        <f t="shared" si="4"/>
        <v>0.5</v>
      </c>
      <c r="U17" s="8" t="str">
        <f>'Grondstof soorten'!B43</f>
        <v>Zwarte Peper Lampong</v>
      </c>
      <c r="V17" s="8">
        <f>SUMIF(Verpakkingen!$G$6:$G$999,U17,Verpakkingen!$J$6:$J$99)</f>
        <v>0</v>
      </c>
      <c r="W17" s="9">
        <f>SUMIF(Verpakkingen!$S$6:$S$999,U17,Verpakkingen!$T$6:$T$999)</f>
        <v>0</v>
      </c>
      <c r="X17" s="8">
        <f t="shared" si="5"/>
        <v>0</v>
      </c>
    </row>
    <row r="18">
      <c r="A18" s="8" t="str">
        <f>'Grondstof soorten'!A17</f>
        <v>Oud brood</v>
      </c>
      <c r="B18" s="8">
        <f>SUMIF(Granen!G16:G1009,A18,Granen!J16:J109)</f>
        <v>10</v>
      </c>
      <c r="C18" s="9">
        <f>SUMIF(Granen!R16:R1009,A18,Granen!S16:S1009)</f>
        <v>10</v>
      </c>
      <c r="D18" s="8">
        <f t="shared" si="1"/>
        <v>0</v>
      </c>
      <c r="F18" s="8" t="str">
        <f>'Grondstof soorten'!C17</f>
        <v>Barbe Rouge</v>
      </c>
      <c r="G18" s="8">
        <f>SUMIF(Hop!$G$6:$G$999,F18,Hop!$J$6:$J$99)</f>
        <v>2.6</v>
      </c>
      <c r="H18" s="9">
        <f>SUMIF(Hop!$R$6:$R$999,F18,Hop!$S$6:$S$999)</f>
        <v>2.6</v>
      </c>
      <c r="I18" s="8">
        <f t="shared" si="2"/>
        <v>0</v>
      </c>
      <c r="K18" s="8" t="str">
        <f>'Grondstof soorten'!B17</f>
        <v>oranjebloesem</v>
      </c>
      <c r="L18" s="8">
        <f>SUMIF(Toevoegingen!$G$6:$G$999,K18,Toevoegingen!$J$6:$J$99)</f>
        <v>0.4</v>
      </c>
      <c r="M18" s="9">
        <f>SUMIF(Toevoegingen!$R$6:$R$999,K18,Toevoegingen!$S$6:$S$999)</f>
        <v>0.4</v>
      </c>
      <c r="N18" s="8">
        <f t="shared" si="3"/>
        <v>0</v>
      </c>
      <c r="P18" s="8" t="str">
        <f>'Grondstof soorten'!D17</f>
        <v>cider M02</v>
      </c>
      <c r="Q18" s="8">
        <f>SUMIF(Gist!$G$6:$G$999,P18,Gist!$J$6:$J$99)</f>
        <v>0.25</v>
      </c>
      <c r="R18" s="9">
        <f>SUMIF(Gist!$R$6:$R$999,P18,Gist!$S$6:$S$999)</f>
        <v>0.25</v>
      </c>
      <c r="S18" s="8">
        <f t="shared" si="4"/>
        <v>0</v>
      </c>
      <c r="U18" s="8" t="str">
        <f>'Grondstof soorten'!B44</f>
        <v>Zwarte Peper Tellicherry</v>
      </c>
      <c r="V18" s="8">
        <f>SUMIF(Verpakkingen!$G$6:$G$999,U18,Verpakkingen!$J$6:$J$99)</f>
        <v>0</v>
      </c>
      <c r="W18" s="9">
        <f>SUMIF(Verpakkingen!$S$6:$S$999,U18,Verpakkingen!$T$6:$T$999)</f>
        <v>0</v>
      </c>
      <c r="X18" s="8">
        <f t="shared" si="5"/>
        <v>0</v>
      </c>
    </row>
    <row r="19">
      <c r="A19" s="8" t="str">
        <f>'Grondstof soorten'!A18</f>
        <v>Havervlokken</v>
      </c>
      <c r="B19" s="8">
        <f>SUMIF(Granen!G17:G1010,A19,Granen!J17:J110)</f>
        <v>110.8</v>
      </c>
      <c r="C19" s="9">
        <f>SUMIF(Granen!R17:R1010,A19,Granen!S17:S1010)</f>
        <v>105.3</v>
      </c>
      <c r="D19" s="8">
        <f t="shared" si="1"/>
        <v>5.5</v>
      </c>
      <c r="G19" s="8">
        <f>SUMIF(Hop!$G$6:$G$999,F19,Hop!$J$6:$J$99)</f>
        <v>0</v>
      </c>
      <c r="H19" s="9">
        <f>SUMIF(Hop!$R$6:$R$999,F19,Hop!$S$6:$S$999)</f>
        <v>0</v>
      </c>
      <c r="I19" s="8">
        <f t="shared" si="2"/>
        <v>0</v>
      </c>
      <c r="K19" s="8" t="str">
        <f>'Grondstof soorten'!B18</f>
        <v>Bhut Jolokia</v>
      </c>
      <c r="L19" s="8">
        <f>SUMIF(Toevoegingen!$G$6:$G$999,K19,Toevoegingen!$J$6:$J$99)</f>
        <v>0.01</v>
      </c>
      <c r="M19" s="9">
        <f>SUMIF(Toevoegingen!$R$6:$R$999,K19,Toevoegingen!$S$6:$S$999)</f>
        <v>0.01</v>
      </c>
      <c r="N19" s="8">
        <f t="shared" si="3"/>
        <v>0</v>
      </c>
      <c r="P19" s="8" t="str">
        <f>'Grondstof soorten'!D18</f>
        <v>Apres-Ski</v>
      </c>
      <c r="Q19" s="8">
        <f>SUMIF(Gist!$G$6:$G$999,P19,Gist!$J$6:$J$99)</f>
        <v>0.5</v>
      </c>
      <c r="R19" s="9">
        <f>SUMIF(Gist!$R$6:$R$999,P19,Gist!$S$6:$S$999)</f>
        <v>0.5</v>
      </c>
      <c r="S19" s="8">
        <f t="shared" si="4"/>
        <v>0</v>
      </c>
      <c r="U19" s="8" t="str">
        <f>'Grondstof soorten'!B45</f>
        <v>Tasmaanse Bergpeper</v>
      </c>
      <c r="V19" s="8">
        <f>SUMIF(Verpakkingen!$G$6:$G$999,U19,Verpakkingen!$J$6:$J$99)</f>
        <v>0</v>
      </c>
      <c r="W19" s="9">
        <f>SUMIF(Verpakkingen!$S$6:$S$999,U19,Verpakkingen!$T$6:$T$999)</f>
        <v>0</v>
      </c>
      <c r="X19" s="8">
        <f t="shared" si="5"/>
        <v>0</v>
      </c>
    </row>
    <row r="20">
      <c r="A20" s="8" t="str">
        <f>'Grondstof soorten'!A19</f>
        <v>CaraAmber</v>
      </c>
      <c r="B20" s="8">
        <f>SUMIF(Granen!G18:G1011,A20,Granen!J18:J111)</f>
        <v>25</v>
      </c>
      <c r="C20" s="9">
        <f>SUMIF(Granen!R18:R1011,A20,Granen!S18:S1011)</f>
        <v>25</v>
      </c>
      <c r="D20" s="8">
        <f t="shared" si="1"/>
        <v>0</v>
      </c>
      <c r="F20" s="8" t="str">
        <f>'Grondstof soorten'!C19</f>
        <v>Nelson Sauvin</v>
      </c>
      <c r="G20" s="8">
        <f>SUMIF(Hop!$G$6:$G$999,F20,Hop!$J$6:$J$99)</f>
        <v>2</v>
      </c>
      <c r="H20" s="9">
        <f>SUMIF(Hop!$R$6:$R$999,F20,Hop!$S$6:$S$999)</f>
        <v>2</v>
      </c>
      <c r="I20" s="8">
        <f t="shared" si="2"/>
        <v>0</v>
      </c>
      <c r="K20" s="8" t="str">
        <f>'Grondstof soorten'!B19</f>
        <v>mandarijnen</v>
      </c>
      <c r="L20" s="8">
        <f>SUMIF(Toevoegingen!$G$6:$G$999,K20,Toevoegingen!$J$6:$J$99)</f>
        <v>4.6</v>
      </c>
      <c r="M20" s="9">
        <f>SUMIF(Toevoegingen!$R$6:$R$999,K20,Toevoegingen!$S$6:$S$999)</f>
        <v>4.6</v>
      </c>
      <c r="N20" s="8">
        <f t="shared" si="3"/>
        <v>0</v>
      </c>
      <c r="P20" s="8" t="str">
        <f>'Grondstof soorten'!D19</f>
        <v/>
      </c>
      <c r="Q20" s="8">
        <f>SUMIF(Gist!$G$6:$G$999,P20,Gist!$J$6:$J$99)</f>
        <v>0</v>
      </c>
      <c r="R20" s="9">
        <f>SUMIF(Gist!$R$6:$R$999,P20,Gist!$S$6:$S$999)</f>
        <v>0</v>
      </c>
      <c r="S20" s="8">
        <f t="shared" si="4"/>
        <v>0</v>
      </c>
      <c r="U20" s="8" t="str">
        <f>'Grondstof soorten'!E19</f>
        <v/>
      </c>
      <c r="V20" s="8">
        <f>SUMIF(Verpakkingen!$G$6:$G$999,U20,Verpakkingen!$J$6:$J$99)</f>
        <v>0</v>
      </c>
      <c r="W20" s="9">
        <f>SUMIF(Verpakkingen!$S$6:$S$999,U20,Verpakkingen!$T$6:$T$999)</f>
        <v>0</v>
      </c>
      <c r="X20" s="8">
        <f t="shared" si="5"/>
        <v>0</v>
      </c>
    </row>
    <row r="21">
      <c r="A21" s="8" t="str">
        <f>'Grondstof soorten'!A20</f>
        <v>Caramel 30</v>
      </c>
      <c r="B21" s="8">
        <f>SUMIF(Granen!G19:G1012,A21,Granen!J19:J112)</f>
        <v>5</v>
      </c>
      <c r="C21" s="9">
        <f>SUMIF(Granen!R19:R1012,A21,Granen!S19:S1012)</f>
        <v>5</v>
      </c>
      <c r="D21" s="8">
        <f t="shared" si="1"/>
        <v>0</v>
      </c>
      <c r="F21" s="8" t="str">
        <f>'Grondstof soorten'!C20</f>
        <v>Cashmere</v>
      </c>
      <c r="G21" s="8">
        <f>SUMIF(Hop!$G$6:$G$999,F21,Hop!$J$6:$J$99)</f>
        <v>1</v>
      </c>
      <c r="H21" s="9">
        <f>SUMIF(Hop!$R$6:$R$999,F21,Hop!$S$6:$S$999)</f>
        <v>1</v>
      </c>
      <c r="I21" s="8">
        <f t="shared" si="2"/>
        <v>0</v>
      </c>
      <c r="K21" s="8" t="str">
        <f>'Grondstof soorten'!B20</f>
        <v>mandarijn aroma</v>
      </c>
      <c r="L21" s="8">
        <f>SUMIF(Toevoegingen!$G$6:$G$999,K21,Toevoegingen!$J$6:$J$99)</f>
        <v>0.05</v>
      </c>
      <c r="M21" s="9">
        <f>SUMIF(Toevoegingen!$R$6:$R$999,K21,Toevoegingen!$S$6:$S$999)</f>
        <v>0.05</v>
      </c>
      <c r="N21" s="8">
        <f t="shared" si="3"/>
        <v>0</v>
      </c>
      <c r="P21" s="8" t="str">
        <f>'Grondstof soorten'!D20</f>
        <v/>
      </c>
      <c r="Q21" s="8">
        <f>SUMIF(Gist!$G$6:$G$999,P21,Gist!$J$6:$J$99)</f>
        <v>0</v>
      </c>
      <c r="R21" s="9">
        <f>SUMIF(Gist!$R$6:$R$999,P21,Gist!$S$6:$S$999)</f>
        <v>0</v>
      </c>
      <c r="S21" s="8">
        <f t="shared" si="4"/>
        <v>0</v>
      </c>
      <c r="U21" s="8" t="str">
        <f>'Grondstof soorten'!E20</f>
        <v/>
      </c>
      <c r="V21" s="8">
        <f>SUMIF(Verpakkingen!$G$6:$G$999,U21,Verpakkingen!$J$6:$J$99)</f>
        <v>0</v>
      </c>
      <c r="W21" s="9">
        <f>SUMIF(Verpakkingen!$S$6:$S$999,U21,Verpakkingen!$T$6:$T$999)</f>
        <v>0</v>
      </c>
      <c r="X21" s="8">
        <f t="shared" si="5"/>
        <v>0</v>
      </c>
    </row>
    <row r="22">
      <c r="A22" s="8" t="str">
        <f>'Grondstof soorten'!A21</f>
        <v>parelgerst</v>
      </c>
      <c r="B22" s="8">
        <f>SUMIF(Granen!G20:G1013,A22,Granen!J20:J113)</f>
        <v>2</v>
      </c>
      <c r="C22" s="9">
        <f>SUMIF(Granen!R20:R1013,A22,Granen!S20:S1013)</f>
        <v>1</v>
      </c>
      <c r="D22" s="8">
        <f t="shared" si="1"/>
        <v>1</v>
      </c>
      <c r="F22" s="8" t="str">
        <f>'Grondstof soorten'!C21</f>
        <v>Sabro</v>
      </c>
      <c r="G22" s="8">
        <f>SUMIF(Hop!$G$6:$G$999,F22,Hop!$J$6:$J$99)</f>
        <v>1</v>
      </c>
      <c r="H22" s="9">
        <f>SUMIF(Hop!$R$6:$R$999,F22,Hop!$S$6:$S$999)</f>
        <v>1</v>
      </c>
      <c r="I22" s="8">
        <f t="shared" si="2"/>
        <v>0</v>
      </c>
      <c r="K22" s="8" t="str">
        <f>'Grondstof soorten'!B21</f>
        <v>Japanse duizendknoop</v>
      </c>
      <c r="L22" s="8">
        <f>SUMIF(Toevoegingen!$G$6:$G$999,K22,Toevoegingen!$J$6:$J$99)</f>
        <v>20</v>
      </c>
      <c r="M22" s="9">
        <f>SUMIF(Toevoegingen!$R$6:$R$999,K22,Toevoegingen!$S$6:$S$999)</f>
        <v>20</v>
      </c>
      <c r="N22" s="8">
        <f t="shared" si="3"/>
        <v>0</v>
      </c>
      <c r="P22" s="8" t="str">
        <f>'Grondstof soorten'!D21</f>
        <v/>
      </c>
      <c r="Q22" s="8">
        <f>SUMIF(Gist!$G$6:$G$999,P22,Gist!$J$6:$J$99)</f>
        <v>0</v>
      </c>
      <c r="R22" s="9">
        <f>SUMIF(Gist!$R$6:$R$999,P22,Gist!$S$6:$S$999)</f>
        <v>0</v>
      </c>
      <c r="S22" s="8">
        <f t="shared" si="4"/>
        <v>0</v>
      </c>
      <c r="U22" s="8" t="str">
        <f>'Grondstof soorten'!E21</f>
        <v/>
      </c>
      <c r="V22" s="8">
        <f>SUMIF(Verpakkingen!$G$6:$G$999,U22,Verpakkingen!$J$6:$J$99)</f>
        <v>0</v>
      </c>
      <c r="W22" s="9">
        <f>SUMIF(Verpakkingen!$S$6:$S$999,U22,Verpakkingen!$T$6:$T$999)</f>
        <v>0</v>
      </c>
      <c r="X22" s="8">
        <f t="shared" si="5"/>
        <v>0</v>
      </c>
    </row>
    <row r="23">
      <c r="A23" s="8" t="str">
        <f>'Grondstof soorten'!A22</f>
        <v>Cara 50 MD</v>
      </c>
      <c r="B23" s="8">
        <f>SUMIF(Granen!G21:G1014,A23,Granen!J21:J114)</f>
        <v>25</v>
      </c>
      <c r="C23" s="9">
        <f>SUMIF(Granen!R21:R1014,A23,Granen!S21:S1014)</f>
        <v>25</v>
      </c>
      <c r="D23" s="8">
        <f t="shared" si="1"/>
        <v>0</v>
      </c>
      <c r="F23" s="8" t="str">
        <f>'Grondstof soorten'!C22</f>
        <v>Crystal</v>
      </c>
      <c r="G23" s="8">
        <f>SUMIF(Hop!$G$6:$G$999,F23,Hop!$J$6:$J$99)</f>
        <v>0.2</v>
      </c>
      <c r="H23" s="9">
        <f>SUMIF(Hop!$R$6:$R$999,F23,Hop!$S$6:$S$999)</f>
        <v>0.2</v>
      </c>
      <c r="I23" s="8">
        <f t="shared" si="2"/>
        <v>0</v>
      </c>
      <c r="K23" s="8" t="str">
        <f>'Grondstof soorten'!B22</f>
        <v>pompelmoes</v>
      </c>
      <c r="L23" s="8">
        <f>SUMIF(Toevoegingen!$G$6:$G$999,K23,Toevoegingen!$J$6:$J$99)</f>
        <v>7.53</v>
      </c>
      <c r="M23" s="9">
        <f>SUMIF(Toevoegingen!$R$6:$R$999,K23,Toevoegingen!$S$6:$S$999)</f>
        <v>7.53</v>
      </c>
      <c r="N23" s="8">
        <f t="shared" si="3"/>
        <v>0</v>
      </c>
      <c r="P23" s="8" t="str">
        <f>'Grondstof soorten'!D22</f>
        <v/>
      </c>
      <c r="Q23" s="8">
        <f>SUMIF(Gist!$G$6:$G$999,P23,Gist!$J$6:$J$99)</f>
        <v>0</v>
      </c>
      <c r="R23" s="9">
        <f>SUMIF(Gist!$R$6:$R$999,P23,Gist!$S$6:$S$999)</f>
        <v>0</v>
      </c>
      <c r="S23" s="8">
        <f t="shared" si="4"/>
        <v>0</v>
      </c>
      <c r="U23" s="8" t="str">
        <f>'Grondstof soorten'!E22</f>
        <v/>
      </c>
      <c r="V23" s="8">
        <f>SUMIF(Verpakkingen!$G$6:$G$999,U23,Verpakkingen!$J$6:$J$99)</f>
        <v>0</v>
      </c>
      <c r="W23" s="9">
        <f>SUMIF(Verpakkingen!$S$6:$S$999,U23,Verpakkingen!$T$6:$T$999)</f>
        <v>0</v>
      </c>
      <c r="X23" s="8">
        <f t="shared" si="5"/>
        <v>0</v>
      </c>
    </row>
    <row r="24">
      <c r="A24" s="8" t="str">
        <f>'Grondstof soorten'!A23</f>
        <v>Sushi rijst</v>
      </c>
      <c r="B24" s="8">
        <f>SUMIF(Granen!G22:G1015,A24,Granen!J22:J115)</f>
        <v>15</v>
      </c>
      <c r="C24" s="9">
        <f>SUMIF(Granen!R22:R1015,A24,Granen!S22:S1015)</f>
        <v>15</v>
      </c>
      <c r="D24" s="8">
        <f t="shared" si="1"/>
        <v>0</v>
      </c>
      <c r="F24" s="8" t="str">
        <f>'Grondstof soorten'!C23</f>
        <v>Motueka</v>
      </c>
      <c r="G24" s="8">
        <f>SUMIF(Hop!$G$6:$G$999,F24,Hop!$J$6:$J$99)</f>
        <v>2</v>
      </c>
      <c r="H24" s="9">
        <f>SUMIF(Hop!$R$6:$R$999,F24,Hop!$S$6:$S$999)</f>
        <v>2</v>
      </c>
      <c r="I24" s="8">
        <f t="shared" si="2"/>
        <v>0</v>
      </c>
      <c r="K24" s="8" t="str">
        <f>'Grondstof soorten'!B23</f>
        <v>Kersen</v>
      </c>
      <c r="L24" s="8">
        <f>SUMIF(Toevoegingen!$G$6:$G$999,K24,Toevoegingen!$J$6:$J$99)</f>
        <v>37</v>
      </c>
      <c r="M24" s="9">
        <f>SUMIF(Toevoegingen!$R$6:$R$999,K24,Toevoegingen!$S$6:$S$999)</f>
        <v>37</v>
      </c>
      <c r="N24" s="8">
        <f t="shared" si="3"/>
        <v>0</v>
      </c>
      <c r="P24" s="8" t="str">
        <f>'Grondstof soorten'!D23</f>
        <v/>
      </c>
      <c r="Q24" s="8">
        <f>SUMIF(Gist!$G$6:$G$999,P24,Gist!$J$6:$J$99)</f>
        <v>0</v>
      </c>
      <c r="R24" s="9">
        <f>SUMIF(Gist!$R$6:$R$999,P24,Gist!$S$6:$S$999)</f>
        <v>0</v>
      </c>
      <c r="S24" s="8">
        <f t="shared" si="4"/>
        <v>0</v>
      </c>
      <c r="U24" s="8" t="str">
        <f>'Grondstof soorten'!E23</f>
        <v/>
      </c>
      <c r="V24" s="8">
        <f>SUMIF(Verpakkingen!$G$6:$G$999,U24,Verpakkingen!$J$6:$J$99)</f>
        <v>0</v>
      </c>
      <c r="W24" s="9">
        <f>SUMIF(Verpakkingen!$S$6:$S$999,U24,Verpakkingen!$T$6:$T$999)</f>
        <v>0</v>
      </c>
      <c r="X24" s="8">
        <f t="shared" si="5"/>
        <v>0</v>
      </c>
    </row>
    <row r="25">
      <c r="A25" s="8" t="str">
        <f>'Grondstof soorten'!A24</f>
        <v>Spelt</v>
      </c>
      <c r="B25" s="8">
        <f>SUMIF(Granen!G23:G1016,A25,Granen!J23:J116)</f>
        <v>20</v>
      </c>
      <c r="C25" s="9">
        <f>SUMIF(Granen!R23:R1016,A25,Granen!S23:S1016)</f>
        <v>0</v>
      </c>
      <c r="D25" s="8">
        <f t="shared" si="1"/>
        <v>20</v>
      </c>
      <c r="F25" s="8" t="str">
        <f>'Grondstof soorten'!C24</f>
        <v>Hallertau Cascade</v>
      </c>
      <c r="G25" s="8">
        <f>SUMIF(Hop!$G$6:$G$999,F25,Hop!$J$6:$J$99)</f>
        <v>1</v>
      </c>
      <c r="H25" s="9">
        <f>SUMIF(Hop!$R$6:$R$999,F25,Hop!$S$6:$S$999)</f>
        <v>1</v>
      </c>
      <c r="I25" s="8">
        <f t="shared" si="2"/>
        <v>0</v>
      </c>
      <c r="K25" s="8" t="str">
        <f>'Grondstof soorten'!B24</f>
        <v>Tonkabonen</v>
      </c>
      <c r="L25" s="8">
        <f>SUMIF(Toevoegingen!$G$6:$G$999,K25,Toevoegingen!$J$6:$J$99)</f>
        <v>0.1</v>
      </c>
      <c r="M25" s="9">
        <f>SUMIF(Toevoegingen!$R$6:$R$999,K25,Toevoegingen!$S$6:$S$999)</f>
        <v>0.075</v>
      </c>
      <c r="N25" s="8">
        <f t="shared" si="3"/>
        <v>0.025</v>
      </c>
      <c r="P25" s="8" t="str">
        <f>'Grondstof soorten'!D24</f>
        <v/>
      </c>
      <c r="Q25" s="8">
        <f>SUMIF(Gist!$G$6:$G$999,P25,Gist!$J$6:$J$99)</f>
        <v>0</v>
      </c>
      <c r="R25" s="9">
        <f>SUMIF(Gist!$R$6:$R$999,P25,Gist!$S$6:$S$999)</f>
        <v>0</v>
      </c>
      <c r="S25" s="8">
        <f t="shared" si="4"/>
        <v>0</v>
      </c>
      <c r="U25" s="8" t="str">
        <f>'Grondstof soorten'!E24</f>
        <v/>
      </c>
      <c r="V25" s="8">
        <f>SUMIF(Verpakkingen!$G$6:$G$999,U25,Verpakkingen!$J$6:$J$99)</f>
        <v>0</v>
      </c>
      <c r="W25" s="9">
        <f>SUMIF(Verpakkingen!$S$6:$S$999,U25,Verpakkingen!$T$6:$T$999)</f>
        <v>0</v>
      </c>
      <c r="X25" s="8">
        <f t="shared" si="5"/>
        <v>0</v>
      </c>
    </row>
    <row r="26">
      <c r="A26" s="8" t="str">
        <f>'Grondstof soorten'!A25</f>
        <v>rijsthulzen</v>
      </c>
      <c r="B26" s="8">
        <f>SUMIF(Granen!G24:G1017,A26,Granen!J24:J117)</f>
        <v>21</v>
      </c>
      <c r="C26" s="9">
        <f>SUMIF(Granen!R24:R1017,A26,Granen!S24:S1017)</f>
        <v>14</v>
      </c>
      <c r="D26" s="8">
        <f t="shared" si="1"/>
        <v>7</v>
      </c>
      <c r="F26" s="8" t="str">
        <f>'Grondstof soorten'!C25</f>
        <v>Styrian Kolibri</v>
      </c>
      <c r="G26" s="8">
        <f>SUMIF(Hop!$G$6:$G$999,F26,Hop!$J$6:$J$99)</f>
        <v>1</v>
      </c>
      <c r="H26" s="9">
        <f>SUMIF(Hop!$R$6:$R$999,F26,Hop!$S$6:$S$999)</f>
        <v>1</v>
      </c>
      <c r="I26" s="8">
        <f t="shared" si="2"/>
        <v>0</v>
      </c>
      <c r="K26" s="8" t="str">
        <f>'Grondstof soorten'!B25</f>
        <v>Pompelmoesmunt</v>
      </c>
      <c r="L26" s="8">
        <f>SUMIF(Toevoegingen!$G$6:$G$999,K26,Toevoegingen!$J$6:$J$99)</f>
        <v>7</v>
      </c>
      <c r="M26" s="9">
        <f>SUMIF(Toevoegingen!$R$6:$R$999,K26,Toevoegingen!$S$6:$S$999)</f>
        <v>7</v>
      </c>
      <c r="N26" s="8">
        <f t="shared" si="3"/>
        <v>0</v>
      </c>
      <c r="P26" s="8" t="str">
        <f>'Grondstof soorten'!D25</f>
        <v/>
      </c>
      <c r="Q26" s="8">
        <f>SUMIF(Gist!$G$6:$G$999,P26,Gist!$J$6:$J$99)</f>
        <v>0</v>
      </c>
      <c r="R26" s="9">
        <f>SUMIF(Gist!$R$6:$R$999,P26,Gist!$S$6:$S$999)</f>
        <v>0</v>
      </c>
      <c r="S26" s="8">
        <f t="shared" si="4"/>
        <v>0</v>
      </c>
      <c r="U26" s="8" t="str">
        <f>'Grondstof soorten'!E25</f>
        <v/>
      </c>
      <c r="V26" s="8">
        <f>SUMIF(Verpakkingen!$G$6:$G$999,U26,Verpakkingen!$J$6:$J$99)</f>
        <v>0</v>
      </c>
      <c r="W26" s="9">
        <f>SUMIF(Verpakkingen!$S$6:$S$999,U26,Verpakkingen!$T$6:$T$999)</f>
        <v>0</v>
      </c>
      <c r="X26" s="8">
        <f t="shared" si="5"/>
        <v>0</v>
      </c>
    </row>
    <row r="27">
      <c r="A27" s="8" t="str">
        <f>'Grondstof soorten'!A26</f>
        <v>Carafa Special</v>
      </c>
      <c r="B27" s="8">
        <f>SUMIF(Granen!G25:G1018,A27,Granen!J25:J118)</f>
        <v>5</v>
      </c>
      <c r="C27" s="9">
        <f>SUMIF(Granen!R25:R1018,A27,Granen!S25:S1018)</f>
        <v>2.5</v>
      </c>
      <c r="D27" s="8">
        <f t="shared" si="1"/>
        <v>2.5</v>
      </c>
      <c r="F27" s="8" t="str">
        <f>'Grondstof soorten'!C26</f>
        <v>Bobek</v>
      </c>
      <c r="G27" s="8">
        <f>SUMIF(Hop!$G$6:$G$999,F27,Hop!$J$6:$J$99)</f>
        <v>1</v>
      </c>
      <c r="H27" s="9">
        <f>SUMIF(Hop!$R$6:$R$999,F27,Hop!$S$6:$S$999)</f>
        <v>1</v>
      </c>
      <c r="I27" s="8">
        <f t="shared" si="2"/>
        <v>0</v>
      </c>
      <c r="K27" s="8" t="str">
        <f>'Grondstof soorten'!B26</f>
        <v>King mints</v>
      </c>
      <c r="L27" s="8">
        <f>SUMIF(Toevoegingen!$G$6:$G$999,K27,Toevoegingen!$J$6:$J$99)</f>
        <v>6</v>
      </c>
      <c r="M27" s="9">
        <f>SUMIF(Toevoegingen!$R$6:$R$999,K27,Toevoegingen!$S$6:$S$999)</f>
        <v>4</v>
      </c>
      <c r="N27" s="8">
        <f t="shared" si="3"/>
        <v>2</v>
      </c>
      <c r="P27" s="8" t="str">
        <f>'Grondstof soorten'!D26</f>
        <v/>
      </c>
      <c r="Q27" s="8">
        <f>SUMIF(Gist!$G$6:$G$999,P27,Gist!$J$6:$J$99)</f>
        <v>0</v>
      </c>
      <c r="R27" s="9">
        <f>SUMIF(Gist!$R$6:$R$999,P27,Gist!$S$6:$S$999)</f>
        <v>0</v>
      </c>
      <c r="S27" s="8">
        <f t="shared" si="4"/>
        <v>0</v>
      </c>
      <c r="U27" s="8" t="str">
        <f>'Grondstof soorten'!E26</f>
        <v/>
      </c>
      <c r="V27" s="8">
        <f>SUMIF(Verpakkingen!$G$6:$G$999,U27,Verpakkingen!$J$6:$J$99)</f>
        <v>0</v>
      </c>
      <c r="W27" s="9">
        <f>SUMIF(Verpakkingen!$S$6:$S$999,U27,Verpakkingen!$T$6:$T$999)</f>
        <v>0</v>
      </c>
      <c r="X27" s="8">
        <f t="shared" si="5"/>
        <v>0</v>
      </c>
    </row>
    <row r="28">
      <c r="A28" s="8" t="str">
        <f>'Grondstof soorten'!A27</f>
        <v/>
      </c>
      <c r="B28" s="8">
        <f>SUMIF(Granen!G26:G1019,A28,Granen!J26:J119)</f>
        <v>0</v>
      </c>
      <c r="C28" s="9">
        <f>SUMIF(Granen!R26:R1019,A28,Granen!S26:S1019)</f>
        <v>0</v>
      </c>
      <c r="D28" s="8">
        <f t="shared" si="1"/>
        <v>0</v>
      </c>
      <c r="F28" s="8" t="str">
        <f>'Grondstof soorten'!C27</f>
        <v>Talus</v>
      </c>
      <c r="G28" s="8">
        <f>SUMIF(Hop!$G$6:$G$999,F28,Hop!$J$6:$J$99)</f>
        <v>1</v>
      </c>
      <c r="H28" s="9">
        <f>SUMIF(Hop!$R$6:$R$999,F28,Hop!$S$6:$S$999)</f>
        <v>1</v>
      </c>
      <c r="I28" s="8">
        <f t="shared" si="2"/>
        <v>0</v>
      </c>
      <c r="K28" s="8" t="str">
        <f>'Grondstof soorten'!B27</f>
        <v>Green Sichuan Pepper</v>
      </c>
      <c r="L28" s="8">
        <f>SUMIF(Toevoegingen!$G$6:$G$999,K28,Toevoegingen!$J$6:$J$99)</f>
        <v>0.15</v>
      </c>
      <c r="M28" s="9">
        <f>SUMIF(Toevoegingen!$R$6:$R$999,K28,Toevoegingen!$S$6:$S$999)</f>
        <v>0.15</v>
      </c>
      <c r="N28" s="8">
        <f t="shared" si="3"/>
        <v>0</v>
      </c>
      <c r="P28" s="8" t="str">
        <f>'Grondstof soorten'!D27</f>
        <v/>
      </c>
      <c r="Q28" s="8">
        <f>SUMIF(Gist!$G$6:$G$999,P28,Gist!$J$6:$J$99)</f>
        <v>0</v>
      </c>
      <c r="R28" s="9">
        <f>SUMIF(Gist!$R$6:$R$999,P28,Gist!$S$6:$S$999)</f>
        <v>0</v>
      </c>
      <c r="S28" s="8">
        <f t="shared" si="4"/>
        <v>0</v>
      </c>
      <c r="U28" s="8" t="str">
        <f>'Grondstof soorten'!E27</f>
        <v/>
      </c>
      <c r="V28" s="8">
        <f>SUMIF(Verpakkingen!$G$6:$G$999,U28,Verpakkingen!$J$6:$J$99)</f>
        <v>0</v>
      </c>
      <c r="W28" s="9">
        <f>SUMIF(Verpakkingen!$S$6:$S$999,U28,Verpakkingen!$T$6:$T$999)</f>
        <v>0</v>
      </c>
      <c r="X28" s="8">
        <f t="shared" si="5"/>
        <v>0</v>
      </c>
    </row>
    <row r="29">
      <c r="A29" s="8" t="str">
        <f>'Grondstof soorten'!A28</f>
        <v/>
      </c>
      <c r="B29" s="8">
        <f>SUMIF(Granen!G27:G1020,A29,Granen!J27:J120)</f>
        <v>0</v>
      </c>
      <c r="C29" s="9">
        <f>SUMIF(Granen!R27:R1020,A29,Granen!S27:S1020)</f>
        <v>0</v>
      </c>
      <c r="D29" s="8">
        <f t="shared" si="1"/>
        <v>0</v>
      </c>
      <c r="F29" s="8" t="str">
        <f>'Grondstof soorten'!C28</f>
        <v>Pacific Jade</v>
      </c>
      <c r="G29" s="8">
        <f>SUMIF(Hop!$G$6:$G$999,F29,Hop!$J$6:$J$99)</f>
        <v>1</v>
      </c>
      <c r="H29" s="9">
        <f>SUMIF(Hop!$R$6:$R$999,F29,Hop!$S$6:$S$999)</f>
        <v>1</v>
      </c>
      <c r="I29" s="8">
        <f t="shared" si="2"/>
        <v>0</v>
      </c>
      <c r="K29" s="8" t="str">
        <f>'Grondstof soorten'!B28</f>
        <v>groene thee</v>
      </c>
      <c r="L29" s="8">
        <f>SUMIF(Toevoegingen!$G$6:$G$999,K29,Toevoegingen!$J$6:$J$99)</f>
        <v>0.5</v>
      </c>
      <c r="M29" s="9">
        <f>SUMIF(Toevoegingen!$R$6:$R$999,K29,Toevoegingen!$S$6:$S$999)</f>
        <v>0.5</v>
      </c>
      <c r="N29" s="8">
        <f t="shared" si="3"/>
        <v>0</v>
      </c>
      <c r="P29" s="8" t="str">
        <f>'Grondstof soorten'!D28</f>
        <v/>
      </c>
      <c r="Q29" s="8">
        <f>SUMIF(Gist!$G$6:$G$999,P29,Gist!$J$6:$J$99)</f>
        <v>0</v>
      </c>
      <c r="R29" s="9">
        <f>SUMIF(Gist!$R$6:$R$999,P29,Gist!$S$6:$S$999)</f>
        <v>0</v>
      </c>
      <c r="S29" s="8">
        <f t="shared" si="4"/>
        <v>0</v>
      </c>
      <c r="U29" s="8" t="str">
        <f>'Grondstof soorten'!E28</f>
        <v/>
      </c>
      <c r="V29" s="8">
        <f>SUMIF(Verpakkingen!$G$6:$G$999,U29,Verpakkingen!$J$6:$J$99)</f>
        <v>0</v>
      </c>
      <c r="W29" s="9">
        <f>SUMIF(Verpakkingen!$S$6:$S$999,U29,Verpakkingen!$T$6:$T$999)</f>
        <v>0</v>
      </c>
      <c r="X29" s="8">
        <f t="shared" si="5"/>
        <v>0</v>
      </c>
    </row>
    <row r="30">
      <c r="A30" s="8" t="str">
        <f>'Grondstof soorten'!A29</f>
        <v/>
      </c>
      <c r="B30" s="8">
        <f>SUMIF(Granen!G28:G1021,A30,Granen!J28:J121)</f>
        <v>0</v>
      </c>
      <c r="C30" s="9">
        <f>SUMIF(Granen!R27:R1021,A30,Granen!S27:S1021)</f>
        <v>0</v>
      </c>
      <c r="D30" s="8">
        <f t="shared" si="1"/>
        <v>0</v>
      </c>
      <c r="F30" s="8" t="str">
        <f>'Grondstof soorten'!C29</f>
        <v>Tuinhop</v>
      </c>
      <c r="G30" s="8">
        <f>SUMIF(Hop!$G$6:$G$999,F30,Hop!$J$6:$J$99)</f>
        <v>4</v>
      </c>
      <c r="H30" s="9">
        <f>SUMIF(Hop!$R$6:$R$999,F30,Hop!$S$6:$S$999)</f>
        <v>4</v>
      </c>
      <c r="I30" s="8">
        <f t="shared" si="2"/>
        <v>0</v>
      </c>
      <c r="K30" s="8" t="str">
        <f>'Grondstof soorten'!B29</f>
        <v>jasmijn</v>
      </c>
      <c r="L30" s="8">
        <f>SUMIF(Toevoegingen!$G$6:$G$999,K30,Toevoegingen!$J$6:$J$99)</f>
        <v>0.2</v>
      </c>
      <c r="M30" s="9">
        <f>SUMIF(Toevoegingen!$R$6:$R$999,K30,Toevoegingen!$S$6:$S$999)</f>
        <v>0.2</v>
      </c>
      <c r="N30" s="8">
        <f t="shared" si="3"/>
        <v>0</v>
      </c>
      <c r="P30" s="8" t="str">
        <f>'Grondstof soorten'!D29</f>
        <v/>
      </c>
      <c r="Q30" s="8">
        <f>SUMIF(Gist!$G$6:$G$999,P30,Gist!$J$6:$J$99)</f>
        <v>0</v>
      </c>
      <c r="R30" s="9">
        <f>SUMIF(Gist!$R$6:$R$999,P30,Gist!$S$6:$S$999)</f>
        <v>0</v>
      </c>
      <c r="S30" s="8">
        <f t="shared" si="4"/>
        <v>0</v>
      </c>
      <c r="U30" s="8" t="str">
        <f>'Grondstof soorten'!E29</f>
        <v/>
      </c>
      <c r="V30" s="8">
        <f>SUMIF(Verpakkingen!$G$6:$G$999,U30,Verpakkingen!$J$6:$J$99)</f>
        <v>0</v>
      </c>
      <c r="W30" s="9">
        <f>SUMIF(Verpakkingen!$S$6:$S$999,U30,Verpakkingen!$T$6:$T$999)</f>
        <v>0</v>
      </c>
      <c r="X30" s="8">
        <f t="shared" si="5"/>
        <v>0</v>
      </c>
    </row>
    <row r="31">
      <c r="A31" s="8" t="str">
        <f>'Grondstof soorten'!A30</f>
        <v/>
      </c>
      <c r="B31" s="8">
        <f>SUMIF(Granen!G29:G1022,A31,Granen!J29:J122)</f>
        <v>0</v>
      </c>
      <c r="C31" s="9">
        <f>SUMIF(Granen!R29:R1022,A31,Granen!S29:S1022)</f>
        <v>0</v>
      </c>
      <c r="D31" s="8">
        <f t="shared" si="1"/>
        <v>0</v>
      </c>
      <c r="F31" s="8" t="str">
        <f>'Grondstof soorten'!C30</f>
        <v>Ariana</v>
      </c>
      <c r="G31" s="8">
        <f>SUMIF(Hop!$G$6:$G$999,F31,Hop!$J$6:$J$99)</f>
        <v>1</v>
      </c>
      <c r="H31" s="9">
        <f>SUMIF(Hop!$R$6:$R$999,F31,Hop!$S$6:$S$999)</f>
        <v>1</v>
      </c>
      <c r="I31" s="8">
        <f t="shared" si="2"/>
        <v>0</v>
      </c>
      <c r="K31" s="8" t="str">
        <f>'Grondstof soorten'!B30</f>
        <v>Kamillebloemen</v>
      </c>
      <c r="L31" s="8">
        <f>SUMIF(Toevoegingen!$G$6:$G$999,K31,Toevoegingen!$J$6:$J$99)</f>
        <v>0</v>
      </c>
      <c r="M31" s="9">
        <f>SUMIF(Toevoegingen!$R$6:$R$999,K31,Toevoegingen!$S$6:$S$999)</f>
        <v>0</v>
      </c>
      <c r="N31" s="8">
        <f t="shared" si="3"/>
        <v>0</v>
      </c>
      <c r="P31" s="8" t="str">
        <f>'Grondstof soorten'!D30</f>
        <v/>
      </c>
      <c r="Q31" s="8">
        <f>SUMIF(Gist!$G$6:$G$999,P31,Gist!$J$6:$J$99)</f>
        <v>0</v>
      </c>
      <c r="R31" s="9">
        <f>SUMIF(Gist!$R$6:$R$999,P31,Gist!$S$6:$S$999)</f>
        <v>0</v>
      </c>
      <c r="S31" s="8">
        <f t="shared" si="4"/>
        <v>0</v>
      </c>
      <c r="U31" s="8" t="str">
        <f>'Grondstof soorten'!E30</f>
        <v/>
      </c>
      <c r="V31" s="8">
        <f>SUMIF(Verpakkingen!$G$6:$G$999,U31,Verpakkingen!$J$6:$J$99)</f>
        <v>0</v>
      </c>
      <c r="W31" s="9">
        <f>SUMIF(Verpakkingen!$S$6:$S$999,U31,Verpakkingen!$T$6:$T$999)</f>
        <v>0</v>
      </c>
      <c r="X31" s="8">
        <f t="shared" si="5"/>
        <v>0</v>
      </c>
    </row>
    <row r="32">
      <c r="A32" s="8" t="str">
        <f>'Grondstof soorten'!A31</f>
        <v/>
      </c>
      <c r="B32" s="8">
        <f>SUMIF(Granen!G30:G1023,A32,Granen!J30:J123)</f>
        <v>0</v>
      </c>
      <c r="C32" s="9">
        <f>SUMIF(Granen!R30:R1023,A32,Granen!S30:S1023)</f>
        <v>0</v>
      </c>
      <c r="D32" s="8">
        <f t="shared" si="1"/>
        <v>0</v>
      </c>
      <c r="F32" s="8" t="str">
        <f>'Grondstof soorten'!C31</f>
        <v>Tango</v>
      </c>
      <c r="G32" s="8">
        <f>SUMIF(Hop!$G$6:$G$999,F32,Hop!$J$6:$J$99)</f>
        <v>1</v>
      </c>
      <c r="H32" s="9">
        <f>SUMIF(Hop!$R$6:$R$999,F32,Hop!$S$6:$S$999)</f>
        <v>1</v>
      </c>
      <c r="I32" s="8">
        <f t="shared" si="2"/>
        <v>0</v>
      </c>
      <c r="K32" s="8" t="str">
        <f>'Grondstof soorten'!B31</f>
        <v>Bloedappelsiensap</v>
      </c>
      <c r="L32" s="8">
        <f>SUMIF(Toevoegingen!$G$6:$G$999,K32,Toevoegingen!$J$6:$J$99)</f>
        <v>12</v>
      </c>
      <c r="M32" s="9">
        <f>SUMIF(Toevoegingen!$R$6:$R$999,K32,Toevoegingen!$S$6:$S$999)</f>
        <v>12</v>
      </c>
      <c r="N32" s="8">
        <f t="shared" si="3"/>
        <v>0</v>
      </c>
      <c r="P32" s="8" t="str">
        <f>'Grondstof soorten'!D31</f>
        <v/>
      </c>
      <c r="Q32" s="8">
        <f>SUMIF(Gist!$G$6:$G$999,P32,Gist!$J$6:$J$99)</f>
        <v>0</v>
      </c>
      <c r="R32" s="9">
        <f>SUMIF(Gist!$R$6:$R$999,P32,Gist!$S$6:$S$999)</f>
        <v>0</v>
      </c>
      <c r="S32" s="8">
        <f t="shared" si="4"/>
        <v>0</v>
      </c>
      <c r="U32" s="8" t="str">
        <f>'Grondstof soorten'!E31</f>
        <v/>
      </c>
      <c r="V32" s="8">
        <f>SUMIF(Verpakkingen!$G$6:$G$999,U32,Verpakkingen!$J$6:$J$99)</f>
        <v>0</v>
      </c>
      <c r="W32" s="9">
        <f>SUMIF(Verpakkingen!$S$6:$S$999,U32,Verpakkingen!$T$6:$T$999)</f>
        <v>0</v>
      </c>
      <c r="X32" s="8">
        <f t="shared" si="5"/>
        <v>0</v>
      </c>
    </row>
    <row r="33">
      <c r="A33" s="8" t="str">
        <f>'Grondstof soorten'!A32</f>
        <v/>
      </c>
      <c r="B33" s="8">
        <f>SUMIF(Granen!G31:G1024,A33,Granen!J31:J124)</f>
        <v>0</v>
      </c>
      <c r="C33" s="9">
        <f>SUMIF(Granen!R31:R1024,A33,Granen!S31:S1024)</f>
        <v>0</v>
      </c>
      <c r="D33" s="8">
        <f t="shared" si="1"/>
        <v>0</v>
      </c>
      <c r="F33" s="8" t="str">
        <f>'Grondstof soorten'!C32</f>
        <v/>
      </c>
      <c r="G33" s="8">
        <f>SUMIF(Hop!$G$6:$G$999,F33,Hop!$J$6:$J$99)</f>
        <v>0</v>
      </c>
      <c r="H33" s="9">
        <f>SUMIF(Hop!$R$6:$R$999,F33,Hop!$S$6:$S$999)</f>
        <v>0</v>
      </c>
      <c r="I33" s="8">
        <f t="shared" si="2"/>
        <v>0</v>
      </c>
      <c r="K33" s="8" t="str">
        <f>'Grondstof soorten'!B32</f>
        <v>Bloedappelsienen</v>
      </c>
      <c r="L33" s="8">
        <f>SUMIF(Toevoegingen!$G$6:$G$999,K33,Toevoegingen!$J$6:$J$99)</f>
        <v>12</v>
      </c>
      <c r="M33" s="9">
        <f>SUMIF(Toevoegingen!$R$6:$R$999,K33,Toevoegingen!$S$6:$S$999)</f>
        <v>12</v>
      </c>
      <c r="N33" s="8">
        <f t="shared" si="3"/>
        <v>0</v>
      </c>
      <c r="P33" s="8" t="str">
        <f>'Grondstof soorten'!D32</f>
        <v/>
      </c>
      <c r="Q33" s="8">
        <f>SUMIF(Gist!$G$6:$G$999,P33,Gist!$J$6:$J$99)</f>
        <v>0</v>
      </c>
      <c r="R33" s="9">
        <f>SUMIF(Gist!$R$6:$R$999,P33,Gist!$S$6:$S$999)</f>
        <v>0</v>
      </c>
      <c r="S33" s="8">
        <f t="shared" si="4"/>
        <v>0</v>
      </c>
      <c r="U33" s="8" t="str">
        <f>'Grondstof soorten'!E32</f>
        <v/>
      </c>
      <c r="V33" s="8">
        <f>SUMIF(Verpakkingen!$G$6:$G$999,U33,Verpakkingen!$J$6:$J$99)</f>
        <v>0</v>
      </c>
      <c r="W33" s="9">
        <f>SUMIF(Verpakkingen!$S$6:$S$999,U33,Verpakkingen!$T$6:$T$999)</f>
        <v>0</v>
      </c>
      <c r="X33" s="8">
        <f t="shared" si="5"/>
        <v>0</v>
      </c>
    </row>
    <row r="34">
      <c r="A34" s="8" t="str">
        <f>'Grondstof soorten'!A33</f>
        <v/>
      </c>
      <c r="B34" s="8">
        <f>SUMIF(Granen!G32:G1025,A34,Granen!J32:J125)</f>
        <v>0</v>
      </c>
      <c r="C34" s="9">
        <f>SUMIF(Granen!R32:R1025,A34,Granen!S32:S1025)</f>
        <v>0</v>
      </c>
      <c r="D34" s="8">
        <f t="shared" si="1"/>
        <v>0</v>
      </c>
      <c r="F34" s="8" t="str">
        <f>'Grondstof soorten'!C33</f>
        <v/>
      </c>
      <c r="G34" s="8">
        <f>SUMIF(Hop!$G$6:$G$999,F34,Hop!$J$6:$J$99)</f>
        <v>0</v>
      </c>
      <c r="H34" s="9">
        <f>SUMIF(Hop!$R$6:$R$999,F34,Hop!$S$6:$S$999)</f>
        <v>0</v>
      </c>
      <c r="I34" s="8">
        <f t="shared" si="2"/>
        <v>0</v>
      </c>
      <c r="K34" s="8" t="str">
        <f>'Grondstof soorten'!B33</f>
        <v>koffie</v>
      </c>
      <c r="L34" s="8">
        <f>SUMIF(Toevoegingen!$G$6:$G$999,K34,Toevoegingen!$J$6:$J$99)</f>
        <v>1</v>
      </c>
      <c r="M34" s="9">
        <f>SUMIF(Toevoegingen!$R$6:$R$999,K34,Toevoegingen!$S$6:$S$999)</f>
        <v>1</v>
      </c>
      <c r="N34" s="8">
        <f t="shared" si="3"/>
        <v>0</v>
      </c>
      <c r="P34" s="8" t="str">
        <f>'Grondstof soorten'!D33</f>
        <v/>
      </c>
      <c r="Q34" s="8">
        <f>SUMIF(Gist!$G$6:$G$999,P34,Gist!$J$6:$J$99)</f>
        <v>0</v>
      </c>
      <c r="R34" s="9">
        <f>SUMIF(Gist!$R$6:$R$999,P34,Gist!$S$6:$S$999)</f>
        <v>0</v>
      </c>
      <c r="S34" s="8">
        <f t="shared" si="4"/>
        <v>0</v>
      </c>
      <c r="U34" s="8" t="str">
        <f>'Grondstof soorten'!E33</f>
        <v/>
      </c>
      <c r="V34" s="8">
        <f>SUMIF(Verpakkingen!$G$6:$G$999,U34,Verpakkingen!$J$6:$J$99)</f>
        <v>0</v>
      </c>
      <c r="W34" s="9">
        <f>SUMIF(Verpakkingen!$S$6:$S$999,U34,Verpakkingen!$T$6:$T$999)</f>
        <v>0</v>
      </c>
      <c r="X34" s="8">
        <f t="shared" si="5"/>
        <v>0</v>
      </c>
    </row>
    <row r="35">
      <c r="A35" s="8" t="str">
        <f>'Grondstof soorten'!A34</f>
        <v/>
      </c>
      <c r="B35" s="8">
        <f>SUMIF(Granen!G33:G1026,A35,Granen!J33:J126)</f>
        <v>0</v>
      </c>
      <c r="C35" s="9">
        <f>SUMIF(Granen!R33:R1026,A35,Granen!S33:S1026)</f>
        <v>0</v>
      </c>
      <c r="D35" s="8">
        <f t="shared" si="1"/>
        <v>0</v>
      </c>
      <c r="F35" s="8" t="str">
        <f>'Grondstof soorten'!C34</f>
        <v/>
      </c>
      <c r="G35" s="8">
        <f>SUMIF(Hop!$G$6:$G$999,F35,Hop!$J$6:$J$99)</f>
        <v>0</v>
      </c>
      <c r="H35" s="9">
        <f>SUMIF(Hop!$R$6:$R$999,F35,Hop!$S$6:$S$999)</f>
        <v>0</v>
      </c>
      <c r="I35" s="8">
        <f t="shared" si="2"/>
        <v>0</v>
      </c>
      <c r="K35" s="8" t="str">
        <f>'Grondstof soorten'!B34</f>
        <v>vanille</v>
      </c>
      <c r="L35" s="8">
        <f>SUMIF(Toevoegingen!$G$6:$G$999,K35,Toevoegingen!$J$6:$J$99)</f>
        <v>0.048</v>
      </c>
      <c r="M35" s="9">
        <f>SUMIF(Toevoegingen!$R$6:$R$999,K35,Toevoegingen!$S$6:$S$999)</f>
        <v>0.048</v>
      </c>
      <c r="N35" s="8">
        <f t="shared" si="3"/>
        <v>0</v>
      </c>
      <c r="P35" s="8" t="str">
        <f>'Grondstof soorten'!D34</f>
        <v/>
      </c>
      <c r="Q35" s="8">
        <f>SUMIF(Gist!$G$6:$G$999,P35,Gist!$J$6:$J$99)</f>
        <v>0</v>
      </c>
      <c r="R35" s="9">
        <f>SUMIF(Gist!$R$6:$R$999,P35,Gist!$S$6:$S$999)</f>
        <v>0</v>
      </c>
      <c r="S35" s="8">
        <f t="shared" si="4"/>
        <v>0</v>
      </c>
      <c r="U35" s="8" t="str">
        <f>'Grondstof soorten'!E34</f>
        <v/>
      </c>
      <c r="V35" s="8">
        <f>SUMIF(Verpakkingen!$G$6:$G$999,U35,Verpakkingen!$J$6:$J$99)</f>
        <v>0</v>
      </c>
      <c r="W35" s="9">
        <f>SUMIF(Verpakkingen!$S$6:$S$999,U35,Verpakkingen!$T$6:$T$999)</f>
        <v>0</v>
      </c>
      <c r="X35" s="8">
        <f t="shared" si="5"/>
        <v>0</v>
      </c>
    </row>
    <row r="36">
      <c r="A36" s="8" t="str">
        <f>'Grondstof soorten'!A35</f>
        <v/>
      </c>
      <c r="B36" s="8">
        <f>SUMIF(Granen!G34:G1027,A36,Granen!J34:J127)</f>
        <v>0</v>
      </c>
      <c r="C36" s="9">
        <f>SUMIF(Granen!R34:R1027,A36,Granen!S34:S1027)</f>
        <v>0</v>
      </c>
      <c r="D36" s="8">
        <f t="shared" si="1"/>
        <v>0</v>
      </c>
      <c r="F36" s="8" t="str">
        <f>'Grondstof soorten'!C35</f>
        <v/>
      </c>
      <c r="G36" s="8">
        <f>SUMIF(Hop!$G$6:$G$999,F36,Hop!$J$6:$J$99)</f>
        <v>0</v>
      </c>
      <c r="H36" s="9">
        <f>SUMIF(Hop!$R$6:$R$999,F36,Hop!$S$6:$S$999)</f>
        <v>0</v>
      </c>
      <c r="I36" s="8">
        <f t="shared" si="2"/>
        <v>0</v>
      </c>
      <c r="K36" s="8" t="str">
        <f>'Grondstof soorten'!B35</f>
        <v>appelsap</v>
      </c>
      <c r="L36" s="8">
        <f>SUMIF(Toevoegingen!$G$6:$G$999,K36,Toevoegingen!$J$6:$J$99)</f>
        <v>180</v>
      </c>
      <c r="M36" s="9">
        <f>SUMIF(Toevoegingen!$R$6:$R$999,K36,Toevoegingen!$S$6:$S$999)</f>
        <v>180</v>
      </c>
      <c r="N36" s="8">
        <f t="shared" si="3"/>
        <v>0</v>
      </c>
      <c r="P36" s="8" t="str">
        <f>'Grondstof soorten'!D35</f>
        <v/>
      </c>
      <c r="Q36" s="8">
        <f>SUMIF(Gist!$G$6:$G$999,P36,Gist!$J$6:$J$99)</f>
        <v>0</v>
      </c>
      <c r="R36" s="9">
        <f>SUMIF(Gist!$R$6:$R$999,P36,Gist!$S$6:$S$999)</f>
        <v>0</v>
      </c>
      <c r="S36" s="8">
        <f t="shared" si="4"/>
        <v>0</v>
      </c>
      <c r="U36" s="8" t="str">
        <f>'Grondstof soorten'!E35</f>
        <v/>
      </c>
      <c r="V36" s="8">
        <f>SUMIF(Verpakkingen!$G$6:$G$999,U36,Verpakkingen!$J$6:$J$99)</f>
        <v>0</v>
      </c>
      <c r="W36" s="9">
        <f>SUMIF(Verpakkingen!$S$6:$S$999,U36,Verpakkingen!$T$6:$T$999)</f>
        <v>0</v>
      </c>
      <c r="X36" s="8">
        <f t="shared" si="5"/>
        <v>0</v>
      </c>
    </row>
    <row r="37">
      <c r="A37" s="8" t="str">
        <f>'Grondstof soorten'!A36</f>
        <v/>
      </c>
      <c r="B37" s="8">
        <f>SUMIF(Granen!G35:G1028,A37,Granen!J35:J128)</f>
        <v>0</v>
      </c>
      <c r="C37" s="9">
        <f>SUMIF(Granen!R35:R1028,A37,Granen!S35:S1028)</f>
        <v>0</v>
      </c>
      <c r="D37" s="8">
        <f t="shared" si="1"/>
        <v>0</v>
      </c>
      <c r="F37" s="8" t="str">
        <f>'Grondstof soorten'!C36</f>
        <v/>
      </c>
      <c r="G37" s="8">
        <f>SUMIF(Hop!$G$6:$G$999,F37,Hop!$J$6:$J$99)</f>
        <v>0</v>
      </c>
      <c r="H37" s="9">
        <f>SUMIF(Hop!$R$6:$R$999,F37,Hop!$S$6:$S$999)</f>
        <v>0</v>
      </c>
      <c r="I37" s="8">
        <f t="shared" si="2"/>
        <v>0</v>
      </c>
      <c r="K37" s="8" t="str">
        <f>'Grondstof soorten'!B36</f>
        <v>Gember</v>
      </c>
      <c r="L37" s="8">
        <f>SUMIF(Toevoegingen!$G$6:$G$999,K37,Toevoegingen!$J$6:$J$99)</f>
        <v>2.36</v>
      </c>
      <c r="M37" s="9">
        <f>SUMIF(Toevoegingen!$R$6:$R$999,K37,Toevoegingen!$S$6:$S$999)</f>
        <v>2.36</v>
      </c>
      <c r="N37" s="8">
        <f t="shared" si="3"/>
        <v>0</v>
      </c>
      <c r="P37" s="8" t="str">
        <f>'Grondstof soorten'!D36</f>
        <v/>
      </c>
      <c r="Q37" s="8">
        <f>SUMIF(Gist!$G$6:$G$999,P37,Gist!$J$6:$J$99)</f>
        <v>0</v>
      </c>
      <c r="R37" s="9">
        <f>SUMIF(Gist!$R$6:$R$999,P37,Gist!$S$6:$S$999)</f>
        <v>0</v>
      </c>
      <c r="S37" s="8">
        <f t="shared" si="4"/>
        <v>0</v>
      </c>
      <c r="U37" s="8" t="str">
        <f>'Grondstof soorten'!E36</f>
        <v/>
      </c>
      <c r="V37" s="8">
        <f>SUMIF(Verpakkingen!$G$6:$G$999,U37,Verpakkingen!$J$6:$J$99)</f>
        <v>0</v>
      </c>
      <c r="W37" s="9">
        <f>SUMIF(Verpakkingen!$S$6:$S$999,U37,Verpakkingen!$T$6:$T$999)</f>
        <v>0</v>
      </c>
      <c r="X37" s="8">
        <f t="shared" si="5"/>
        <v>0</v>
      </c>
    </row>
    <row r="38">
      <c r="A38" s="8" t="str">
        <f>'Grondstof soorten'!A37</f>
        <v/>
      </c>
      <c r="B38" s="8">
        <f>SUMIF(Granen!G36:G1029,A38,Granen!J36:J129)</f>
        <v>0</v>
      </c>
      <c r="C38" s="9">
        <f>SUMIF(Granen!R36:R1029,A38,Granen!S36:S1029)</f>
        <v>0</v>
      </c>
      <c r="D38" s="8">
        <f t="shared" si="1"/>
        <v>0</v>
      </c>
      <c r="F38" s="8" t="str">
        <f>'Grondstof soorten'!C37</f>
        <v/>
      </c>
      <c r="G38" s="8">
        <f>SUMIF(Hop!$G$6:$G$999,F38,Hop!$J$6:$J$99)</f>
        <v>0</v>
      </c>
      <c r="H38" s="9">
        <f>SUMIF(Hop!$R$6:$R$999,F38,Hop!$S$6:$S$999)</f>
        <v>0</v>
      </c>
      <c r="I38" s="8">
        <f t="shared" si="2"/>
        <v>0</v>
      </c>
      <c r="K38" s="8" t="str">
        <f>'Grondstof soorten'!B37</f>
        <v>Citroengras</v>
      </c>
      <c r="L38" s="8">
        <f>SUMIF(Toevoegingen!$G$6:$G$999,K38,Toevoegingen!$J$6:$J$99)</f>
        <v>0.84</v>
      </c>
      <c r="M38" s="9">
        <f>SUMIF(Toevoegingen!$R$6:$R$999,K38,Toevoegingen!$S$6:$S$999)</f>
        <v>0.84</v>
      </c>
      <c r="N38" s="8">
        <f t="shared" si="3"/>
        <v>0</v>
      </c>
      <c r="P38" s="8" t="str">
        <f>'Grondstof soorten'!D37</f>
        <v/>
      </c>
      <c r="Q38" s="8">
        <f>SUMIF(Gist!$G$6:$G$999,P38,Gist!$J$6:$J$99)</f>
        <v>0</v>
      </c>
      <c r="R38" s="9">
        <f>SUMIF(Gist!$R$6:$R$999,P38,Gist!$S$6:$S$999)</f>
        <v>0</v>
      </c>
      <c r="S38" s="8">
        <f t="shared" si="4"/>
        <v>0</v>
      </c>
      <c r="U38" s="8" t="str">
        <f>'Grondstof soorten'!E37</f>
        <v/>
      </c>
      <c r="V38" s="8">
        <f>SUMIF(Verpakkingen!$G$6:$G$999,U38,Verpakkingen!$J$6:$J$99)</f>
        <v>0</v>
      </c>
      <c r="W38" s="9">
        <f>SUMIF(Verpakkingen!$S$6:$S$999,U38,Verpakkingen!$T$6:$T$999)</f>
        <v>0</v>
      </c>
      <c r="X38" s="8">
        <f t="shared" si="5"/>
        <v>0</v>
      </c>
    </row>
    <row r="39">
      <c r="A39" s="8" t="str">
        <f>'Grondstof soorten'!A38</f>
        <v/>
      </c>
      <c r="B39" s="8">
        <f>SUMIF(Granen!G37:G1030,A39,Granen!J37:J130)</f>
        <v>0</v>
      </c>
      <c r="C39" s="9">
        <f>SUMIF(Granen!R37:R1030,A39,Granen!S37:S1030)</f>
        <v>0</v>
      </c>
      <c r="D39" s="8">
        <f t="shared" si="1"/>
        <v>0</v>
      </c>
      <c r="F39" s="8" t="str">
        <f>'Grondstof soorten'!C38</f>
        <v/>
      </c>
      <c r="G39" s="8">
        <f>SUMIF(Hop!$G$6:$G$999,F39,Hop!$J$6:$J$99)</f>
        <v>0</v>
      </c>
      <c r="H39" s="9">
        <f>SUMIF(Hop!$R$6:$R$999,F39,Hop!$S$6:$S$999)</f>
        <v>0</v>
      </c>
      <c r="I39" s="8">
        <f t="shared" si="2"/>
        <v>0</v>
      </c>
      <c r="K39" s="8" t="str">
        <f>'Grondstof soorten'!B38</f>
        <v>kokosnoot</v>
      </c>
      <c r="L39" s="8">
        <f>SUMIF(Toevoegingen!$G$6:$G$999,K39,Toevoegingen!$J$6:$J$99)</f>
        <v>4</v>
      </c>
      <c r="M39" s="9">
        <f>SUMIF(Toevoegingen!$R$6:$R$999,K39,Toevoegingen!$S$6:$S$999)</f>
        <v>4</v>
      </c>
      <c r="N39" s="8">
        <f t="shared" si="3"/>
        <v>0</v>
      </c>
      <c r="P39" s="8" t="str">
        <f>'Grondstof soorten'!D38</f>
        <v/>
      </c>
      <c r="Q39" s="8">
        <f>SUMIF(Gist!$G$6:$G$999,P39,Gist!$J$6:$J$99)</f>
        <v>0</v>
      </c>
      <c r="R39" s="9">
        <f>SUMIF(Gist!$R$6:$R$999,P39,Gist!$S$6:$S$999)</f>
        <v>0</v>
      </c>
      <c r="S39" s="8">
        <f t="shared" si="4"/>
        <v>0</v>
      </c>
      <c r="U39" s="8" t="str">
        <f>'Grondstof soorten'!E38</f>
        <v/>
      </c>
      <c r="V39" s="8">
        <f>SUMIF(Verpakkingen!$G$6:$G$999,U39,Verpakkingen!$J$6:$J$99)</f>
        <v>0</v>
      </c>
      <c r="W39" s="9">
        <f>SUMIF(Verpakkingen!$S$6:$S$999,U39,Verpakkingen!$T$6:$T$999)</f>
        <v>0</v>
      </c>
      <c r="X39" s="8">
        <f t="shared" si="5"/>
        <v>0</v>
      </c>
    </row>
    <row r="40">
      <c r="A40" s="8" t="str">
        <f>'Grondstof soorten'!A39</f>
        <v/>
      </c>
      <c r="B40" s="8">
        <f>SUMIF(Granen!G38:G1031,A40,Granen!J38:J131)</f>
        <v>0</v>
      </c>
      <c r="C40" s="9">
        <f>SUMIF(Granen!R38:R1031,A40,Granen!S38:S1031)</f>
        <v>0</v>
      </c>
      <c r="D40" s="8">
        <f t="shared" si="1"/>
        <v>0</v>
      </c>
      <c r="F40" s="8" t="str">
        <f>'Grondstof soorten'!C39</f>
        <v/>
      </c>
      <c r="G40" s="8">
        <f>SUMIF(Hop!$G$6:$G$999,F40,Hop!$J$6:$J$99)</f>
        <v>0</v>
      </c>
      <c r="H40" s="9">
        <f>SUMIF(Hop!$R$6:$R$999,F40,Hop!$S$6:$S$999)</f>
        <v>0</v>
      </c>
      <c r="I40" s="8">
        <f t="shared" si="2"/>
        <v>0</v>
      </c>
      <c r="K40" s="8" t="str">
        <f>'Grondstof soorten'!B39</f>
        <v>abrikoos</v>
      </c>
      <c r="L40" s="8">
        <f>SUMIF(Toevoegingen!$G$6:$G$999,K40,Toevoegingen!$J$6:$J$99)</f>
        <v>40</v>
      </c>
      <c r="M40" s="9">
        <f>SUMIF(Toevoegingen!$R$6:$R$999,K40,Toevoegingen!$S$6:$S$999)</f>
        <v>40</v>
      </c>
      <c r="N40" s="8">
        <f t="shared" si="3"/>
        <v>0</v>
      </c>
      <c r="P40" s="8" t="str">
        <f>'Grondstof soorten'!D39</f>
        <v/>
      </c>
      <c r="Q40" s="8">
        <f>SUMIF(Gist!$G$6:$G$999,P40,Gist!$J$6:$J$99)</f>
        <v>0</v>
      </c>
      <c r="R40" s="9">
        <f>SUMIF(Gist!$R$6:$R$999,P40,Gist!$S$6:$S$999)</f>
        <v>0</v>
      </c>
      <c r="S40" s="8">
        <f t="shared" si="4"/>
        <v>0</v>
      </c>
      <c r="U40" s="8" t="str">
        <f>'Grondstof soorten'!E39</f>
        <v/>
      </c>
      <c r="V40" s="8">
        <f>SUMIF(Verpakkingen!$G$6:$G$999,U40,Verpakkingen!$J$6:$J$99)</f>
        <v>0</v>
      </c>
      <c r="W40" s="9">
        <f>SUMIF(Verpakkingen!$S$6:$S$999,U40,Verpakkingen!$T$6:$T$999)</f>
        <v>0</v>
      </c>
      <c r="X40" s="8">
        <f t="shared" si="5"/>
        <v>0</v>
      </c>
    </row>
    <row r="41">
      <c r="A41" s="8" t="str">
        <f>'Grondstof soorten'!A40</f>
        <v/>
      </c>
      <c r="B41" s="8">
        <f>SUMIF(Granen!G39:G1032,A41,Granen!J39:J132)</f>
        <v>0</v>
      </c>
      <c r="C41" s="9">
        <f>SUMIF(Granen!R39:R1032,A41,Granen!S39:S1032)</f>
        <v>0</v>
      </c>
      <c r="D41" s="8">
        <f t="shared" si="1"/>
        <v>0</v>
      </c>
      <c r="F41" s="8" t="str">
        <f>'Grondstof soorten'!C40</f>
        <v/>
      </c>
      <c r="G41" s="8">
        <f>SUMIF(Hop!$G$6:$G$999,F41,Hop!$J$6:$J$99)</f>
        <v>0</v>
      </c>
      <c r="H41" s="9">
        <f>SUMIF(Hop!$R$6:$R$999,F41,Hop!$S$6:$S$999)</f>
        <v>0</v>
      </c>
      <c r="I41" s="8">
        <f t="shared" si="2"/>
        <v>0</v>
      </c>
      <c r="K41" s="8" t="str">
        <f>'Grondstof soorten'!B40</f>
        <v>citroen </v>
      </c>
      <c r="L41" s="8">
        <f>SUMIF(Toevoegingen!$G$6:$G$999,K41,Toevoegingen!$J$6:$J$99)</f>
        <v>18.7</v>
      </c>
      <c r="M41" s="9">
        <f>SUMIF(Toevoegingen!$R$6:$R$999,K41,Toevoegingen!$S$6:$S$999)</f>
        <v>18.7</v>
      </c>
      <c r="N41" s="8">
        <f t="shared" si="3"/>
        <v>0</v>
      </c>
      <c r="P41" s="8" t="str">
        <f>'Grondstof soorten'!D40</f>
        <v/>
      </c>
      <c r="Q41" s="8">
        <f>SUMIF(Gist!$G$6:$G$999,P41,Gist!$J$6:$J$99)</f>
        <v>0</v>
      </c>
      <c r="R41" s="9">
        <f>SUMIF(Gist!$R$6:$R$999,P41,Gist!$S$6:$S$999)</f>
        <v>0</v>
      </c>
      <c r="S41" s="8">
        <f t="shared" si="4"/>
        <v>0</v>
      </c>
      <c r="U41" s="8" t="str">
        <f>'Grondstof soorten'!E40</f>
        <v/>
      </c>
      <c r="V41" s="8">
        <f>SUMIF(Verpakkingen!$G$6:$G$999,U41,Verpakkingen!$J$6:$J$99)</f>
        <v>0</v>
      </c>
      <c r="W41" s="9">
        <f>SUMIF(Verpakkingen!$S$6:$S$999,U41,Verpakkingen!$T$6:$T$999)</f>
        <v>0</v>
      </c>
      <c r="X41" s="8">
        <f t="shared" si="5"/>
        <v>0</v>
      </c>
    </row>
    <row r="42">
      <c r="A42" s="8" t="str">
        <f>'Grondstof soorten'!A41</f>
        <v/>
      </c>
      <c r="B42" s="8">
        <f>SUMIF(Granen!G40:G1033,A42,Granen!J40:J133)</f>
        <v>0</v>
      </c>
      <c r="C42" s="9">
        <f>SUMIF(Granen!R40:R1033,A42,Granen!S40:S1033)</f>
        <v>0</v>
      </c>
      <c r="D42" s="8">
        <f t="shared" si="1"/>
        <v>0</v>
      </c>
      <c r="F42" s="8" t="str">
        <f>'Grondstof soorten'!C41</f>
        <v/>
      </c>
      <c r="G42" s="8">
        <f>SUMIF(Hop!$G$6:$G$999,F42,Hop!$J$6:$J$99)</f>
        <v>0</v>
      </c>
      <c r="H42" s="9">
        <f>SUMIF(Hop!$R$6:$R$999,F42,Hop!$S$6:$S$999)</f>
        <v>0</v>
      </c>
      <c r="I42" s="8">
        <f t="shared" si="2"/>
        <v>0</v>
      </c>
      <c r="K42" s="8" t="str">
        <f>'Grondstof soorten'!B41</f>
        <v>aardbei</v>
      </c>
      <c r="L42" s="8">
        <f>SUMIF(Toevoegingen!$G$6:$G$999,K42,Toevoegingen!$J$6:$J$99)</f>
        <v>50</v>
      </c>
      <c r="M42" s="9">
        <f>SUMIF(Toevoegingen!$R$6:$R$999,K42,Toevoegingen!$S$6:$S$999)</f>
        <v>50</v>
      </c>
      <c r="N42" s="8">
        <f t="shared" si="3"/>
        <v>0</v>
      </c>
      <c r="P42" s="8" t="str">
        <f>'Grondstof soorten'!D41</f>
        <v/>
      </c>
      <c r="Q42" s="8">
        <f>SUMIF(Gist!$G$6:$G$999,P42,Gist!$J$6:$J$99)</f>
        <v>0</v>
      </c>
      <c r="R42" s="9">
        <f>SUMIF(Gist!$R$6:$R$999,P42,Gist!$S$6:$S$999)</f>
        <v>0</v>
      </c>
      <c r="S42" s="8">
        <f t="shared" si="4"/>
        <v>0</v>
      </c>
      <c r="U42" s="8" t="str">
        <f>'Grondstof soorten'!E41</f>
        <v/>
      </c>
      <c r="V42" s="8">
        <f>SUMIF(Verpakkingen!$G$6:$G$999,U42,Verpakkingen!$J$6:$J$99)</f>
        <v>0</v>
      </c>
      <c r="W42" s="9">
        <f>SUMIF(Verpakkingen!$S$6:$S$999,U42,Verpakkingen!$T$6:$T$999)</f>
        <v>0</v>
      </c>
      <c r="X42" s="8">
        <f t="shared" si="5"/>
        <v>0</v>
      </c>
    </row>
    <row r="43">
      <c r="A43" s="8" t="str">
        <f>'Grondstof soorten'!A42</f>
        <v/>
      </c>
      <c r="B43" s="8">
        <f>SUMIF(Granen!G41:G1034,A43,Granen!J41:J134)</f>
        <v>0</v>
      </c>
      <c r="C43" s="9">
        <f>SUMIF(Granen!R41:R1034,A43,Granen!S41:S1034)</f>
        <v>0</v>
      </c>
      <c r="D43" s="8">
        <f t="shared" si="1"/>
        <v>0</v>
      </c>
      <c r="F43" s="8" t="str">
        <f>'Grondstof soorten'!C42</f>
        <v/>
      </c>
      <c r="G43" s="8">
        <f>SUMIF(Hop!$G$6:$G$999,F43,Hop!$J$6:$J$99)</f>
        <v>0</v>
      </c>
      <c r="H43" s="9">
        <f>SUMIF(Hop!$R$6:$R$999,F43,Hop!$S$6:$S$999)</f>
        <v>0</v>
      </c>
      <c r="I43" s="8">
        <f t="shared" si="2"/>
        <v>0</v>
      </c>
      <c r="K43" s="8" t="str">
        <f>'Grondstof soorten'!B42</f>
        <v>hotsauce</v>
      </c>
      <c r="L43" s="8">
        <f>SUMIF(Toevoegingen!$G$6:$G$999,K43,Toevoegingen!$J$6:$J$99)</f>
        <v>1</v>
      </c>
      <c r="M43" s="9">
        <f>SUMIF(Toevoegingen!$R$6:$R$999,K43,Toevoegingen!$S$6:$S$999)</f>
        <v>1</v>
      </c>
      <c r="N43" s="8">
        <f t="shared" si="3"/>
        <v>0</v>
      </c>
      <c r="P43" s="8" t="str">
        <f>'Grondstof soorten'!D42</f>
        <v/>
      </c>
      <c r="Q43" s="8">
        <f>SUMIF(Gist!$G$6:$G$999,P43,Gist!$J$6:$J$99)</f>
        <v>0</v>
      </c>
      <c r="R43" s="9">
        <f>SUMIF(Gist!$R$6:$R$999,P43,Gist!$S$6:$S$999)</f>
        <v>0</v>
      </c>
      <c r="S43" s="8">
        <f t="shared" si="4"/>
        <v>0</v>
      </c>
      <c r="U43" s="8" t="str">
        <f>'Grondstof soorten'!E42</f>
        <v/>
      </c>
      <c r="V43" s="8">
        <f>SUMIF(Verpakkingen!$G$6:$G$999,U43,Verpakkingen!$J$6:$J$99)</f>
        <v>0</v>
      </c>
      <c r="W43" s="9">
        <f>SUMIF(Verpakkingen!$S$6:$S$999,U43,Verpakkingen!$T$6:$T$999)</f>
        <v>0</v>
      </c>
      <c r="X43" s="8">
        <f t="shared" si="5"/>
        <v>0</v>
      </c>
    </row>
    <row r="44">
      <c r="A44" s="8" t="str">
        <f>'Grondstof soorten'!A43</f>
        <v/>
      </c>
      <c r="B44" s="8">
        <f>SUMIF(Granen!G42:G1035,A44,Granen!J42:J135)</f>
        <v>0</v>
      </c>
      <c r="C44" s="9">
        <f>SUMIF(Granen!R42:R1035,A44,Granen!S42:S1035)</f>
        <v>0</v>
      </c>
      <c r="D44" s="8">
        <f t="shared" si="1"/>
        <v>0</v>
      </c>
      <c r="F44" s="8" t="str">
        <f>'Grondstof soorten'!C43</f>
        <v/>
      </c>
      <c r="G44" s="8">
        <f>SUMIF(Hop!$G$6:$G$999,F44,Hop!$J$6:$J$99)</f>
        <v>0</v>
      </c>
      <c r="H44" s="9">
        <f>SUMIF(Hop!$R$6:$R$999,F44,Hop!$S$6:$S$999)</f>
        <v>0</v>
      </c>
      <c r="I44" s="8">
        <f t="shared" si="2"/>
        <v>0</v>
      </c>
      <c r="K44" s="8" t="str">
        <f t="shared" ref="K44:K46" si="6">#REF!</f>
        <v>#REF!</v>
      </c>
      <c r="L44" s="8">
        <f>SUMIF(Toevoegingen!$G$6:$G$999,K44,Toevoegingen!$J$6:$J$99)</f>
        <v>0</v>
      </c>
      <c r="M44" s="9">
        <f>SUMIF(Toevoegingen!$R$6:$R$999,K44,Toevoegingen!$S$6:$S$999)</f>
        <v>0</v>
      </c>
      <c r="N44" s="8">
        <f t="shared" si="3"/>
        <v>0</v>
      </c>
      <c r="P44" s="8" t="str">
        <f>'Grondstof soorten'!D43</f>
        <v/>
      </c>
      <c r="Q44" s="8">
        <f>SUMIF(Gist!$G$6:$G$999,P44,Gist!$J$6:$J$99)</f>
        <v>0</v>
      </c>
      <c r="R44" s="9">
        <f>SUMIF(Gist!$R$6:$R$999,P44,Gist!$S$6:$S$999)</f>
        <v>0</v>
      </c>
      <c r="S44" s="8">
        <f t="shared" si="4"/>
        <v>0</v>
      </c>
      <c r="U44" s="8" t="str">
        <f>'Grondstof soorten'!E43</f>
        <v/>
      </c>
      <c r="V44" s="8">
        <f>SUMIF(Verpakkingen!$G$6:$G$999,U44,Verpakkingen!$J$6:$J$99)</f>
        <v>0</v>
      </c>
      <c r="W44" s="9">
        <f>SUMIF(Verpakkingen!$S$6:$S$999,U44,Verpakkingen!$T$6:$T$999)</f>
        <v>0</v>
      </c>
      <c r="X44" s="8">
        <f t="shared" si="5"/>
        <v>0</v>
      </c>
    </row>
    <row r="45">
      <c r="A45" s="8" t="str">
        <f>'Grondstof soorten'!A44</f>
        <v/>
      </c>
      <c r="B45" s="8">
        <f>SUMIF(Granen!G43:G1036,A45,Granen!J43:J136)</f>
        <v>0</v>
      </c>
      <c r="C45" s="9">
        <f>SUMIF(Granen!R43:R1036,A45,Granen!S43:S1036)</f>
        <v>0</v>
      </c>
      <c r="D45" s="8">
        <f t="shared" si="1"/>
        <v>0</v>
      </c>
      <c r="F45" s="8" t="str">
        <f>'Grondstof soorten'!C44</f>
        <v/>
      </c>
      <c r="G45" s="8">
        <f>SUMIF(Hop!$G$6:$G$999,F45,Hop!$J$6:$J$99)</f>
        <v>0</v>
      </c>
      <c r="H45" s="9">
        <f>SUMIF(Hop!$R$6:$R$999,F45,Hop!$S$6:$S$999)</f>
        <v>0</v>
      </c>
      <c r="I45" s="8">
        <f t="shared" si="2"/>
        <v>0</v>
      </c>
      <c r="K45" s="8" t="str">
        <f t="shared" si="6"/>
        <v>#REF!</v>
      </c>
      <c r="L45" s="8">
        <f>SUMIF(Toevoegingen!$G$6:$G$999,K45,Toevoegingen!$J$6:$J$99)</f>
        <v>0</v>
      </c>
      <c r="M45" s="9">
        <f>SUMIF(Toevoegingen!$R$6:$R$999,K45,Toevoegingen!$S$6:$S$999)</f>
        <v>0</v>
      </c>
      <c r="N45" s="8">
        <f t="shared" si="3"/>
        <v>0</v>
      </c>
      <c r="P45" s="8" t="str">
        <f>'Grondstof soorten'!D44</f>
        <v/>
      </c>
      <c r="Q45" s="8">
        <f>SUMIF(Gist!$G$6:$G$999,P45,Gist!$J$6:$J$99)</f>
        <v>0</v>
      </c>
      <c r="R45" s="9">
        <f>SUMIF(Gist!$R$6:$R$999,P45,Gist!$S$6:$S$999)</f>
        <v>0</v>
      </c>
      <c r="S45" s="8">
        <f t="shared" si="4"/>
        <v>0</v>
      </c>
      <c r="U45" s="8" t="str">
        <f>'Grondstof soorten'!E44</f>
        <v/>
      </c>
      <c r="V45" s="8">
        <f>SUMIF(Verpakkingen!$G$6:$G$999,U45,Verpakkingen!$J$6:$J$99)</f>
        <v>0</v>
      </c>
      <c r="W45" s="9">
        <f>SUMIF(Verpakkingen!$S$6:$S$999,U45,Verpakkingen!$T$6:$T$999)</f>
        <v>0</v>
      </c>
      <c r="X45" s="8">
        <f t="shared" si="5"/>
        <v>0</v>
      </c>
    </row>
    <row r="46">
      <c r="A46" s="8" t="str">
        <f>'Grondstof soorten'!A45</f>
        <v/>
      </c>
      <c r="B46" s="8">
        <f>SUMIF(Granen!G44:G1037,A46,Granen!J44:J137)</f>
        <v>0</v>
      </c>
      <c r="C46" s="9">
        <f>SUMIF(Granen!R44:R1037,A46,Granen!S44:S1037)</f>
        <v>0</v>
      </c>
      <c r="D46" s="8">
        <f t="shared" si="1"/>
        <v>0</v>
      </c>
      <c r="F46" s="8" t="str">
        <f>'Grondstof soorten'!C45</f>
        <v/>
      </c>
      <c r="G46" s="8">
        <f>SUMIF(Hop!$G$6:$G$999,F46,Hop!$J$6:$J$99)</f>
        <v>0</v>
      </c>
      <c r="H46" s="9">
        <f>SUMIF(Hop!$R$6:$R$999,F46,Hop!$S$6:$S$999)</f>
        <v>0</v>
      </c>
      <c r="I46" s="8">
        <f t="shared" si="2"/>
        <v>0</v>
      </c>
      <c r="K46" s="8" t="str">
        <f t="shared" si="6"/>
        <v>#REF!</v>
      </c>
      <c r="L46" s="8">
        <f>SUMIF(Toevoegingen!$G$6:$G$999,K46,Toevoegingen!$J$6:$J$99)</f>
        <v>0</v>
      </c>
      <c r="M46" s="9">
        <f>SUMIF(Toevoegingen!$R$6:$R$999,K46,Toevoegingen!$S$6:$S$999)</f>
        <v>0</v>
      </c>
      <c r="N46" s="8">
        <f t="shared" si="3"/>
        <v>0</v>
      </c>
      <c r="P46" s="8" t="str">
        <f>'Grondstof soorten'!D45</f>
        <v/>
      </c>
      <c r="Q46" s="8">
        <f>SUMIF(Gist!$G$6:$G$999,P46,Gist!$J$6:$J$99)</f>
        <v>0</v>
      </c>
      <c r="R46" s="9">
        <f>SUMIF(Gist!$R$6:$R$999,P46,Gist!$S$6:$S$999)</f>
        <v>0</v>
      </c>
      <c r="S46" s="8">
        <f t="shared" si="4"/>
        <v>0</v>
      </c>
      <c r="U46" s="8" t="str">
        <f>'Grondstof soorten'!E45</f>
        <v/>
      </c>
      <c r="V46" s="8">
        <f>SUMIF(Verpakkingen!$G$6:$G$999,U46,Verpakkingen!$J$6:$J$99)</f>
        <v>0</v>
      </c>
      <c r="W46" s="9">
        <f>SUMIF(Verpakkingen!$S$6:$S$999,U46,Verpakkingen!$T$6:$T$999)</f>
        <v>0</v>
      </c>
      <c r="X46" s="8">
        <f t="shared" si="5"/>
        <v>0</v>
      </c>
    </row>
    <row r="47">
      <c r="A47" s="8" t="str">
        <f>'Grondstof soorten'!A46</f>
        <v/>
      </c>
      <c r="B47" s="8">
        <f>SUMIF(Granen!G45:G1038,A47,Granen!J45:J138)</f>
        <v>0</v>
      </c>
      <c r="C47" s="9">
        <f>SUMIF(Granen!R45:R1038,A47,Granen!S45:S1038)</f>
        <v>0</v>
      </c>
      <c r="D47" s="8">
        <f t="shared" si="1"/>
        <v>0</v>
      </c>
      <c r="F47" s="8" t="str">
        <f>'Grondstof soorten'!C46</f>
        <v/>
      </c>
      <c r="G47" s="8">
        <f>SUMIF(Hop!$G$6:$G$999,F47,Hop!$J$6:$J$99)</f>
        <v>0</v>
      </c>
      <c r="H47" s="9">
        <f>SUMIF(Hop!$R$6:$R$999,F47,Hop!$S$6:$S$999)</f>
        <v>0</v>
      </c>
      <c r="I47" s="8">
        <f t="shared" si="2"/>
        <v>0</v>
      </c>
      <c r="K47" s="8" t="str">
        <f>'Grondstof soorten'!B46</f>
        <v>Pardijszaad</v>
      </c>
      <c r="L47" s="8">
        <f>SUMIF(Toevoegingen!$G$6:$G$999,K47,Toevoegingen!$J$6:$J$99)</f>
        <v>0.075</v>
      </c>
      <c r="M47" s="9">
        <f>SUMIF(Toevoegingen!$R$6:$R$999,K47,Toevoegingen!$S$6:$S$999)</f>
        <v>0</v>
      </c>
      <c r="N47" s="8">
        <f t="shared" si="3"/>
        <v>0.075</v>
      </c>
      <c r="P47" s="8" t="str">
        <f>'Grondstof soorten'!D46</f>
        <v/>
      </c>
      <c r="Q47" s="8">
        <f>SUMIF(Gist!$G$6:$G$999,P47,Gist!$J$6:$J$99)</f>
        <v>0</v>
      </c>
      <c r="R47" s="9">
        <f>SUMIF(Gist!$R$6:$R$999,P47,Gist!$S$6:$S$999)</f>
        <v>0</v>
      </c>
      <c r="S47" s="8">
        <f t="shared" si="4"/>
        <v>0</v>
      </c>
      <c r="U47" s="8" t="str">
        <f>'Grondstof soorten'!E46</f>
        <v/>
      </c>
      <c r="V47" s="8">
        <f>SUMIF(Verpakkingen!$G$6:$G$999,U47,Verpakkingen!$J$6:$J$99)</f>
        <v>0</v>
      </c>
      <c r="W47" s="9">
        <f>SUMIF(Verpakkingen!$S$6:$S$999,U47,Verpakkingen!$T$6:$T$999)</f>
        <v>0</v>
      </c>
      <c r="X47" s="8">
        <f t="shared" si="5"/>
        <v>0</v>
      </c>
    </row>
    <row r="48">
      <c r="A48" s="8" t="str">
        <f>'Grondstof soorten'!A47</f>
        <v/>
      </c>
      <c r="B48" s="8">
        <f>SUMIF(Granen!G46:G1039,A48,Granen!J46:J139)</f>
        <v>0</v>
      </c>
      <c r="C48" s="9">
        <f>SUMIF(Granen!R46:R1039,A48,Granen!S46:S1039)</f>
        <v>0</v>
      </c>
      <c r="D48" s="8">
        <f t="shared" si="1"/>
        <v>0</v>
      </c>
      <c r="F48" s="8" t="str">
        <f>'Grondstof soorten'!C47</f>
        <v/>
      </c>
      <c r="G48" s="8">
        <f>SUMIF(Hop!$G$6:$G$999,F48,Hop!$J$6:$J$99)</f>
        <v>0</v>
      </c>
      <c r="H48" s="9">
        <f>SUMIF(Hop!$R$6:$R$999,F48,Hop!$S$6:$S$999)</f>
        <v>0</v>
      </c>
      <c r="I48" s="8">
        <f t="shared" si="2"/>
        <v>0</v>
      </c>
      <c r="K48" s="8" t="str">
        <f>'Grondstof soorten'!B47</f>
        <v>Timut peper</v>
      </c>
      <c r="L48" s="8">
        <f>SUMIF(Toevoegingen!$G$6:$G$999,K48,Toevoegingen!$J$6:$J$99)</f>
        <v>0.24</v>
      </c>
      <c r="M48" s="9">
        <f>SUMIF(Toevoegingen!$R$6:$R$999,K48,Toevoegingen!$S$6:$S$999)</f>
        <v>0</v>
      </c>
      <c r="N48" s="8">
        <f t="shared" si="3"/>
        <v>0.24</v>
      </c>
      <c r="P48" s="8" t="str">
        <f>'Grondstof soorten'!D47</f>
        <v/>
      </c>
      <c r="Q48" s="8">
        <f>SUMIF(Gist!$G$6:$G$999,P48,Gist!$J$6:$J$99)</f>
        <v>0</v>
      </c>
      <c r="R48" s="9">
        <f>SUMIF(Gist!$R$6:$R$999,P48,Gist!$S$6:$S$999)</f>
        <v>0</v>
      </c>
      <c r="S48" s="8">
        <f t="shared" si="4"/>
        <v>0</v>
      </c>
      <c r="U48" s="8" t="str">
        <f>'Grondstof soorten'!E47</f>
        <v/>
      </c>
      <c r="V48" s="8">
        <f>SUMIF(Verpakkingen!$G$6:$G$999,U48,Verpakkingen!$J$6:$J$99)</f>
        <v>0</v>
      </c>
      <c r="W48" s="9">
        <f>SUMIF(Verpakkingen!$S$6:$S$999,U48,Verpakkingen!$T$6:$T$999)</f>
        <v>0</v>
      </c>
      <c r="X48" s="8">
        <f t="shared" si="5"/>
        <v>0</v>
      </c>
    </row>
    <row r="49">
      <c r="A49" s="8" t="str">
        <f>'Grondstof soorten'!A48</f>
        <v/>
      </c>
      <c r="B49" s="8">
        <f>SUMIF(Granen!G47:G1040,A49,Granen!J47:J140)</f>
        <v>0</v>
      </c>
      <c r="C49" s="9">
        <f>SUMIF(Granen!R47:R1040,A49,Granen!S47:S1040)</f>
        <v>0</v>
      </c>
      <c r="D49" s="8">
        <f t="shared" si="1"/>
        <v>0</v>
      </c>
      <c r="F49" s="8" t="str">
        <f>'Grondstof soorten'!C48</f>
        <v/>
      </c>
      <c r="G49" s="8">
        <f>SUMIF(Hop!$G$6:$G$999,F49,Hop!$J$6:$J$99)</f>
        <v>0</v>
      </c>
      <c r="H49" s="9">
        <f>SUMIF(Hop!$R$6:$R$999,F49,Hop!$S$6:$S$999)</f>
        <v>0</v>
      </c>
      <c r="I49" s="8">
        <f t="shared" si="2"/>
        <v>0</v>
      </c>
      <c r="K49" s="8" t="str">
        <f>'Grondstof soorten'!B48</f>
        <v/>
      </c>
      <c r="L49" s="8">
        <f>SUMIF(Toevoegingen!$G$6:$G$999,K49,Toevoegingen!$J$6:$J$99)</f>
        <v>0</v>
      </c>
      <c r="M49" s="9">
        <f>SUMIF(Toevoegingen!$R$6:$R$999,K49,Toevoegingen!$S$6:$S$999)</f>
        <v>0</v>
      </c>
      <c r="N49" s="8">
        <f t="shared" si="3"/>
        <v>0</v>
      </c>
      <c r="P49" s="8" t="str">
        <f>'Grondstof soorten'!D48</f>
        <v/>
      </c>
      <c r="Q49" s="8">
        <f>SUMIF(Gist!$G$6:$G$999,P49,Gist!$J$6:$J$99)</f>
        <v>0</v>
      </c>
      <c r="R49" s="9">
        <f>SUMIF(Gist!$R$6:$R$999,P49,Gist!$S$6:$S$999)</f>
        <v>0</v>
      </c>
      <c r="S49" s="8">
        <f t="shared" si="4"/>
        <v>0</v>
      </c>
      <c r="U49" s="8" t="str">
        <f>'Grondstof soorten'!E48</f>
        <v/>
      </c>
      <c r="V49" s="8">
        <f>SUMIF(Verpakkingen!$G$6:$G$999,U49,Verpakkingen!$J$6:$J$99)</f>
        <v>0</v>
      </c>
      <c r="W49" s="9">
        <f>SUMIF(Verpakkingen!$S$6:$S$999,U49,Verpakkingen!$T$6:$T$999)</f>
        <v>0</v>
      </c>
      <c r="X49" s="8">
        <f t="shared" si="5"/>
        <v>0</v>
      </c>
    </row>
    <row r="50">
      <c r="A50" s="8" t="str">
        <f>'Grondstof soorten'!A49</f>
        <v/>
      </c>
      <c r="B50" s="8">
        <f>SUMIF(Granen!G48:G1041,A50,Granen!J48:J141)</f>
        <v>0</v>
      </c>
      <c r="C50" s="9">
        <f>SUMIF(Granen!R48:R1041,A50,Granen!S48:S1041)</f>
        <v>0</v>
      </c>
      <c r="D50" s="8">
        <f t="shared" si="1"/>
        <v>0</v>
      </c>
      <c r="F50" s="8" t="str">
        <f>'Grondstof soorten'!C49</f>
        <v/>
      </c>
      <c r="G50" s="8">
        <f>SUMIF(Hop!$G$6:$G$999,F50,Hop!$J$6:$J$99)</f>
        <v>0</v>
      </c>
      <c r="H50" s="9">
        <f>SUMIF(Hop!$R$6:$R$999,F50,Hop!$S$6:$S$999)</f>
        <v>0</v>
      </c>
      <c r="I50" s="8">
        <f t="shared" si="2"/>
        <v>0</v>
      </c>
      <c r="K50" s="8" t="str">
        <f>'Grondstof soorten'!B49</f>
        <v/>
      </c>
      <c r="L50" s="8">
        <f>SUMIF(Toevoegingen!$G$6:$G$999,K50,Toevoegingen!$J$6:$J$99)</f>
        <v>0</v>
      </c>
      <c r="M50" s="9">
        <f>SUMIF(Toevoegingen!$R$6:$R$999,K50,Toevoegingen!$S$6:$S$999)</f>
        <v>0</v>
      </c>
      <c r="N50" s="8">
        <f t="shared" si="3"/>
        <v>0</v>
      </c>
      <c r="P50" s="8" t="str">
        <f>'Grondstof soorten'!D49</f>
        <v/>
      </c>
      <c r="Q50" s="8">
        <f>SUMIF(Gist!$G$6:$G$999,P50,Gist!$J$6:$J$99)</f>
        <v>0</v>
      </c>
      <c r="R50" s="9">
        <f>SUMIF(Gist!$R$6:$R$999,P50,Gist!$S$6:$S$999)</f>
        <v>0</v>
      </c>
      <c r="S50" s="8">
        <f t="shared" si="4"/>
        <v>0</v>
      </c>
      <c r="U50" s="8" t="str">
        <f>'Grondstof soorten'!E49</f>
        <v/>
      </c>
      <c r="V50" s="8">
        <f>SUMIF(Verpakkingen!$G$6:$G$999,U50,Verpakkingen!$J$6:$J$99)</f>
        <v>0</v>
      </c>
      <c r="W50" s="9">
        <f>SUMIF(Verpakkingen!$S$6:$S$999,U50,Verpakkingen!$T$6:$T$999)</f>
        <v>0</v>
      </c>
      <c r="X50" s="8">
        <f t="shared" si="5"/>
        <v>0</v>
      </c>
    </row>
    <row r="51">
      <c r="A51" s="8" t="str">
        <f>'Grondstof soorten'!A50</f>
        <v/>
      </c>
      <c r="B51" s="8">
        <f>SUMIF(Granen!G49:G1042,A51,Granen!J49:J142)</f>
        <v>0</v>
      </c>
      <c r="C51" s="9">
        <f>SUMIF(Granen!R49:R1042,A51,Granen!S49:S1042)</f>
        <v>0</v>
      </c>
      <c r="D51" s="8">
        <f t="shared" si="1"/>
        <v>0</v>
      </c>
      <c r="F51" s="8" t="str">
        <f>'Grondstof soorten'!C50</f>
        <v/>
      </c>
      <c r="G51" s="8">
        <f>SUMIF(Hop!$G$6:$G$999,F51,Hop!$J$6:$J$99)</f>
        <v>0</v>
      </c>
      <c r="H51" s="9">
        <f>SUMIF(Hop!$R$6:$R$999,F51,Hop!$S$6:$S$999)</f>
        <v>0</v>
      </c>
      <c r="I51" s="8">
        <f t="shared" si="2"/>
        <v>0</v>
      </c>
      <c r="K51" s="8" t="str">
        <f>'Grondstof soorten'!B50</f>
        <v/>
      </c>
      <c r="L51" s="8">
        <f>SUMIF(Toevoegingen!$G$6:$G$999,K51,Toevoegingen!$J$6:$J$99)</f>
        <v>0</v>
      </c>
      <c r="M51" s="9">
        <f>SUMIF(Toevoegingen!$R$6:$R$999,K51,Toevoegingen!$S$6:$S$999)</f>
        <v>0</v>
      </c>
      <c r="N51" s="8">
        <f t="shared" si="3"/>
        <v>0</v>
      </c>
      <c r="P51" s="8" t="str">
        <f>'Grondstof soorten'!D50</f>
        <v/>
      </c>
      <c r="Q51" s="8">
        <f>SUMIF(Gist!$G$6:$G$999,P51,Gist!$J$6:$J$99)</f>
        <v>0</v>
      </c>
      <c r="R51" s="9">
        <f>SUMIF(Gist!$R$6:$R$999,P51,Gist!$S$6:$S$999)</f>
        <v>0</v>
      </c>
      <c r="S51" s="8">
        <f t="shared" si="4"/>
        <v>0</v>
      </c>
      <c r="U51" s="8" t="str">
        <f>'Grondstof soorten'!E50</f>
        <v/>
      </c>
      <c r="V51" s="8">
        <f>SUMIF(Verpakkingen!$G$6:$G$999,U51,Verpakkingen!$J$6:$J$99)</f>
        <v>0</v>
      </c>
      <c r="W51" s="9">
        <f>SUMIF(Verpakkingen!$S$6:$S$999,U51,Verpakkingen!$T$6:$T$999)</f>
        <v>0</v>
      </c>
      <c r="X51" s="8">
        <f t="shared" si="5"/>
        <v>0</v>
      </c>
    </row>
    <row r="52">
      <c r="A52" s="8" t="str">
        <f>'Grondstof soorten'!A51</f>
        <v/>
      </c>
      <c r="B52" s="8">
        <f>SUMIF(Granen!G50:G1043,A52,Granen!J50:J143)</f>
        <v>0</v>
      </c>
      <c r="C52" s="9">
        <f>SUMIF(Granen!R50:R1043,A52,Granen!S50:S1043)</f>
        <v>0</v>
      </c>
      <c r="D52" s="8">
        <f t="shared" si="1"/>
        <v>0</v>
      </c>
      <c r="F52" s="8" t="str">
        <f>'Grondstof soorten'!C51</f>
        <v/>
      </c>
      <c r="G52" s="8">
        <f>SUMIF(Hop!$G$6:$G$999,F52,Hop!$J$6:$J$99)</f>
        <v>0</v>
      </c>
      <c r="H52" s="9">
        <f>SUMIF(Hop!$R$6:$R$999,F52,Hop!$S$6:$S$999)</f>
        <v>0</v>
      </c>
      <c r="I52" s="8">
        <f t="shared" si="2"/>
        <v>0</v>
      </c>
      <c r="K52" s="8" t="str">
        <f>'Grondstof soorten'!B51</f>
        <v/>
      </c>
      <c r="L52" s="8">
        <f>SUMIF(Toevoegingen!$G$6:$G$999,K52,Toevoegingen!$J$6:$J$99)</f>
        <v>0</v>
      </c>
      <c r="M52" s="9">
        <f>SUMIF(Toevoegingen!$R$6:$R$999,K52,Toevoegingen!$S$6:$S$999)</f>
        <v>0</v>
      </c>
      <c r="N52" s="8">
        <f t="shared" si="3"/>
        <v>0</v>
      </c>
      <c r="P52" s="8" t="str">
        <f>'Grondstof soorten'!D51</f>
        <v/>
      </c>
      <c r="Q52" s="8">
        <f>SUMIF(Gist!$G$6:$G$999,P52,Gist!$J$6:$J$99)</f>
        <v>0</v>
      </c>
      <c r="R52" s="9">
        <f>SUMIF(Gist!$R$6:$R$999,P52,Gist!$S$6:$S$999)</f>
        <v>0</v>
      </c>
      <c r="S52" s="8">
        <f t="shared" si="4"/>
        <v>0</v>
      </c>
      <c r="U52" s="8" t="str">
        <f>'Grondstof soorten'!E51</f>
        <v/>
      </c>
      <c r="V52" s="8">
        <f>SUMIF(Verpakkingen!$G$6:$G$999,U52,Verpakkingen!$J$6:$J$99)</f>
        <v>0</v>
      </c>
      <c r="W52" s="9">
        <f>SUMIF(Verpakkingen!$S$6:$S$999,U52,Verpakkingen!$T$6:$T$999)</f>
        <v>0</v>
      </c>
      <c r="X52" s="8">
        <f t="shared" si="5"/>
        <v>0</v>
      </c>
    </row>
    <row r="53">
      <c r="A53" s="8" t="str">
        <f>'Grondstof soorten'!A52</f>
        <v/>
      </c>
      <c r="B53" s="8">
        <f>SUMIF(Granen!G51:G1044,A53,Granen!J51:J144)</f>
        <v>0</v>
      </c>
      <c r="C53" s="9">
        <f>SUMIF(Granen!R51:R1044,A53,Granen!S51:S1044)</f>
        <v>0</v>
      </c>
      <c r="D53" s="8">
        <f t="shared" si="1"/>
        <v>0</v>
      </c>
      <c r="F53" s="8" t="str">
        <f>'Grondstof soorten'!C52</f>
        <v/>
      </c>
      <c r="G53" s="8">
        <f>SUMIF(Hop!$G$6:$G$999,F53,Hop!$J$6:$J$99)</f>
        <v>0</v>
      </c>
      <c r="H53" s="9">
        <f>SUMIF(Hop!$R$6:$R$999,F53,Hop!$S$6:$S$999)</f>
        <v>0</v>
      </c>
      <c r="I53" s="8">
        <f t="shared" si="2"/>
        <v>0</v>
      </c>
      <c r="K53" s="8" t="str">
        <f>'Grondstof soorten'!B52</f>
        <v/>
      </c>
      <c r="L53" s="8">
        <f>SUMIF(Toevoegingen!$G$6:$G$999,K53,Toevoegingen!$J$6:$J$99)</f>
        <v>0</v>
      </c>
      <c r="M53" s="9">
        <f>SUMIF(Toevoegingen!$R$6:$R$999,K53,Toevoegingen!$S$6:$S$999)</f>
        <v>0</v>
      </c>
      <c r="N53" s="8">
        <f t="shared" si="3"/>
        <v>0</v>
      </c>
      <c r="P53" s="8" t="str">
        <f>'Grondstof soorten'!D52</f>
        <v/>
      </c>
      <c r="Q53" s="8">
        <f>SUMIF(Gist!$G$6:$G$999,P53,Gist!$J$6:$J$99)</f>
        <v>0</v>
      </c>
      <c r="R53" s="9">
        <f>SUMIF(Gist!$R$6:$R$999,P53,Gist!$S$6:$S$999)</f>
        <v>0</v>
      </c>
      <c r="S53" s="8">
        <f t="shared" si="4"/>
        <v>0</v>
      </c>
      <c r="U53" s="8" t="str">
        <f>'Grondstof soorten'!E52</f>
        <v/>
      </c>
      <c r="V53" s="8">
        <f>SUMIF(Verpakkingen!$G$6:$G$999,U53,Verpakkingen!$J$6:$J$99)</f>
        <v>0</v>
      </c>
      <c r="W53" s="9">
        <f>SUMIF(Verpakkingen!$S$6:$S$999,U53,Verpakkingen!$T$6:$T$999)</f>
        <v>0</v>
      </c>
      <c r="X53" s="8">
        <f t="shared" si="5"/>
        <v>0</v>
      </c>
    </row>
    <row r="54">
      <c r="A54" s="8" t="str">
        <f>'Grondstof soorten'!A53</f>
        <v/>
      </c>
      <c r="B54" s="8">
        <f>SUMIF(Granen!G52:G1045,A54,Granen!J52:J145)</f>
        <v>0</v>
      </c>
      <c r="C54" s="9">
        <f>SUMIF(Granen!R52:R1045,A54,Granen!S52:S1045)</f>
        <v>0</v>
      </c>
      <c r="D54" s="8">
        <f t="shared" si="1"/>
        <v>0</v>
      </c>
      <c r="F54" s="8" t="str">
        <f>'Grondstof soorten'!C53</f>
        <v/>
      </c>
      <c r="G54" s="8">
        <f>SUMIF(Hop!$G$6:$G$999,F54,Hop!$J$6:$J$99)</f>
        <v>0</v>
      </c>
      <c r="H54" s="9">
        <f>SUMIF(Hop!$R$6:$R$999,F54,Hop!$S$6:$S$999)</f>
        <v>0</v>
      </c>
      <c r="I54" s="8">
        <f t="shared" si="2"/>
        <v>0</v>
      </c>
      <c r="K54" s="8" t="str">
        <f>'Grondstof soorten'!B53</f>
        <v/>
      </c>
      <c r="L54" s="8">
        <f>SUMIF(Toevoegingen!$G$6:$G$999,K54,Toevoegingen!$J$6:$J$99)</f>
        <v>0</v>
      </c>
      <c r="M54" s="9">
        <f>SUMIF(Toevoegingen!$R$6:$R$999,K54,Toevoegingen!$S$6:$S$999)</f>
        <v>0</v>
      </c>
      <c r="N54" s="8">
        <f t="shared" si="3"/>
        <v>0</v>
      </c>
      <c r="P54" s="8" t="str">
        <f>'Grondstof soorten'!D53</f>
        <v/>
      </c>
      <c r="Q54" s="8">
        <f>SUMIF(Gist!$G$6:$G$999,P54,Gist!$J$6:$J$99)</f>
        <v>0</v>
      </c>
      <c r="R54" s="9">
        <f>SUMIF(Gist!$R$6:$R$999,P54,Gist!$S$6:$S$999)</f>
        <v>0</v>
      </c>
      <c r="S54" s="8">
        <f t="shared" si="4"/>
        <v>0</v>
      </c>
      <c r="U54" s="8" t="str">
        <f>'Grondstof soorten'!E53</f>
        <v/>
      </c>
      <c r="V54" s="8">
        <f>SUMIF(Verpakkingen!$G$6:$G$999,U54,Verpakkingen!$J$6:$J$99)</f>
        <v>0</v>
      </c>
      <c r="W54" s="9">
        <f>SUMIF(Verpakkingen!$S$6:$S$999,U54,Verpakkingen!$T$6:$T$999)</f>
        <v>0</v>
      </c>
      <c r="X54" s="8">
        <f t="shared" si="5"/>
        <v>0</v>
      </c>
    </row>
    <row r="55">
      <c r="A55" s="8" t="str">
        <f>'Grondstof soorten'!A54</f>
        <v/>
      </c>
      <c r="B55" s="8">
        <f>SUMIF(Granen!G53:G1046,A55,Granen!J53:J146)</f>
        <v>0</v>
      </c>
      <c r="C55" s="9">
        <f>SUMIF(Granen!R53:R1046,A55,Granen!S53:S1046)</f>
        <v>0</v>
      </c>
      <c r="D55" s="8">
        <f t="shared" si="1"/>
        <v>0</v>
      </c>
      <c r="F55" s="8" t="str">
        <f>'Grondstof soorten'!C54</f>
        <v/>
      </c>
      <c r="G55" s="8">
        <f>SUMIF(Hop!$G$6:$G$999,F55,Hop!$J$6:$J$99)</f>
        <v>0</v>
      </c>
      <c r="H55" s="9">
        <f>SUMIF(Hop!$R$6:$R$999,F55,Hop!$S$6:$S$999)</f>
        <v>0</v>
      </c>
      <c r="I55" s="8">
        <f t="shared" si="2"/>
        <v>0</v>
      </c>
      <c r="K55" s="8" t="str">
        <f>'Grondstof soorten'!B54</f>
        <v/>
      </c>
      <c r="L55" s="8">
        <f>SUMIF(Toevoegingen!$G$6:$G$999,K55,Toevoegingen!$J$6:$J$99)</f>
        <v>0</v>
      </c>
      <c r="M55" s="9">
        <f>SUMIF(Toevoegingen!$R$6:$R$999,K55,Toevoegingen!$S$6:$S$999)</f>
        <v>0</v>
      </c>
      <c r="N55" s="8">
        <f t="shared" si="3"/>
        <v>0</v>
      </c>
      <c r="P55" s="8" t="str">
        <f>'Grondstof soorten'!D54</f>
        <v/>
      </c>
      <c r="Q55" s="8">
        <f>SUMIF(Gist!$G$6:$G$999,P55,Gist!$J$6:$J$99)</f>
        <v>0</v>
      </c>
      <c r="R55" s="9">
        <f>SUMIF(Gist!$R$6:$R$999,P55,Gist!$S$6:$S$999)</f>
        <v>0</v>
      </c>
      <c r="S55" s="8">
        <f t="shared" si="4"/>
        <v>0</v>
      </c>
      <c r="U55" s="8" t="str">
        <f>'Grondstof soorten'!E54</f>
        <v/>
      </c>
      <c r="V55" s="8">
        <f>SUMIF(Verpakkingen!$G$6:$G$999,U55,Verpakkingen!$J$6:$J$99)</f>
        <v>0</v>
      </c>
      <c r="W55" s="9">
        <f>SUMIF(Verpakkingen!$S$6:$S$999,U55,Verpakkingen!$T$6:$T$999)</f>
        <v>0</v>
      </c>
      <c r="X55" s="8">
        <f t="shared" si="5"/>
        <v>0</v>
      </c>
    </row>
    <row r="56">
      <c r="A56" s="8" t="str">
        <f>'Grondstof soorten'!A55</f>
        <v/>
      </c>
      <c r="B56" s="8">
        <f>SUMIF(Granen!G54:G1047,A56,Granen!J54:J147)</f>
        <v>0</v>
      </c>
      <c r="C56" s="9">
        <f>SUMIF(Granen!R54:R1047,A56,Granen!S54:S1047)</f>
        <v>0</v>
      </c>
      <c r="D56" s="8">
        <f t="shared" si="1"/>
        <v>0</v>
      </c>
      <c r="F56" s="8" t="str">
        <f>'Grondstof soorten'!C55</f>
        <v/>
      </c>
      <c r="G56" s="8">
        <f>SUMIF(Hop!$G$6:$G$999,F56,Hop!$J$6:$J$99)</f>
        <v>0</v>
      </c>
      <c r="H56" s="9">
        <f>SUMIF(Hop!$R$6:$R$999,F56,Hop!$S$6:$S$999)</f>
        <v>0</v>
      </c>
      <c r="I56" s="8">
        <f t="shared" si="2"/>
        <v>0</v>
      </c>
      <c r="K56" s="8" t="str">
        <f>'Grondstof soorten'!B55</f>
        <v/>
      </c>
      <c r="L56" s="8">
        <f>SUMIF(Toevoegingen!$G$6:$G$999,K56,Toevoegingen!$J$6:$J$99)</f>
        <v>0</v>
      </c>
      <c r="M56" s="9">
        <f>SUMIF(Toevoegingen!$R$6:$R$999,K56,Toevoegingen!$S$6:$S$999)</f>
        <v>0</v>
      </c>
      <c r="N56" s="8">
        <f t="shared" si="3"/>
        <v>0</v>
      </c>
      <c r="P56" s="8" t="str">
        <f>'Grondstof soorten'!D55</f>
        <v/>
      </c>
      <c r="Q56" s="8">
        <f>SUMIF(Gist!$G$6:$G$999,P56,Gist!$J$6:$J$99)</f>
        <v>0</v>
      </c>
      <c r="R56" s="9">
        <f>SUMIF(Gist!$R$6:$R$999,P56,Gist!$S$6:$S$999)</f>
        <v>0</v>
      </c>
      <c r="S56" s="8">
        <f t="shared" si="4"/>
        <v>0</v>
      </c>
      <c r="U56" s="8" t="str">
        <f>'Grondstof soorten'!E55</f>
        <v/>
      </c>
      <c r="V56" s="8">
        <f>SUMIF(Verpakkingen!$G$6:$G$999,U56,Verpakkingen!$J$6:$J$99)</f>
        <v>0</v>
      </c>
      <c r="W56" s="9">
        <f>SUMIF(Verpakkingen!$S$6:$S$999,U56,Verpakkingen!$T$6:$T$999)</f>
        <v>0</v>
      </c>
      <c r="X56" s="8">
        <f t="shared" si="5"/>
        <v>0</v>
      </c>
    </row>
    <row r="57">
      <c r="A57" s="8" t="str">
        <f>'Grondstof soorten'!A56</f>
        <v/>
      </c>
      <c r="B57" s="8">
        <f>SUMIF(Granen!G55:G1048,A57,Granen!J55:J148)</f>
        <v>0</v>
      </c>
      <c r="C57" s="9">
        <f>SUMIF(Granen!R55:R1048,A57,Granen!S55:S1048)</f>
        <v>0</v>
      </c>
      <c r="D57" s="8">
        <f t="shared" si="1"/>
        <v>0</v>
      </c>
      <c r="F57" s="8" t="str">
        <f>'Grondstof soorten'!C56</f>
        <v/>
      </c>
      <c r="G57" s="8">
        <f>SUMIF(Hop!$G$6:$G$999,F57,Hop!$J$6:$J$99)</f>
        <v>0</v>
      </c>
      <c r="H57" s="9">
        <f>SUMIF(Hop!$R$6:$R$999,F57,Hop!$S$6:$S$999)</f>
        <v>0</v>
      </c>
      <c r="I57" s="8">
        <f t="shared" si="2"/>
        <v>0</v>
      </c>
      <c r="K57" s="8" t="str">
        <f>'Grondstof soorten'!B56</f>
        <v/>
      </c>
      <c r="L57" s="8">
        <f>SUMIF(Toevoegingen!$G$6:$G$999,K57,Toevoegingen!$J$6:$J$99)</f>
        <v>0</v>
      </c>
      <c r="M57" s="9">
        <f>SUMIF(Toevoegingen!$R$6:$R$999,K57,Toevoegingen!$S$6:$S$999)</f>
        <v>0</v>
      </c>
      <c r="N57" s="8">
        <f t="shared" si="3"/>
        <v>0</v>
      </c>
      <c r="P57" s="8" t="str">
        <f>'Grondstof soorten'!D56</f>
        <v/>
      </c>
      <c r="Q57" s="8">
        <f>SUMIF(Gist!$G$6:$G$999,P57,Gist!$J$6:$J$99)</f>
        <v>0</v>
      </c>
      <c r="R57" s="9">
        <f>SUMIF(Gist!$R$6:$R$999,P57,Gist!$S$6:$S$999)</f>
        <v>0</v>
      </c>
      <c r="S57" s="8">
        <f t="shared" si="4"/>
        <v>0</v>
      </c>
      <c r="U57" s="8" t="str">
        <f>'Grondstof soorten'!E56</f>
        <v/>
      </c>
      <c r="V57" s="8">
        <f>SUMIF(Verpakkingen!$G$6:$G$999,U57,Verpakkingen!$J$6:$J$99)</f>
        <v>0</v>
      </c>
      <c r="W57" s="9">
        <f>SUMIF(Verpakkingen!$S$6:$S$999,U57,Verpakkingen!$T$6:$T$999)</f>
        <v>0</v>
      </c>
      <c r="X57" s="8">
        <f t="shared" si="5"/>
        <v>0</v>
      </c>
    </row>
    <row r="58">
      <c r="A58" s="8" t="str">
        <f>'Grondstof soorten'!A57</f>
        <v/>
      </c>
      <c r="B58" s="8">
        <f>SUMIF(Granen!G56:G1049,A58,Granen!J56:J149)</f>
        <v>0</v>
      </c>
      <c r="C58" s="9">
        <f>SUMIF(Granen!R56:R1049,A58,Granen!S56:S1049)</f>
        <v>0</v>
      </c>
      <c r="D58" s="8">
        <f t="shared" si="1"/>
        <v>0</v>
      </c>
      <c r="F58" s="8" t="str">
        <f>'Grondstof soorten'!C57</f>
        <v/>
      </c>
      <c r="G58" s="8">
        <f>SUMIF(Hop!$G$6:$G$999,F58,Hop!$J$6:$J$99)</f>
        <v>0</v>
      </c>
      <c r="H58" s="9">
        <f>SUMIF(Hop!$R$6:$R$999,F58,Hop!$S$6:$S$999)</f>
        <v>0</v>
      </c>
      <c r="I58" s="8">
        <f t="shared" si="2"/>
        <v>0</v>
      </c>
      <c r="K58" s="8" t="str">
        <f>'Grondstof soorten'!B57</f>
        <v/>
      </c>
      <c r="L58" s="8">
        <f>SUMIF(Toevoegingen!$G$6:$G$999,K58,Toevoegingen!$J$6:$J$99)</f>
        <v>0</v>
      </c>
      <c r="M58" s="9">
        <f>SUMIF(Toevoegingen!$R$6:$R$999,K58,Toevoegingen!$S$6:$S$999)</f>
        <v>0</v>
      </c>
      <c r="N58" s="8">
        <f t="shared" si="3"/>
        <v>0</v>
      </c>
      <c r="P58" s="8" t="str">
        <f>'Grondstof soorten'!D57</f>
        <v/>
      </c>
      <c r="Q58" s="8">
        <f>SUMIF(Gist!$G$6:$G$999,P58,Gist!$J$6:$J$99)</f>
        <v>0</v>
      </c>
      <c r="R58" s="9">
        <f>SUMIF(Gist!$R$6:$R$999,P58,Gist!$S$6:$S$999)</f>
        <v>0</v>
      </c>
      <c r="S58" s="8">
        <f t="shared" si="4"/>
        <v>0</v>
      </c>
      <c r="U58" s="8" t="str">
        <f>'Grondstof soorten'!E57</f>
        <v/>
      </c>
      <c r="V58" s="8">
        <f>SUMIF(Verpakkingen!$G$6:$G$999,U58,Verpakkingen!$J$6:$J$99)</f>
        <v>0</v>
      </c>
      <c r="W58" s="9">
        <f>SUMIF(Verpakkingen!$S$6:$S$999,U58,Verpakkingen!$T$6:$T$999)</f>
        <v>0</v>
      </c>
      <c r="X58" s="8">
        <f t="shared" si="5"/>
        <v>0</v>
      </c>
    </row>
    <row r="59">
      <c r="A59" s="8" t="str">
        <f>'Grondstof soorten'!A58</f>
        <v/>
      </c>
      <c r="B59" s="8">
        <f>SUMIF(Granen!G57:G1050,A59,Granen!J57:J150)</f>
        <v>0</v>
      </c>
      <c r="C59" s="9">
        <f>SUMIF(Granen!R57:R1050,A59,Granen!S57:S1050)</f>
        <v>0</v>
      </c>
      <c r="D59" s="8">
        <f t="shared" si="1"/>
        <v>0</v>
      </c>
      <c r="F59" s="8" t="str">
        <f>'Grondstof soorten'!C58</f>
        <v/>
      </c>
      <c r="G59" s="8">
        <f>SUMIF(Hop!$G$6:$G$999,F59,Hop!$J$6:$J$99)</f>
        <v>0</v>
      </c>
      <c r="H59" s="9">
        <f>SUMIF(Hop!$R$6:$R$999,F59,Hop!$S$6:$S$999)</f>
        <v>0</v>
      </c>
      <c r="I59" s="8">
        <f t="shared" si="2"/>
        <v>0</v>
      </c>
      <c r="K59" s="8" t="str">
        <f>'Grondstof soorten'!B58</f>
        <v/>
      </c>
      <c r="L59" s="8">
        <f>SUMIF(Toevoegingen!$G$6:$G$999,K59,Toevoegingen!$J$6:$J$99)</f>
        <v>0</v>
      </c>
      <c r="M59" s="9">
        <f>SUMIF(Toevoegingen!$R$6:$R$999,K59,Toevoegingen!$S$6:$S$999)</f>
        <v>0</v>
      </c>
      <c r="N59" s="8">
        <f t="shared" si="3"/>
        <v>0</v>
      </c>
      <c r="P59" s="8" t="str">
        <f>'Grondstof soorten'!D58</f>
        <v/>
      </c>
      <c r="Q59" s="8">
        <f>SUMIF(Gist!$G$6:$G$999,P59,Gist!$J$6:$J$99)</f>
        <v>0</v>
      </c>
      <c r="R59" s="9">
        <f>SUMIF(Gist!$R$6:$R$999,P59,Gist!$S$6:$S$999)</f>
        <v>0</v>
      </c>
      <c r="S59" s="8">
        <f t="shared" si="4"/>
        <v>0</v>
      </c>
      <c r="U59" s="8" t="str">
        <f>'Grondstof soorten'!E58</f>
        <v/>
      </c>
      <c r="V59" s="8">
        <f>SUMIF(Verpakkingen!$G$6:$G$999,U59,Verpakkingen!$J$6:$J$99)</f>
        <v>0</v>
      </c>
      <c r="W59" s="9">
        <f>SUMIF(Verpakkingen!$S$6:$S$999,U59,Verpakkingen!$T$6:$T$999)</f>
        <v>0</v>
      </c>
      <c r="X59" s="8">
        <f t="shared" si="5"/>
        <v>0</v>
      </c>
    </row>
    <row r="60">
      <c r="A60" s="8" t="str">
        <f>'Grondstof soorten'!A59</f>
        <v/>
      </c>
      <c r="B60" s="8">
        <f>SUMIF(Granen!G58:G1051,A60,Granen!J58:J151)</f>
        <v>0</v>
      </c>
      <c r="C60" s="9">
        <f>SUMIF(Granen!R58:R1051,A60,Granen!S58:S1051)</f>
        <v>0</v>
      </c>
      <c r="D60" s="8">
        <f t="shared" si="1"/>
        <v>0</v>
      </c>
      <c r="F60" s="8" t="str">
        <f>'Grondstof soorten'!C59</f>
        <v/>
      </c>
      <c r="G60" s="8">
        <f>SUMIF(Hop!$G$6:$G$999,F60,Hop!$J$6:$J$99)</f>
        <v>0</v>
      </c>
      <c r="H60" s="9">
        <f>SUMIF(Hop!$R$6:$R$999,F60,Hop!$S$6:$S$999)</f>
        <v>0</v>
      </c>
      <c r="I60" s="8">
        <f t="shared" si="2"/>
        <v>0</v>
      </c>
      <c r="K60" s="8" t="str">
        <f>'Grondstof soorten'!B59</f>
        <v/>
      </c>
      <c r="L60" s="8">
        <f>SUMIF(Toevoegingen!$G$6:$G$999,K60,Toevoegingen!$J$6:$J$99)</f>
        <v>0</v>
      </c>
      <c r="M60" s="9">
        <f>SUMIF(Toevoegingen!$R$6:$R$999,K60,Toevoegingen!$S$6:$S$999)</f>
        <v>0</v>
      </c>
      <c r="N60" s="8">
        <f t="shared" si="3"/>
        <v>0</v>
      </c>
      <c r="P60" s="8" t="str">
        <f>'Grondstof soorten'!D59</f>
        <v/>
      </c>
      <c r="Q60" s="8">
        <f>SUMIF(Gist!$G$6:$G$999,P60,Gist!$J$6:$J$99)</f>
        <v>0</v>
      </c>
      <c r="R60" s="9">
        <f>SUMIF(Gist!$R$6:$R$999,P60,Gist!$S$6:$S$999)</f>
        <v>0</v>
      </c>
      <c r="S60" s="8">
        <f t="shared" si="4"/>
        <v>0</v>
      </c>
      <c r="U60" s="8" t="str">
        <f>'Grondstof soorten'!E59</f>
        <v/>
      </c>
      <c r="V60" s="8">
        <f>SUMIF(Verpakkingen!$G$6:$G$999,U60,Verpakkingen!$J$6:$J$99)</f>
        <v>0</v>
      </c>
      <c r="W60" s="9">
        <f>SUMIF(Verpakkingen!$S$6:$S$999,U60,Verpakkingen!$T$6:$T$999)</f>
        <v>0</v>
      </c>
      <c r="X60" s="8">
        <f t="shared" si="5"/>
        <v>0</v>
      </c>
    </row>
    <row r="61">
      <c r="A61" s="8" t="str">
        <f>'Grondstof soorten'!A60</f>
        <v/>
      </c>
      <c r="B61" s="8">
        <f>SUMIF(Granen!G59:G1052,A61,Granen!J59:J152)</f>
        <v>0</v>
      </c>
      <c r="C61" s="9">
        <f>SUMIF(Granen!R59:R1052,A61,Granen!S59:S1052)</f>
        <v>0</v>
      </c>
      <c r="D61" s="8">
        <f t="shared" si="1"/>
        <v>0</v>
      </c>
      <c r="F61" s="8" t="str">
        <f>'Grondstof soorten'!C60</f>
        <v/>
      </c>
      <c r="G61" s="8">
        <f>SUMIF(Hop!$G$6:$G$999,F61,Hop!$J$6:$J$99)</f>
        <v>0</v>
      </c>
      <c r="H61" s="9">
        <f>SUMIF(Hop!$R$6:$R$999,F61,Hop!$S$6:$S$999)</f>
        <v>0</v>
      </c>
      <c r="I61" s="8">
        <f t="shared" si="2"/>
        <v>0</v>
      </c>
      <c r="K61" s="8" t="str">
        <f>'Grondstof soorten'!B60</f>
        <v/>
      </c>
      <c r="L61" s="8">
        <f>SUMIF(Toevoegingen!$G$6:$G$999,K61,Toevoegingen!$J$6:$J$99)</f>
        <v>0</v>
      </c>
      <c r="M61" s="9">
        <f>SUMIF(Toevoegingen!$R$6:$R$999,K61,Toevoegingen!$S$6:$S$999)</f>
        <v>0</v>
      </c>
      <c r="N61" s="8">
        <f t="shared" si="3"/>
        <v>0</v>
      </c>
      <c r="P61" s="8" t="str">
        <f>'Grondstof soorten'!D60</f>
        <v/>
      </c>
      <c r="Q61" s="8">
        <f>SUMIF(Gist!$G$6:$G$999,P61,Gist!$J$6:$J$99)</f>
        <v>0</v>
      </c>
      <c r="R61" s="9">
        <f>SUMIF(Gist!$R$6:$R$999,P61,Gist!$S$6:$S$999)</f>
        <v>0</v>
      </c>
      <c r="S61" s="8">
        <f t="shared" si="4"/>
        <v>0</v>
      </c>
      <c r="U61" s="8" t="str">
        <f>'Grondstof soorten'!E60</f>
        <v/>
      </c>
      <c r="V61" s="8">
        <f>SUMIF(Verpakkingen!$G$6:$G$999,U61,Verpakkingen!$J$6:$J$99)</f>
        <v>0</v>
      </c>
      <c r="W61" s="9">
        <f>SUMIF(Verpakkingen!$S$6:$S$999,U61,Verpakkingen!$T$6:$T$999)</f>
        <v>0</v>
      </c>
      <c r="X61" s="8">
        <f t="shared" si="5"/>
        <v>0</v>
      </c>
    </row>
    <row r="62">
      <c r="A62" s="8" t="str">
        <f>'Grondstof soorten'!A61</f>
        <v/>
      </c>
      <c r="B62" s="8">
        <f>SUMIF(Granen!G60:G1053,A62,Granen!J60:J153)</f>
        <v>0</v>
      </c>
      <c r="C62" s="9">
        <f>SUMIF(Granen!R60:R1053,A62,Granen!S60:S1053)</f>
        <v>0</v>
      </c>
      <c r="D62" s="8">
        <f t="shared" si="1"/>
        <v>0</v>
      </c>
      <c r="F62" s="8" t="str">
        <f>'Grondstof soorten'!C61</f>
        <v/>
      </c>
      <c r="G62" s="8">
        <f>SUMIF(Hop!$G$6:$G$999,F62,Hop!$J$6:$J$99)</f>
        <v>0</v>
      </c>
      <c r="H62" s="9">
        <f>SUMIF(Hop!$R$6:$R$999,F62,Hop!$S$6:$S$999)</f>
        <v>0</v>
      </c>
      <c r="I62" s="8">
        <f t="shared" si="2"/>
        <v>0</v>
      </c>
      <c r="K62" s="8" t="str">
        <f>'Grondstof soorten'!B61</f>
        <v/>
      </c>
      <c r="L62" s="8">
        <f>SUMIF(Toevoegingen!$G$6:$G$999,K62,Toevoegingen!$J$6:$J$99)</f>
        <v>0</v>
      </c>
      <c r="M62" s="9">
        <f>SUMIF(Toevoegingen!$R$6:$R$999,K62,Toevoegingen!$S$6:$S$999)</f>
        <v>0</v>
      </c>
      <c r="N62" s="8">
        <f t="shared" si="3"/>
        <v>0</v>
      </c>
      <c r="P62" s="8" t="str">
        <f>'Grondstof soorten'!D61</f>
        <v/>
      </c>
      <c r="Q62" s="8">
        <f>SUMIF(Gist!$G$6:$G$999,P62,Gist!$J$6:$J$99)</f>
        <v>0</v>
      </c>
      <c r="R62" s="9">
        <f>SUMIF(Gist!$R$6:$R$999,P62,Gist!$S$6:$S$999)</f>
        <v>0</v>
      </c>
      <c r="S62" s="8">
        <f t="shared" si="4"/>
        <v>0</v>
      </c>
      <c r="U62" s="8" t="str">
        <f>'Grondstof soorten'!E61</f>
        <v/>
      </c>
      <c r="V62" s="8">
        <f>SUMIF(Verpakkingen!$G$6:$G$999,U62,Verpakkingen!$J$6:$J$99)</f>
        <v>0</v>
      </c>
      <c r="W62" s="9">
        <f>SUMIF(Verpakkingen!$S$6:$S$999,U62,Verpakkingen!$T$6:$T$999)</f>
        <v>0</v>
      </c>
      <c r="X62" s="8">
        <f t="shared" si="5"/>
        <v>0</v>
      </c>
    </row>
    <row r="63">
      <c r="A63" s="8" t="str">
        <f>'Grondstof soorten'!A62</f>
        <v/>
      </c>
      <c r="B63" s="8">
        <f>SUMIF(Granen!G61:G1054,A63,Granen!J61:J154)</f>
        <v>0</v>
      </c>
      <c r="C63" s="9">
        <f>SUMIF(Granen!R61:R1054,A63,Granen!S61:S1054)</f>
        <v>0</v>
      </c>
      <c r="D63" s="8">
        <f t="shared" si="1"/>
        <v>0</v>
      </c>
      <c r="F63" s="8" t="str">
        <f>'Grondstof soorten'!C62</f>
        <v/>
      </c>
      <c r="G63" s="8">
        <f>SUMIF(Hop!$G$6:$G$999,F63,Hop!$J$6:$J$99)</f>
        <v>0</v>
      </c>
      <c r="H63" s="9">
        <f>SUMIF(Hop!$R$6:$R$999,F63,Hop!$S$6:$S$999)</f>
        <v>0</v>
      </c>
      <c r="I63" s="8">
        <f t="shared" si="2"/>
        <v>0</v>
      </c>
      <c r="K63" s="8" t="str">
        <f>'Grondstof soorten'!B62</f>
        <v/>
      </c>
      <c r="L63" s="8">
        <f>SUMIF(Toevoegingen!$G$6:$G$999,K63,Toevoegingen!$J$6:$J$99)</f>
        <v>0</v>
      </c>
      <c r="M63" s="9">
        <f>SUMIF(Toevoegingen!$R$6:$R$999,K63,Toevoegingen!$S$6:$S$999)</f>
        <v>0</v>
      </c>
      <c r="N63" s="8">
        <f t="shared" si="3"/>
        <v>0</v>
      </c>
      <c r="P63" s="8" t="str">
        <f>'Grondstof soorten'!D62</f>
        <v/>
      </c>
      <c r="Q63" s="8">
        <f>SUMIF(Gist!$G$6:$G$999,P63,Gist!$J$6:$J$99)</f>
        <v>0</v>
      </c>
      <c r="R63" s="9">
        <f>SUMIF(Gist!$R$6:$R$999,P63,Gist!$S$6:$S$999)</f>
        <v>0</v>
      </c>
      <c r="S63" s="8">
        <f t="shared" si="4"/>
        <v>0</v>
      </c>
      <c r="U63" s="8" t="str">
        <f>'Grondstof soorten'!E62</f>
        <v/>
      </c>
      <c r="V63" s="8">
        <f>SUMIF(Verpakkingen!$G$6:$G$999,U63,Verpakkingen!$J$6:$J$99)</f>
        <v>0</v>
      </c>
      <c r="W63" s="9">
        <f>SUMIF(Verpakkingen!$S$6:$S$999,U63,Verpakkingen!$T$6:$T$999)</f>
        <v>0</v>
      </c>
      <c r="X63" s="8">
        <f t="shared" si="5"/>
        <v>0</v>
      </c>
    </row>
    <row r="64">
      <c r="A64" s="8" t="str">
        <f>'Grondstof soorten'!A63</f>
        <v/>
      </c>
      <c r="B64" s="8">
        <f>SUMIF(Granen!G62:G1055,A64,Granen!J62:J155)</f>
        <v>0</v>
      </c>
      <c r="C64" s="9">
        <f>SUMIF(Granen!R62:R1055,A64,Granen!S62:S1055)</f>
        <v>0</v>
      </c>
      <c r="D64" s="8">
        <f t="shared" si="1"/>
        <v>0</v>
      </c>
      <c r="F64" s="8" t="str">
        <f>'Grondstof soorten'!C63</f>
        <v/>
      </c>
      <c r="G64" s="8">
        <f>SUMIF(Hop!$G$6:$G$999,F64,Hop!$J$6:$J$99)</f>
        <v>0</v>
      </c>
      <c r="H64" s="9">
        <f>SUMIF(Hop!$R$6:$R$999,F64,Hop!$S$6:$S$999)</f>
        <v>0</v>
      </c>
      <c r="I64" s="8">
        <f t="shared" si="2"/>
        <v>0</v>
      </c>
      <c r="K64" s="8" t="str">
        <f>'Grondstof soorten'!B63</f>
        <v/>
      </c>
      <c r="L64" s="8">
        <f>SUMIF(Toevoegingen!$G$6:$G$999,K64,Toevoegingen!$J$6:$J$99)</f>
        <v>0</v>
      </c>
      <c r="M64" s="9">
        <f>SUMIF(Toevoegingen!$R$6:$R$999,K64,Toevoegingen!$S$6:$S$999)</f>
        <v>0</v>
      </c>
      <c r="N64" s="8">
        <f t="shared" si="3"/>
        <v>0</v>
      </c>
      <c r="P64" s="8" t="str">
        <f>'Grondstof soorten'!D63</f>
        <v/>
      </c>
      <c r="Q64" s="8">
        <f>SUMIF(Gist!$G$6:$G$999,P64,Gist!$J$6:$J$99)</f>
        <v>0</v>
      </c>
      <c r="R64" s="9">
        <f>SUMIF(Gist!$R$6:$R$999,P64,Gist!$S$6:$S$999)</f>
        <v>0</v>
      </c>
      <c r="S64" s="8">
        <f t="shared" si="4"/>
        <v>0</v>
      </c>
      <c r="U64" s="8" t="str">
        <f>'Grondstof soorten'!E63</f>
        <v/>
      </c>
      <c r="V64" s="8">
        <f>SUMIF(Verpakkingen!$G$6:$G$999,U64,Verpakkingen!$J$6:$J$99)</f>
        <v>0</v>
      </c>
      <c r="W64" s="9">
        <f>SUMIF(Verpakkingen!$S$6:$S$999,U64,Verpakkingen!$T$6:$T$999)</f>
        <v>0</v>
      </c>
      <c r="X64" s="8">
        <f t="shared" si="5"/>
        <v>0</v>
      </c>
    </row>
    <row r="65">
      <c r="A65" s="8" t="str">
        <f>'Grondstof soorten'!A64</f>
        <v/>
      </c>
      <c r="B65" s="8">
        <f>SUMIF(Granen!G63:G1056,A65,Granen!J63:J156)</f>
        <v>0</v>
      </c>
      <c r="C65" s="9">
        <f>SUMIF(Granen!R63:R1056,A65,Granen!S63:S1056)</f>
        <v>0</v>
      </c>
      <c r="D65" s="8">
        <f t="shared" si="1"/>
        <v>0</v>
      </c>
      <c r="F65" s="8" t="str">
        <f>'Grondstof soorten'!C64</f>
        <v/>
      </c>
      <c r="G65" s="8">
        <f>SUMIF(Hop!$G$6:$G$999,F65,Hop!$J$6:$J$99)</f>
        <v>0</v>
      </c>
      <c r="H65" s="9">
        <f>SUMIF(Hop!$R$6:$R$999,F65,Hop!$S$6:$S$999)</f>
        <v>0</v>
      </c>
      <c r="I65" s="8">
        <f t="shared" si="2"/>
        <v>0</v>
      </c>
      <c r="K65" s="8" t="str">
        <f>'Grondstof soorten'!B64</f>
        <v/>
      </c>
      <c r="L65" s="8">
        <f>SUMIF(Toevoegingen!$G$6:$G$999,K65,Toevoegingen!$J$6:$J$99)</f>
        <v>0</v>
      </c>
      <c r="M65" s="9">
        <f>SUMIF(Toevoegingen!$R$6:$R$999,K65,Toevoegingen!$S$6:$S$999)</f>
        <v>0</v>
      </c>
      <c r="N65" s="8">
        <f t="shared" si="3"/>
        <v>0</v>
      </c>
      <c r="P65" s="8" t="str">
        <f>'Grondstof soorten'!D64</f>
        <v/>
      </c>
      <c r="Q65" s="8">
        <f>SUMIF(Gist!$G$6:$G$999,P65,Gist!$J$6:$J$99)</f>
        <v>0</v>
      </c>
      <c r="R65" s="9">
        <f>SUMIF(Gist!$R$6:$R$999,P65,Gist!$S$6:$S$999)</f>
        <v>0</v>
      </c>
      <c r="S65" s="8">
        <f t="shared" si="4"/>
        <v>0</v>
      </c>
      <c r="U65" s="8" t="str">
        <f>'Grondstof soorten'!E64</f>
        <v/>
      </c>
      <c r="V65" s="8">
        <f>SUMIF(Verpakkingen!$G$6:$G$999,U65,Verpakkingen!$J$6:$J$99)</f>
        <v>0</v>
      </c>
      <c r="W65" s="9">
        <f>SUMIF(Verpakkingen!$S$6:$S$999,U65,Verpakkingen!$T$6:$T$999)</f>
        <v>0</v>
      </c>
      <c r="X65" s="8">
        <f t="shared" si="5"/>
        <v>0</v>
      </c>
    </row>
    <row r="66">
      <c r="A66" s="8" t="str">
        <f>'Grondstof soorten'!A65</f>
        <v/>
      </c>
      <c r="B66" s="8">
        <f>SUMIF(Granen!G64:G1057,A66,Granen!J64:J157)</f>
        <v>0</v>
      </c>
      <c r="C66" s="9">
        <f>SUMIF(Granen!R64:R1057,A66,Granen!S64:S1057)</f>
        <v>0</v>
      </c>
      <c r="D66" s="8">
        <f t="shared" si="1"/>
        <v>0</v>
      </c>
      <c r="F66" s="8" t="str">
        <f>'Grondstof soorten'!C65</f>
        <v/>
      </c>
      <c r="G66" s="8">
        <f>SUMIF(Hop!$G$6:$G$999,F66,Hop!$J$6:$J$99)</f>
        <v>0</v>
      </c>
      <c r="H66" s="9">
        <f>SUMIF(Hop!$R$6:$R$999,F66,Hop!$S$6:$S$999)</f>
        <v>0</v>
      </c>
      <c r="I66" s="8">
        <f t="shared" si="2"/>
        <v>0</v>
      </c>
      <c r="K66" s="8" t="str">
        <f>'Grondstof soorten'!B65</f>
        <v/>
      </c>
      <c r="L66" s="8">
        <f>SUMIF(Toevoegingen!$G$6:$G$999,K66,Toevoegingen!$J$6:$J$99)</f>
        <v>0</v>
      </c>
      <c r="M66" s="9">
        <f>SUMIF(Toevoegingen!$R$6:$R$999,K66,Toevoegingen!$S$6:$S$999)</f>
        <v>0</v>
      </c>
      <c r="N66" s="8">
        <f t="shared" si="3"/>
        <v>0</v>
      </c>
      <c r="P66" s="8" t="str">
        <f>'Grondstof soorten'!D65</f>
        <v/>
      </c>
      <c r="Q66" s="8">
        <f>SUMIF(Gist!$G$6:$G$999,P66,Gist!$J$6:$J$99)</f>
        <v>0</v>
      </c>
      <c r="R66" s="9">
        <f>SUMIF(Gist!$R$6:$R$999,P66,Gist!$S$6:$S$999)</f>
        <v>0</v>
      </c>
      <c r="S66" s="8">
        <f t="shared" si="4"/>
        <v>0</v>
      </c>
      <c r="U66" s="8" t="str">
        <f>'Grondstof soorten'!E65</f>
        <v/>
      </c>
      <c r="V66" s="8">
        <f>SUMIF(Verpakkingen!$G$6:$G$999,U66,Verpakkingen!$J$6:$J$99)</f>
        <v>0</v>
      </c>
      <c r="W66" s="9">
        <f>SUMIF(Verpakkingen!$S$6:$S$999,U66,Verpakkingen!$T$6:$T$999)</f>
        <v>0</v>
      </c>
      <c r="X66" s="8">
        <f t="shared" si="5"/>
        <v>0</v>
      </c>
    </row>
    <row r="67">
      <c r="A67" s="8" t="str">
        <f>'Grondstof soorten'!A66</f>
        <v/>
      </c>
      <c r="B67" s="8">
        <f>SUMIF(Granen!G65:G1058,A67,Granen!J65:J158)</f>
        <v>0</v>
      </c>
      <c r="C67" s="9">
        <f>SUMIF(Granen!R65:R1058,A67,Granen!S65:S1058)</f>
        <v>0</v>
      </c>
      <c r="D67" s="8">
        <f t="shared" si="1"/>
        <v>0</v>
      </c>
      <c r="F67" s="8" t="str">
        <f>'Grondstof soorten'!C66</f>
        <v/>
      </c>
      <c r="G67" s="8">
        <f>SUMIF(Hop!$G$6:$G$999,F67,Hop!$J$6:$J$99)</f>
        <v>0</v>
      </c>
      <c r="H67" s="9">
        <f>SUMIF(Hop!$R$6:$R$999,F67,Hop!$S$6:$S$999)</f>
        <v>0</v>
      </c>
      <c r="I67" s="8">
        <f t="shared" si="2"/>
        <v>0</v>
      </c>
      <c r="K67" s="8" t="str">
        <f>'Grondstof soorten'!B66</f>
        <v/>
      </c>
      <c r="L67" s="8">
        <f>SUMIF(Toevoegingen!$G$6:$G$999,K67,Toevoegingen!$J$6:$J$99)</f>
        <v>0</v>
      </c>
      <c r="M67" s="9">
        <f>SUMIF(Toevoegingen!$R$6:$R$999,K67,Toevoegingen!$S$6:$S$999)</f>
        <v>0</v>
      </c>
      <c r="N67" s="8">
        <f t="shared" si="3"/>
        <v>0</v>
      </c>
      <c r="P67" s="8" t="str">
        <f>'Grondstof soorten'!D66</f>
        <v/>
      </c>
      <c r="Q67" s="8">
        <f>SUMIF(Gist!$G$6:$G$999,P67,Gist!$J$6:$J$99)</f>
        <v>0</v>
      </c>
      <c r="R67" s="9">
        <f>SUMIF(Gist!$R$6:$R$999,P67,Gist!$S$6:$S$999)</f>
        <v>0</v>
      </c>
      <c r="S67" s="8">
        <f t="shared" si="4"/>
        <v>0</v>
      </c>
      <c r="U67" s="8" t="str">
        <f>'Grondstof soorten'!E66</f>
        <v/>
      </c>
      <c r="V67" s="8">
        <f>SUMIF(Verpakkingen!$G$6:$G$999,U67,Verpakkingen!$J$6:$J$99)</f>
        <v>0</v>
      </c>
      <c r="W67" s="9">
        <f>SUMIF(Verpakkingen!$S$6:$S$999,U67,Verpakkingen!$T$6:$T$999)</f>
        <v>0</v>
      </c>
      <c r="X67" s="8">
        <f t="shared" si="5"/>
        <v>0</v>
      </c>
    </row>
    <row r="68">
      <c r="A68" s="8" t="str">
        <f>'Grondstof soorten'!A67</f>
        <v/>
      </c>
      <c r="B68" s="8">
        <f>SUMIF(Granen!G66:G1059,A68,Granen!J66:J159)</f>
        <v>0</v>
      </c>
      <c r="C68" s="9">
        <f>SUMIF(Granen!R66:R1059,A68,Granen!S66:S1059)</f>
        <v>0</v>
      </c>
      <c r="D68" s="8">
        <f t="shared" si="1"/>
        <v>0</v>
      </c>
      <c r="F68" s="8" t="str">
        <f>'Grondstof soorten'!C67</f>
        <v/>
      </c>
      <c r="G68" s="8">
        <f>SUMIF(Hop!$G$6:$G$999,F68,Hop!$J$6:$J$99)</f>
        <v>0</v>
      </c>
      <c r="H68" s="9">
        <f>SUMIF(Hop!$R$6:$R$999,F68,Hop!$S$6:$S$999)</f>
        <v>0</v>
      </c>
      <c r="I68" s="8">
        <f t="shared" si="2"/>
        <v>0</v>
      </c>
      <c r="K68" s="8" t="str">
        <f>'Grondstof soorten'!B67</f>
        <v/>
      </c>
      <c r="L68" s="8">
        <f>SUMIF(Toevoegingen!$G$6:$G$999,K68,Toevoegingen!$J$6:$J$99)</f>
        <v>0</v>
      </c>
      <c r="M68" s="9">
        <f>SUMIF(Toevoegingen!$R$6:$R$999,K68,Toevoegingen!$S$6:$S$999)</f>
        <v>0</v>
      </c>
      <c r="N68" s="8">
        <f t="shared" si="3"/>
        <v>0</v>
      </c>
      <c r="P68" s="8" t="str">
        <f>'Grondstof soorten'!D67</f>
        <v/>
      </c>
      <c r="Q68" s="8">
        <f>SUMIF(Gist!$G$6:$G$999,P68,Gist!$J$6:$J$99)</f>
        <v>0</v>
      </c>
      <c r="R68" s="9">
        <f>SUMIF(Gist!$R$6:$R$999,P68,Gist!$S$6:$S$999)</f>
        <v>0</v>
      </c>
      <c r="S68" s="8">
        <f t="shared" si="4"/>
        <v>0</v>
      </c>
      <c r="U68" s="8" t="str">
        <f>'Grondstof soorten'!E67</f>
        <v/>
      </c>
      <c r="V68" s="8">
        <f>SUMIF(Verpakkingen!$G$6:$G$999,U68,Verpakkingen!$J$6:$J$99)</f>
        <v>0</v>
      </c>
      <c r="W68" s="9">
        <f>SUMIF(Verpakkingen!$S$6:$S$999,U68,Verpakkingen!$T$6:$T$999)</f>
        <v>0</v>
      </c>
      <c r="X68" s="8">
        <f t="shared" si="5"/>
        <v>0</v>
      </c>
    </row>
    <row r="69">
      <c r="A69" s="8" t="str">
        <f>'Grondstof soorten'!A68</f>
        <v/>
      </c>
      <c r="B69" s="8">
        <f>SUMIF(Granen!G67:G1060,A69,Granen!J67:J160)</f>
        <v>0</v>
      </c>
      <c r="C69" s="9">
        <f>SUMIF(Granen!R67:R1060,A69,Granen!S67:S1060)</f>
        <v>0</v>
      </c>
      <c r="D69" s="8">
        <f t="shared" si="1"/>
        <v>0</v>
      </c>
      <c r="F69" s="8" t="str">
        <f>'Grondstof soorten'!C68</f>
        <v/>
      </c>
      <c r="G69" s="8">
        <f>SUMIF(Hop!$G$6:$G$999,F69,Hop!$J$6:$J$99)</f>
        <v>0</v>
      </c>
      <c r="H69" s="9">
        <f>SUMIF(Hop!$R$6:$R$999,F69,Hop!$S$6:$S$999)</f>
        <v>0</v>
      </c>
      <c r="I69" s="8">
        <f t="shared" si="2"/>
        <v>0</v>
      </c>
      <c r="K69" s="8" t="str">
        <f>'Grondstof soorten'!B68</f>
        <v/>
      </c>
      <c r="L69" s="8">
        <f>SUMIF(Toevoegingen!$G$6:$G$999,K69,Toevoegingen!$J$6:$J$99)</f>
        <v>0</v>
      </c>
      <c r="M69" s="9">
        <f>SUMIF(Toevoegingen!$R$6:$R$999,K69,Toevoegingen!$S$6:$S$999)</f>
        <v>0</v>
      </c>
      <c r="N69" s="8">
        <f t="shared" si="3"/>
        <v>0</v>
      </c>
      <c r="P69" s="8" t="str">
        <f>'Grondstof soorten'!D68</f>
        <v/>
      </c>
      <c r="Q69" s="8">
        <f>SUMIF(Gist!$G$6:$G$999,P69,Gist!$J$6:$J$99)</f>
        <v>0</v>
      </c>
      <c r="R69" s="9">
        <f>SUMIF(Gist!$R$6:$R$999,P69,Gist!$S$6:$S$999)</f>
        <v>0</v>
      </c>
      <c r="S69" s="8">
        <f t="shared" si="4"/>
        <v>0</v>
      </c>
      <c r="U69" s="8" t="str">
        <f>'Grondstof soorten'!E68</f>
        <v/>
      </c>
      <c r="V69" s="8">
        <f>SUMIF(Verpakkingen!$G$6:$G$999,U69,Verpakkingen!$J$6:$J$99)</f>
        <v>0</v>
      </c>
      <c r="W69" s="9">
        <f>SUMIF(Verpakkingen!$S$6:$S$999,U69,Verpakkingen!$T$6:$T$999)</f>
        <v>0</v>
      </c>
      <c r="X69" s="8">
        <f t="shared" si="5"/>
        <v>0</v>
      </c>
    </row>
    <row r="70">
      <c r="A70" s="8" t="str">
        <f>'Grondstof soorten'!A69</f>
        <v/>
      </c>
      <c r="B70" s="8">
        <f>SUMIF(Granen!G68:G1061,A70,Granen!J68:J161)</f>
        <v>0</v>
      </c>
      <c r="C70" s="9">
        <f>SUMIF(Granen!R68:R1061,A70,Granen!S68:S1061)</f>
        <v>0</v>
      </c>
      <c r="D70" s="8">
        <f t="shared" si="1"/>
        <v>0</v>
      </c>
      <c r="F70" s="8" t="str">
        <f>'Grondstof soorten'!C69</f>
        <v/>
      </c>
      <c r="G70" s="8">
        <f>SUMIF(Hop!$G$6:$G$999,F70,Hop!$J$6:$J$99)</f>
        <v>0</v>
      </c>
      <c r="H70" s="9">
        <f>SUMIF(Hop!$R$6:$R$999,F70,Hop!$S$6:$S$999)</f>
        <v>0</v>
      </c>
      <c r="I70" s="8">
        <f t="shared" si="2"/>
        <v>0</v>
      </c>
      <c r="K70" s="8" t="str">
        <f>'Grondstof soorten'!B69</f>
        <v/>
      </c>
      <c r="L70" s="8">
        <f>SUMIF(Toevoegingen!$G$6:$G$999,K70,Toevoegingen!$J$6:$J$99)</f>
        <v>0</v>
      </c>
      <c r="M70" s="9">
        <f>SUMIF(Toevoegingen!$R$6:$R$999,K70,Toevoegingen!$S$6:$S$999)</f>
        <v>0</v>
      </c>
      <c r="N70" s="8">
        <f t="shared" si="3"/>
        <v>0</v>
      </c>
      <c r="P70" s="8" t="str">
        <f>'Grondstof soorten'!D69</f>
        <v/>
      </c>
      <c r="Q70" s="8">
        <f>SUMIF(Gist!$G$6:$G$999,P70,Gist!$J$6:$J$99)</f>
        <v>0</v>
      </c>
      <c r="R70" s="9">
        <f>SUMIF(Gist!$R$6:$R$999,P70,Gist!$S$6:$S$999)</f>
        <v>0</v>
      </c>
      <c r="S70" s="8">
        <f t="shared" si="4"/>
        <v>0</v>
      </c>
      <c r="U70" s="8" t="str">
        <f>'Grondstof soorten'!E69</f>
        <v/>
      </c>
      <c r="V70" s="8">
        <f>SUMIF(Verpakkingen!$G$6:$G$999,U70,Verpakkingen!$J$6:$J$99)</f>
        <v>0</v>
      </c>
      <c r="W70" s="9">
        <f>SUMIF(Verpakkingen!$S$6:$S$999,U70,Verpakkingen!$T$6:$T$999)</f>
        <v>0</v>
      </c>
      <c r="X70" s="8">
        <f t="shared" si="5"/>
        <v>0</v>
      </c>
    </row>
    <row r="71">
      <c r="A71" s="8" t="str">
        <f>'Grondstof soorten'!A70</f>
        <v/>
      </c>
      <c r="B71" s="8">
        <f>SUMIF(Granen!G69:G1062,A71,Granen!J69:J162)</f>
        <v>0</v>
      </c>
      <c r="C71" s="9">
        <f>SUMIF(Granen!R69:R1062,A71,Granen!S69:S1062)</f>
        <v>0</v>
      </c>
      <c r="D71" s="8">
        <f t="shared" si="1"/>
        <v>0</v>
      </c>
      <c r="F71" s="8" t="str">
        <f>'Grondstof soorten'!C70</f>
        <v/>
      </c>
      <c r="G71" s="8">
        <f>SUMIF(Hop!$G$6:$G$999,F71,Hop!$J$6:$J$99)</f>
        <v>0</v>
      </c>
      <c r="H71" s="9">
        <f>SUMIF(Hop!$R$6:$R$999,F71,Hop!$S$6:$S$999)</f>
        <v>0</v>
      </c>
      <c r="I71" s="8">
        <f t="shared" si="2"/>
        <v>0</v>
      </c>
      <c r="K71" s="8" t="str">
        <f>'Grondstof soorten'!B70</f>
        <v/>
      </c>
      <c r="L71" s="8">
        <f>SUMIF(Toevoegingen!$G$6:$G$999,K71,Toevoegingen!$J$6:$J$99)</f>
        <v>0</v>
      </c>
      <c r="M71" s="9">
        <f>SUMIF(Toevoegingen!$R$6:$R$999,K71,Toevoegingen!$S$6:$S$999)</f>
        <v>0</v>
      </c>
      <c r="N71" s="8">
        <f t="shared" si="3"/>
        <v>0</v>
      </c>
      <c r="P71" s="8" t="str">
        <f>'Grondstof soorten'!D70</f>
        <v/>
      </c>
      <c r="Q71" s="8">
        <f>SUMIF(Gist!$G$6:$G$999,P71,Gist!$J$6:$J$99)</f>
        <v>0</v>
      </c>
      <c r="R71" s="9">
        <f>SUMIF(Gist!$R$6:$R$999,P71,Gist!$S$6:$S$999)</f>
        <v>0</v>
      </c>
      <c r="S71" s="8">
        <f t="shared" si="4"/>
        <v>0</v>
      </c>
      <c r="U71" s="8" t="str">
        <f>'Grondstof soorten'!E70</f>
        <v/>
      </c>
      <c r="V71" s="8">
        <f>SUMIF(Verpakkingen!$G$6:$G$999,U71,Verpakkingen!$J$6:$J$99)</f>
        <v>0</v>
      </c>
      <c r="W71" s="9">
        <f>SUMIF(Verpakkingen!$S$6:$S$999,U71,Verpakkingen!$T$6:$T$999)</f>
        <v>0</v>
      </c>
      <c r="X71" s="8">
        <f t="shared" si="5"/>
        <v>0</v>
      </c>
    </row>
    <row r="72">
      <c r="A72" s="8" t="str">
        <f>'Grondstof soorten'!A71</f>
        <v/>
      </c>
      <c r="B72" s="8">
        <f>SUMIF(Granen!G70:G1063,A72,Granen!J70:J163)</f>
        <v>0</v>
      </c>
      <c r="C72" s="9">
        <f>SUMIF(Granen!R70:R1063,A72,Granen!S70:S1063)</f>
        <v>0</v>
      </c>
      <c r="D72" s="8">
        <f t="shared" si="1"/>
        <v>0</v>
      </c>
      <c r="F72" s="8" t="str">
        <f>'Grondstof soorten'!C71</f>
        <v/>
      </c>
      <c r="G72" s="8">
        <f>SUMIF(Hop!$G$6:$G$999,F72,Hop!$J$6:$J$99)</f>
        <v>0</v>
      </c>
      <c r="H72" s="9">
        <f>SUMIF(Hop!$R$6:$R$999,F72,Hop!$S$6:$S$999)</f>
        <v>0</v>
      </c>
      <c r="I72" s="8">
        <f t="shared" si="2"/>
        <v>0</v>
      </c>
      <c r="K72" s="8" t="str">
        <f>'Grondstof soorten'!B71</f>
        <v/>
      </c>
      <c r="L72" s="8">
        <f>SUMIF(Toevoegingen!$G$6:$G$999,K72,Toevoegingen!$J$6:$J$99)</f>
        <v>0</v>
      </c>
      <c r="M72" s="9">
        <f>SUMIF(Toevoegingen!$R$6:$R$999,K72,Toevoegingen!$S$6:$S$999)</f>
        <v>0</v>
      </c>
      <c r="N72" s="8">
        <f t="shared" si="3"/>
        <v>0</v>
      </c>
      <c r="P72" s="8" t="str">
        <f>'Grondstof soorten'!D71</f>
        <v/>
      </c>
      <c r="Q72" s="8">
        <f>SUMIF(Gist!$G$6:$G$999,P72,Gist!$J$6:$J$99)</f>
        <v>0</v>
      </c>
      <c r="R72" s="9">
        <f>SUMIF(Gist!$R$6:$R$999,P72,Gist!$S$6:$S$999)</f>
        <v>0</v>
      </c>
      <c r="S72" s="8">
        <f t="shared" si="4"/>
        <v>0</v>
      </c>
      <c r="U72" s="8" t="str">
        <f>'Grondstof soorten'!E71</f>
        <v/>
      </c>
      <c r="V72" s="8">
        <f>SUMIF(Verpakkingen!$G$6:$G$999,U72,Verpakkingen!$J$6:$J$99)</f>
        <v>0</v>
      </c>
      <c r="W72" s="9">
        <f>SUMIF(Verpakkingen!$S$6:$S$999,U72,Verpakkingen!$T$6:$T$999)</f>
        <v>0</v>
      </c>
      <c r="X72" s="8">
        <f t="shared" si="5"/>
        <v>0</v>
      </c>
    </row>
    <row r="73">
      <c r="A73" s="8" t="str">
        <f>'Grondstof soorten'!A72</f>
        <v/>
      </c>
      <c r="F73" s="8" t="str">
        <f>'Grondstof soorten'!C72</f>
        <v/>
      </c>
      <c r="K73" s="8" t="str">
        <f>'Grondstof soorten'!B72</f>
        <v/>
      </c>
    </row>
    <row r="74">
      <c r="A74" s="8" t="str">
        <f>'Grondstof soorten'!A73</f>
        <v/>
      </c>
      <c r="F74" s="8" t="str">
        <f>'Grondstof soorten'!C73</f>
        <v/>
      </c>
      <c r="K74" s="8" t="str">
        <f>'Grondstof soorten'!B73</f>
        <v/>
      </c>
    </row>
    <row r="75">
      <c r="A75" s="8" t="str">
        <f>'Grondstof soorten'!A74</f>
        <v/>
      </c>
      <c r="F75" s="8" t="str">
        <f>'Grondstof soorten'!C74</f>
        <v/>
      </c>
      <c r="K75" s="8" t="str">
        <f>'Grondstof soorten'!B74</f>
        <v/>
      </c>
    </row>
    <row r="76">
      <c r="A76" s="8" t="str">
        <f>'Grondstof soorten'!A75</f>
        <v/>
      </c>
      <c r="F76" s="8" t="str">
        <f>'Grondstof soorten'!C75</f>
        <v/>
      </c>
      <c r="K76" s="8" t="str">
        <f>'Grondstof soorten'!B75</f>
        <v/>
      </c>
    </row>
    <row r="77">
      <c r="A77" s="8" t="str">
        <f>'Grondstof soorten'!A76</f>
        <v/>
      </c>
      <c r="F77" s="8" t="str">
        <f>'Grondstof soorten'!C76</f>
        <v/>
      </c>
      <c r="K77" s="8" t="str">
        <f>'Grondstof soorten'!B76</f>
        <v/>
      </c>
    </row>
    <row r="78">
      <c r="A78" s="8" t="str">
        <f>'Grondstof soorten'!A77</f>
        <v/>
      </c>
      <c r="F78" s="8" t="str">
        <f>'Grondstof soorten'!C77</f>
        <v/>
      </c>
      <c r="K78" s="8" t="str">
        <f>'Grondstof soorten'!B77</f>
        <v/>
      </c>
    </row>
    <row r="79">
      <c r="A79" s="8" t="str">
        <f>'Grondstof soorten'!A78</f>
        <v/>
      </c>
      <c r="F79" s="8" t="str">
        <f>'Grondstof soorten'!C78</f>
        <v/>
      </c>
      <c r="K79" s="8" t="str">
        <f>'Grondstof soorten'!B78</f>
        <v/>
      </c>
    </row>
    <row r="80">
      <c r="A80" s="8" t="str">
        <f>'Grondstof soorten'!A79</f>
        <v/>
      </c>
      <c r="F80" s="8" t="str">
        <f>'Grondstof soorten'!C79</f>
        <v/>
      </c>
      <c r="K80" s="8" t="str">
        <f>'Grondstof soorten'!B79</f>
        <v/>
      </c>
    </row>
    <row r="81">
      <c r="A81" s="8" t="str">
        <f>'Grondstof soorten'!A80</f>
        <v/>
      </c>
      <c r="F81" s="8" t="str">
        <f>'Grondstof soorten'!C80</f>
        <v/>
      </c>
    </row>
    <row r="82">
      <c r="A82" s="8" t="str">
        <f>'Grondstof soorten'!A81</f>
        <v/>
      </c>
      <c r="F82" s="8" t="str">
        <f>'Grondstof soorten'!C81</f>
        <v/>
      </c>
    </row>
    <row r="83">
      <c r="A83" s="8" t="str">
        <f>'Grondstof soorten'!A82</f>
        <v/>
      </c>
      <c r="F83" s="8" t="str">
        <f>'Grondstof soorten'!C82</f>
        <v/>
      </c>
    </row>
    <row r="84">
      <c r="A84" s="8" t="str">
        <f>'Grondstof soorten'!A83</f>
        <v/>
      </c>
      <c r="F84" s="8" t="str">
        <f>'Grondstof soorten'!C83</f>
        <v/>
      </c>
    </row>
    <row r="85">
      <c r="A85" s="8" t="str">
        <f>'Grondstof soorten'!A84</f>
        <v/>
      </c>
      <c r="F85" s="8" t="str">
        <f>'Grondstof soorten'!C84</f>
        <v/>
      </c>
    </row>
    <row r="86">
      <c r="A86" s="8" t="str">
        <f>'Grondstof soorten'!A85</f>
        <v/>
      </c>
      <c r="F86" s="8" t="str">
        <f>'Grondstof soorten'!C85</f>
        <v/>
      </c>
    </row>
    <row r="87">
      <c r="A87" s="8" t="str">
        <f>'Grondstof soorten'!A86</f>
        <v/>
      </c>
      <c r="F87" s="8" t="str">
        <f>'Grondstof soorten'!C86</f>
        <v/>
      </c>
    </row>
    <row r="88">
      <c r="A88" s="8" t="str">
        <f>'Grondstof soorten'!A87</f>
        <v/>
      </c>
      <c r="F88" s="8" t="str">
        <f>'Grondstof soorten'!C87</f>
        <v/>
      </c>
    </row>
    <row r="89">
      <c r="A89" s="8" t="str">
        <f>'Grondstof soorten'!A88</f>
        <v/>
      </c>
      <c r="F89" s="8" t="str">
        <f>'Grondstof soorten'!C88</f>
        <v/>
      </c>
    </row>
    <row r="90">
      <c r="A90" s="8" t="str">
        <f>'Grondstof soorten'!A89</f>
        <v/>
      </c>
      <c r="F90" s="8" t="str">
        <f>'Grondstof soorten'!C89</f>
        <v/>
      </c>
    </row>
    <row r="91">
      <c r="A91" s="8" t="str">
        <f>'Grondstof soorten'!A90</f>
        <v/>
      </c>
      <c r="F91" s="8" t="str">
        <f>'Grondstof soorten'!C90</f>
        <v/>
      </c>
    </row>
    <row r="92">
      <c r="A92" s="8" t="str">
        <f>'Grondstof soorten'!A91</f>
        <v/>
      </c>
      <c r="F92" s="8" t="str">
        <f>'Grondstof soorten'!C91</f>
        <v/>
      </c>
    </row>
    <row r="93">
      <c r="A93" s="8" t="str">
        <f>'Grondstof soorten'!A92</f>
        <v/>
      </c>
      <c r="F93" s="8" t="str">
        <f>'Grondstof soorten'!C92</f>
        <v/>
      </c>
    </row>
    <row r="94">
      <c r="A94" s="8" t="str">
        <f>'Grondstof soorten'!A93</f>
        <v/>
      </c>
      <c r="F94" s="8" t="str">
        <f>'Grondstof soorten'!C93</f>
        <v/>
      </c>
    </row>
    <row r="95">
      <c r="A95" s="8" t="str">
        <f>'Grondstof soorten'!A94</f>
        <v/>
      </c>
      <c r="F95" s="8" t="str">
        <f>'Grondstof soorten'!C94</f>
        <v/>
      </c>
    </row>
    <row r="96">
      <c r="A96" s="8" t="str">
        <f>'Grondstof soorten'!A95</f>
        <v/>
      </c>
      <c r="F96" s="8" t="str">
        <f>'Grondstof soorten'!C95</f>
        <v/>
      </c>
    </row>
    <row r="97">
      <c r="A97" s="8" t="str">
        <f>'Grondstof soorten'!A96</f>
        <v/>
      </c>
      <c r="F97" s="8" t="str">
        <f>'Grondstof soorten'!C96</f>
        <v/>
      </c>
    </row>
    <row r="98">
      <c r="A98" s="8" t="str">
        <f>'Grondstof soorten'!A97</f>
        <v/>
      </c>
      <c r="F98" s="8" t="str">
        <f>'Grondstof soorten'!C97</f>
        <v/>
      </c>
    </row>
    <row r="99">
      <c r="A99" s="8" t="str">
        <f>'Grondstof soorten'!A98</f>
        <v/>
      </c>
      <c r="F99" s="8" t="str">
        <f>'Grondstof soorten'!C98</f>
        <v/>
      </c>
    </row>
    <row r="100">
      <c r="A100" s="8" t="str">
        <f>'Grondstof soorten'!A99</f>
        <v/>
      </c>
      <c r="F100" s="8" t="str">
        <f>'Grondstof soorten'!C99</f>
        <v/>
      </c>
    </row>
    <row r="101">
      <c r="A101" s="8" t="str">
        <f>'Grondstof soorten'!A100</f>
        <v/>
      </c>
      <c r="F101" s="8" t="str">
        <f>'Grondstof soorten'!C100</f>
        <v/>
      </c>
    </row>
    <row r="102">
      <c r="A102" s="8" t="str">
        <f>'Grondstof soorten'!A101</f>
        <v/>
      </c>
      <c r="F102" s="8" t="str">
        <f>'Grondstof soorten'!C101</f>
        <v/>
      </c>
    </row>
    <row r="103">
      <c r="A103" s="8" t="str">
        <f>'Grondstof soorten'!A102</f>
        <v/>
      </c>
      <c r="F103" s="8" t="str">
        <f>'Grondstof soorten'!C102</f>
        <v/>
      </c>
    </row>
    <row r="104">
      <c r="A104" s="8" t="str">
        <f>'Grondstof soorten'!A103</f>
        <v/>
      </c>
      <c r="F104" s="8" t="str">
        <f>'Grondstof soorten'!C103</f>
        <v/>
      </c>
    </row>
    <row r="105">
      <c r="A105" s="8" t="str">
        <f>'Grondstof soorten'!A104</f>
        <v/>
      </c>
      <c r="F105" s="8" t="str">
        <f>'Grondstof soorten'!C104</f>
        <v/>
      </c>
    </row>
    <row r="106">
      <c r="A106" s="8" t="str">
        <f>'Grondstof soorten'!A105</f>
        <v/>
      </c>
      <c r="F106" s="8" t="str">
        <f>'Grondstof soorten'!C105</f>
        <v/>
      </c>
    </row>
    <row r="107">
      <c r="A107" s="8" t="str">
        <f>'Grondstof soorten'!A106</f>
        <v/>
      </c>
      <c r="F107" s="8" t="str">
        <f>'Grondstof soorten'!C106</f>
        <v/>
      </c>
    </row>
    <row r="108">
      <c r="A108" s="8" t="str">
        <f>'Grondstof soorten'!A107</f>
        <v/>
      </c>
      <c r="F108" s="8" t="str">
        <f>'Grondstof soorten'!C107</f>
        <v/>
      </c>
    </row>
    <row r="109">
      <c r="A109" s="8" t="str">
        <f>'Grondstof soorten'!A108</f>
        <v/>
      </c>
      <c r="F109" s="8" t="str">
        <f>'Grondstof soorten'!C108</f>
        <v/>
      </c>
    </row>
    <row r="110">
      <c r="A110" s="8" t="str">
        <f>'Grondstof soorten'!A109</f>
        <v/>
      </c>
      <c r="F110" s="8" t="str">
        <f>'Grondstof soorten'!C109</f>
        <v/>
      </c>
    </row>
    <row r="111">
      <c r="A111" s="8" t="str">
        <f>'Grondstof soorten'!A110</f>
        <v/>
      </c>
      <c r="F111" s="8" t="str">
        <f>'Grondstof soorten'!C110</f>
        <v/>
      </c>
    </row>
    <row r="112">
      <c r="A112" s="8" t="str">
        <f>'Grondstof soorten'!A111</f>
        <v/>
      </c>
      <c r="F112" s="8" t="str">
        <f>'Grondstof soorten'!C111</f>
        <v/>
      </c>
    </row>
    <row r="113">
      <c r="A113" s="8" t="str">
        <f>'Grondstof soorten'!A112</f>
        <v/>
      </c>
      <c r="F113" s="8" t="str">
        <f>'Grondstof soorten'!C112</f>
        <v/>
      </c>
    </row>
    <row r="114">
      <c r="A114" s="8" t="str">
        <f>'Grondstof soorten'!A113</f>
        <v/>
      </c>
      <c r="F114" s="8" t="str">
        <f>'Grondstof soorten'!C113</f>
        <v/>
      </c>
    </row>
    <row r="115">
      <c r="A115" s="8" t="str">
        <f>'Grondstof soorten'!A114</f>
        <v/>
      </c>
      <c r="F115" s="8" t="str">
        <f>'Grondstof soorten'!C114</f>
        <v/>
      </c>
    </row>
    <row r="116">
      <c r="A116" s="8" t="str">
        <f>'Grondstof soorten'!A115</f>
        <v/>
      </c>
      <c r="F116" s="8" t="str">
        <f>'Grondstof soorten'!C115</f>
        <v/>
      </c>
    </row>
    <row r="117">
      <c r="A117" s="8" t="str">
        <f>'Grondstof soorten'!A116</f>
        <v/>
      </c>
      <c r="F117" s="8" t="str">
        <f>'Grondstof soorten'!C116</f>
        <v/>
      </c>
    </row>
    <row r="118">
      <c r="A118" s="8" t="str">
        <f>'Grondstof soorten'!A117</f>
        <v/>
      </c>
      <c r="F118" s="8" t="str">
        <f>'Grondstof soorten'!C117</f>
        <v/>
      </c>
    </row>
    <row r="119">
      <c r="A119" s="8" t="str">
        <f>'Grondstof soorten'!A118</f>
        <v/>
      </c>
      <c r="F119" s="8" t="str">
        <f>'Grondstof soorten'!C118</f>
        <v/>
      </c>
    </row>
    <row r="120">
      <c r="A120" s="8" t="str">
        <f>'Grondstof soorten'!A119</f>
        <v/>
      </c>
      <c r="F120" s="8" t="str">
        <f>'Grondstof soorten'!C119</f>
        <v/>
      </c>
    </row>
    <row r="121">
      <c r="A121" s="8" t="str">
        <f>'Grondstof soorten'!A120</f>
        <v/>
      </c>
      <c r="F121" s="8" t="str">
        <f>'Grondstof soorten'!C120</f>
        <v/>
      </c>
    </row>
    <row r="122">
      <c r="A122" s="8" t="str">
        <f>'Grondstof soorten'!A121</f>
        <v/>
      </c>
      <c r="F122" s="8" t="str">
        <f>'Grondstof soorten'!C121</f>
        <v/>
      </c>
    </row>
    <row r="123">
      <c r="A123" s="8" t="str">
        <f>'Grondstof soorten'!A122</f>
        <v/>
      </c>
      <c r="F123" s="8" t="str">
        <f>'Grondstof soorten'!C122</f>
        <v/>
      </c>
    </row>
    <row r="124">
      <c r="A124" s="8" t="str">
        <f>'Grondstof soorten'!A123</f>
        <v/>
      </c>
      <c r="F124" s="8" t="str">
        <f>'Grondstof soorten'!C123</f>
        <v/>
      </c>
    </row>
    <row r="125">
      <c r="A125" s="8" t="str">
        <f>'Grondstof soorten'!A124</f>
        <v/>
      </c>
      <c r="F125" s="8" t="str">
        <f>'Grondstof soorten'!C124</f>
        <v/>
      </c>
    </row>
    <row r="126">
      <c r="A126" s="8" t="str">
        <f>'Grondstof soorten'!A125</f>
        <v/>
      </c>
      <c r="F126" s="8" t="str">
        <f>'Grondstof soorten'!C125</f>
        <v/>
      </c>
    </row>
    <row r="127">
      <c r="A127" s="8" t="str">
        <f>'Grondstof soorten'!A126</f>
        <v/>
      </c>
      <c r="F127" s="8" t="str">
        <f>'Grondstof soorten'!C126</f>
        <v/>
      </c>
    </row>
    <row r="128">
      <c r="A128" s="8" t="str">
        <f>'Grondstof soorten'!A127</f>
        <v/>
      </c>
      <c r="F128" s="8" t="str">
        <f>'Grondstof soorten'!C127</f>
        <v/>
      </c>
    </row>
    <row r="129">
      <c r="A129" s="8" t="str">
        <f>'Grondstof soorten'!A128</f>
        <v/>
      </c>
      <c r="F129" s="8" t="str">
        <f>'Grondstof soorten'!C128</f>
        <v/>
      </c>
    </row>
    <row r="130">
      <c r="A130" s="8" t="str">
        <f>'Grondstof soorten'!A129</f>
        <v/>
      </c>
      <c r="F130" s="8" t="str">
        <f>'Grondstof soorten'!C129</f>
        <v/>
      </c>
    </row>
    <row r="131">
      <c r="A131" s="8" t="str">
        <f>'Grondstof soorten'!A130</f>
        <v/>
      </c>
      <c r="F131" s="8" t="str">
        <f>'Grondstof soorten'!C130</f>
        <v/>
      </c>
    </row>
    <row r="132">
      <c r="A132" s="8" t="str">
        <f>'Grondstof soorten'!A131</f>
        <v/>
      </c>
      <c r="F132" s="8" t="str">
        <f>'Grondstof soorten'!C131</f>
        <v/>
      </c>
    </row>
    <row r="133">
      <c r="A133" s="8" t="str">
        <f>'Grondstof soorten'!A132</f>
        <v/>
      </c>
      <c r="F133" s="8" t="str">
        <f>'Grondstof soorten'!C132</f>
        <v/>
      </c>
    </row>
    <row r="134">
      <c r="A134" s="8" t="str">
        <f>'Grondstof soorten'!A133</f>
        <v/>
      </c>
      <c r="F134" s="8" t="str">
        <f>'Grondstof soorten'!C133</f>
        <v/>
      </c>
    </row>
    <row r="135">
      <c r="A135" s="8" t="str">
        <f>'Grondstof soorten'!A134</f>
        <v/>
      </c>
      <c r="F135" s="8" t="str">
        <f>'Grondstof soorten'!C134</f>
        <v/>
      </c>
    </row>
    <row r="136">
      <c r="A136" s="8" t="str">
        <f>'Grondstof soorten'!A135</f>
        <v/>
      </c>
      <c r="F136" s="8" t="str">
        <f>'Grondstof soorten'!C135</f>
        <v/>
      </c>
    </row>
    <row r="137">
      <c r="A137" s="8" t="str">
        <f>'Grondstof soorten'!A136</f>
        <v/>
      </c>
      <c r="F137" s="8" t="str">
        <f>'Grondstof soorten'!C136</f>
        <v/>
      </c>
    </row>
    <row r="138">
      <c r="A138" s="8" t="str">
        <f>'Grondstof soorten'!A137</f>
        <v/>
      </c>
      <c r="F138" s="8" t="str">
        <f>'Grondstof soorten'!C137</f>
        <v/>
      </c>
    </row>
    <row r="139">
      <c r="A139" s="8" t="str">
        <f>'Grondstof soorten'!A138</f>
        <v/>
      </c>
      <c r="F139" s="8" t="str">
        <f>'Grondstof soorten'!C138</f>
        <v/>
      </c>
    </row>
    <row r="140">
      <c r="A140" s="8" t="str">
        <f>'Grondstof soorten'!A139</f>
        <v/>
      </c>
      <c r="F140" s="8" t="str">
        <f>'Grondstof soorten'!C139</f>
        <v/>
      </c>
    </row>
    <row r="141">
      <c r="A141" s="8" t="str">
        <f>'Grondstof soorten'!A140</f>
        <v/>
      </c>
      <c r="F141" s="8" t="str">
        <f>'Grondstof soorten'!C140</f>
        <v/>
      </c>
    </row>
    <row r="142">
      <c r="A142" s="8" t="str">
        <f>'Grondstof soorten'!A141</f>
        <v/>
      </c>
      <c r="F142" s="8" t="str">
        <f>'Grondstof soorten'!C141</f>
        <v/>
      </c>
    </row>
    <row r="143">
      <c r="A143" s="8" t="str">
        <f>'Grondstof soorten'!A142</f>
        <v/>
      </c>
      <c r="F143" s="8" t="str">
        <f>'Grondstof soorten'!C142</f>
        <v/>
      </c>
    </row>
    <row r="144">
      <c r="A144" s="8" t="str">
        <f>'Grondstof soorten'!A143</f>
        <v/>
      </c>
      <c r="F144" s="8" t="str">
        <f>'Grondstof soorten'!C143</f>
        <v/>
      </c>
    </row>
    <row r="145">
      <c r="A145" s="8" t="str">
        <f>'Grondstof soorten'!A144</f>
        <v/>
      </c>
      <c r="F145" s="8" t="str">
        <f>'Grondstof soorten'!C144</f>
        <v/>
      </c>
    </row>
    <row r="146">
      <c r="A146" s="8" t="str">
        <f>'Grondstof soorten'!A145</f>
        <v/>
      </c>
      <c r="F146" s="8" t="str">
        <f>'Grondstof soorten'!C145</f>
        <v/>
      </c>
    </row>
    <row r="147">
      <c r="A147" s="8" t="str">
        <f>'Grondstof soorten'!A146</f>
        <v/>
      </c>
      <c r="F147" s="8" t="str">
        <f>'Grondstof soorten'!C146</f>
        <v/>
      </c>
    </row>
    <row r="148">
      <c r="A148" s="8" t="str">
        <f>'Grondstof soorten'!A147</f>
        <v/>
      </c>
      <c r="F148" s="8" t="str">
        <f>'Grondstof soorten'!C147</f>
        <v/>
      </c>
    </row>
    <row r="149">
      <c r="A149" s="8" t="str">
        <f>'Grondstof soorten'!A148</f>
        <v/>
      </c>
      <c r="F149" s="8" t="str">
        <f>'Grondstof soorten'!C148</f>
        <v/>
      </c>
    </row>
    <row r="150">
      <c r="A150" s="8" t="str">
        <f>'Grondstof soorten'!A149</f>
        <v/>
      </c>
      <c r="F150" s="8" t="str">
        <f>'Grondstof soorten'!C149</f>
        <v/>
      </c>
    </row>
    <row r="151">
      <c r="A151" s="8" t="str">
        <f>'Grondstof soorten'!A150</f>
        <v/>
      </c>
      <c r="F151" s="8" t="str">
        <f>'Grondstof soorten'!C150</f>
        <v/>
      </c>
    </row>
    <row r="152">
      <c r="A152" s="8" t="str">
        <f>'Grondstof soorten'!A151</f>
        <v/>
      </c>
      <c r="F152" s="8" t="str">
        <f>'Grondstof soorten'!C151</f>
        <v/>
      </c>
    </row>
    <row r="153">
      <c r="A153" s="8" t="str">
        <f>'Grondstof soorten'!A152</f>
        <v/>
      </c>
      <c r="F153" s="8" t="str">
        <f>'Grondstof soorten'!C152</f>
        <v/>
      </c>
    </row>
    <row r="154">
      <c r="A154" s="8" t="str">
        <f>'Grondstof soorten'!A153</f>
        <v/>
      </c>
      <c r="F154" s="8" t="str">
        <f>'Grondstof soorten'!C153</f>
        <v/>
      </c>
    </row>
    <row r="155">
      <c r="A155" s="8" t="str">
        <f>'Grondstof soorten'!A154</f>
        <v/>
      </c>
    </row>
    <row r="156">
      <c r="A156" s="8" t="str">
        <f>'Grondstof soorten'!A155</f>
        <v/>
      </c>
    </row>
    <row r="157">
      <c r="A157" s="8" t="str">
        <f>'Grondstof soorten'!A156</f>
        <v/>
      </c>
    </row>
    <row r="158">
      <c r="A158" s="8" t="str">
        <f>'Grondstof soorten'!A157</f>
        <v/>
      </c>
    </row>
    <row r="159">
      <c r="A159" s="8" t="str">
        <f>'Grondstof soorten'!A158</f>
        <v/>
      </c>
    </row>
    <row r="160">
      <c r="A160" s="8" t="str">
        <f>'Grondstof soorten'!A159</f>
        <v/>
      </c>
    </row>
    <row r="161">
      <c r="A161" s="8" t="str">
        <f>'Grondstof soorten'!A160</f>
        <v/>
      </c>
    </row>
    <row r="162">
      <c r="A162" s="8" t="str">
        <f>'Grondstof soorten'!A161</f>
        <v/>
      </c>
    </row>
    <row r="163">
      <c r="A163" s="8" t="str">
        <f>'Grondstof soorten'!A162</f>
        <v/>
      </c>
    </row>
    <row r="164">
      <c r="A164" s="8" t="str">
        <f>'Grondstof soorten'!A163</f>
        <v/>
      </c>
    </row>
    <row r="165">
      <c r="A165" s="8" t="str">
        <f>'Grondstof soorten'!A164</f>
        <v/>
      </c>
    </row>
    <row r="166">
      <c r="A166" s="8" t="str">
        <f>'Grondstof soorten'!A165</f>
        <v/>
      </c>
    </row>
    <row r="167">
      <c r="A167" s="8" t="str">
        <f>'Grondstof soorten'!A166</f>
        <v/>
      </c>
    </row>
    <row r="168">
      <c r="A168" s="8" t="str">
        <f>'Grondstof soorten'!A167</f>
        <v/>
      </c>
    </row>
    <row r="169">
      <c r="A169" s="8" t="str">
        <f>'Grondstof soorten'!A168</f>
        <v/>
      </c>
    </row>
    <row r="170">
      <c r="A170" s="8" t="str">
        <f>'Grondstof soorten'!A169</f>
        <v/>
      </c>
    </row>
    <row r="171">
      <c r="A171" s="8" t="str">
        <f>'Grondstof soorten'!A170</f>
        <v/>
      </c>
    </row>
    <row r="172">
      <c r="A172" s="8" t="str">
        <f>'Grondstof soorten'!A171</f>
        <v/>
      </c>
    </row>
    <row r="173">
      <c r="A173" s="8" t="str">
        <f>'Grondstof soorten'!A172</f>
        <v/>
      </c>
    </row>
    <row r="174">
      <c r="A174" s="8" t="str">
        <f>'Grondstof soorten'!A173</f>
        <v/>
      </c>
    </row>
    <row r="175">
      <c r="A175" s="8" t="str">
        <f>'Grondstof soorten'!A174</f>
        <v/>
      </c>
    </row>
    <row r="176">
      <c r="A176" s="8" t="str">
        <f>'Grondstof soorten'!A175</f>
        <v/>
      </c>
    </row>
    <row r="177">
      <c r="A177" s="8" t="str">
        <f>'Grondstof soorten'!A176</f>
        <v/>
      </c>
    </row>
    <row r="178">
      <c r="A178" s="8" t="str">
        <f>'Grondstof soorten'!A177</f>
        <v/>
      </c>
    </row>
    <row r="179">
      <c r="A179" s="8" t="str">
        <f>'Grondstof soorten'!A178</f>
        <v/>
      </c>
    </row>
    <row r="180">
      <c r="A180" s="8" t="str">
        <f>'Grondstof soorten'!A179</f>
        <v/>
      </c>
    </row>
    <row r="181">
      <c r="A181" s="8" t="str">
        <f>'Grondstof soorten'!A180</f>
        <v/>
      </c>
    </row>
    <row r="182">
      <c r="A182" s="8" t="str">
        <f>'Grondstof soorten'!A181</f>
        <v/>
      </c>
    </row>
    <row r="183">
      <c r="A183" s="8" t="str">
        <f>'Grondstof soorten'!A182</f>
        <v/>
      </c>
    </row>
    <row r="184">
      <c r="A184" s="8" t="str">
        <f>'Grondstof soorten'!A183</f>
        <v/>
      </c>
    </row>
    <row r="185">
      <c r="A185" s="8" t="str">
        <f>'Grondstof soorten'!A184</f>
        <v/>
      </c>
    </row>
    <row r="186">
      <c r="A186" s="8" t="str">
        <f>'Grondstof soorten'!A185</f>
        <v/>
      </c>
    </row>
    <row r="187">
      <c r="A187" s="8" t="str">
        <f>'Grondstof soorten'!A186</f>
        <v/>
      </c>
    </row>
    <row r="188">
      <c r="A188" s="8" t="str">
        <f>'Grondstof soorten'!A187</f>
        <v/>
      </c>
    </row>
    <row r="189">
      <c r="A189" s="8" t="str">
        <f>'Grondstof soorten'!A188</f>
        <v/>
      </c>
    </row>
    <row r="190">
      <c r="A190" s="8" t="str">
        <f>'Grondstof soorten'!A189</f>
        <v/>
      </c>
    </row>
    <row r="191">
      <c r="A191" s="8" t="str">
        <f>'Grondstof soorten'!A190</f>
        <v/>
      </c>
    </row>
    <row r="192">
      <c r="A192" s="8" t="str">
        <f>'Grondstof soorten'!A191</f>
        <v/>
      </c>
    </row>
    <row r="193">
      <c r="A193" s="8" t="str">
        <f>'Grondstof soorten'!A192</f>
        <v/>
      </c>
    </row>
    <row r="194">
      <c r="A194" s="8" t="str">
        <f>'Grondstof soorten'!A193</f>
        <v/>
      </c>
    </row>
    <row r="195">
      <c r="A195" s="8" t="str">
        <f>'Grondstof soorten'!A194</f>
        <v/>
      </c>
    </row>
    <row r="196">
      <c r="A196" s="8" t="str">
        <f>'Grondstof soorten'!A195</f>
        <v/>
      </c>
    </row>
    <row r="197">
      <c r="A197" s="8" t="str">
        <f>'Grondstof soorten'!A196</f>
        <v/>
      </c>
    </row>
    <row r="198">
      <c r="A198" s="8" t="str">
        <f>'Grondstof soorten'!A197</f>
        <v/>
      </c>
    </row>
    <row r="199">
      <c r="A199" s="8" t="str">
        <f>'Grondstof soorten'!A198</f>
        <v/>
      </c>
    </row>
    <row r="200">
      <c r="A200" s="8" t="str">
        <f>'Grondstof soorten'!A199</f>
        <v/>
      </c>
    </row>
    <row r="201">
      <c r="A201" s="8" t="str">
        <f>'Grondstof soorten'!A200</f>
        <v/>
      </c>
    </row>
    <row r="202">
      <c r="A202" s="8" t="str">
        <f>'Grondstof soorten'!A201</f>
        <v/>
      </c>
    </row>
    <row r="203">
      <c r="A203" s="8" t="str">
        <f>'Grondstof soorten'!A202</f>
        <v/>
      </c>
    </row>
    <row r="204">
      <c r="A204" s="8" t="str">
        <f>'Grondstof soorten'!A203</f>
        <v/>
      </c>
    </row>
    <row r="205">
      <c r="A205" s="8" t="str">
        <f>'Grondstof soorten'!A204</f>
        <v/>
      </c>
    </row>
    <row r="206">
      <c r="A206" s="8" t="str">
        <f>'Grondstof soorten'!A205</f>
        <v/>
      </c>
    </row>
    <row r="207">
      <c r="A207" s="8" t="str">
        <f>'Grondstof soorten'!A206</f>
        <v/>
      </c>
    </row>
    <row r="208">
      <c r="A208" s="8" t="str">
        <f>'Grondstof soorten'!A207</f>
        <v/>
      </c>
    </row>
    <row r="209">
      <c r="A209" s="8" t="str">
        <f>'Grondstof soorten'!A208</f>
        <v/>
      </c>
    </row>
    <row r="210">
      <c r="A210" s="8" t="str">
        <f>'Grondstof soorten'!A209</f>
        <v/>
      </c>
    </row>
    <row r="211">
      <c r="A211" s="8" t="str">
        <f>'Grondstof soorten'!A210</f>
        <v/>
      </c>
    </row>
    <row r="212">
      <c r="A212" s="8" t="str">
        <f>'Grondstof soorten'!A211</f>
        <v/>
      </c>
    </row>
    <row r="213">
      <c r="A213" s="8" t="str">
        <f>'Grondstof soorten'!A212</f>
        <v/>
      </c>
    </row>
    <row r="214">
      <c r="A214" s="8" t="str">
        <f>'Grondstof soorten'!A213</f>
        <v/>
      </c>
    </row>
  </sheetData>
  <mergeCells count="1">
    <mergeCell ref="A1:Q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31.13"/>
    <col customWidth="1" min="3" max="3" width="17.88"/>
    <col customWidth="1" min="5" max="5" width="23.5"/>
    <col customWidth="1" min="7" max="7" width="33.5"/>
  </cols>
  <sheetData>
    <row r="1">
      <c r="A1" s="2" t="s">
        <v>15</v>
      </c>
    </row>
    <row r="3">
      <c r="A3" s="10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1" t="s">
        <v>22</v>
      </c>
      <c r="H3" s="12"/>
    </row>
    <row r="4">
      <c r="A4" s="13" t="s">
        <v>23</v>
      </c>
      <c r="B4" s="13" t="s">
        <v>24</v>
      </c>
      <c r="C4" s="13" t="s">
        <v>25</v>
      </c>
      <c r="D4" s="14" t="s">
        <v>26</v>
      </c>
      <c r="E4" s="13" t="s">
        <v>27</v>
      </c>
      <c r="F4" s="13" t="s">
        <v>28</v>
      </c>
      <c r="G4" s="13" t="s">
        <v>29</v>
      </c>
    </row>
    <row r="5">
      <c r="A5" s="2" t="s">
        <v>30</v>
      </c>
      <c r="B5" s="2" t="s">
        <v>31</v>
      </c>
      <c r="D5" s="15" t="s">
        <v>32</v>
      </c>
      <c r="E5" s="2" t="s">
        <v>33</v>
      </c>
      <c r="F5" s="2" t="s">
        <v>34</v>
      </c>
      <c r="G5" s="16" t="s">
        <v>35</v>
      </c>
    </row>
    <row r="6">
      <c r="A6" s="2" t="s">
        <v>36</v>
      </c>
      <c r="B6" s="2" t="s">
        <v>37</v>
      </c>
      <c r="D6" s="15" t="s">
        <v>38</v>
      </c>
      <c r="E6" s="2" t="s">
        <v>39</v>
      </c>
      <c r="F6" s="2" t="s">
        <v>40</v>
      </c>
      <c r="G6" s="2" t="s">
        <v>41</v>
      </c>
    </row>
    <row r="7">
      <c r="A7" s="2" t="s">
        <v>42</v>
      </c>
      <c r="B7" s="2" t="s">
        <v>43</v>
      </c>
      <c r="C7" s="2" t="s">
        <v>44</v>
      </c>
      <c r="D7" s="15" t="s">
        <v>45</v>
      </c>
      <c r="E7" s="2" t="s">
        <v>46</v>
      </c>
      <c r="F7" s="2" t="s">
        <v>47</v>
      </c>
      <c r="G7" s="2" t="s">
        <v>48</v>
      </c>
    </row>
    <row r="8">
      <c r="A8" s="2" t="s">
        <v>49</v>
      </c>
      <c r="B8" s="2" t="s">
        <v>50</v>
      </c>
      <c r="D8" s="15" t="s">
        <v>51</v>
      </c>
      <c r="E8" s="2" t="s">
        <v>52</v>
      </c>
      <c r="F8" s="2" t="s">
        <v>53</v>
      </c>
      <c r="G8" s="2" t="s">
        <v>54</v>
      </c>
    </row>
    <row r="9">
      <c r="A9" s="2" t="s">
        <v>55</v>
      </c>
      <c r="B9" s="2" t="s">
        <v>56</v>
      </c>
      <c r="D9" s="14"/>
      <c r="F9" s="2" t="s">
        <v>57</v>
      </c>
    </row>
    <row r="10">
      <c r="A10" s="2" t="s">
        <v>1</v>
      </c>
      <c r="B10" s="2" t="s">
        <v>58</v>
      </c>
      <c r="C10" s="2" t="s">
        <v>59</v>
      </c>
      <c r="D10" s="14"/>
    </row>
    <row r="11">
      <c r="D11" s="14"/>
    </row>
    <row r="12">
      <c r="D12" s="14"/>
    </row>
    <row r="13">
      <c r="D13" s="14"/>
    </row>
    <row r="14">
      <c r="D14" s="14"/>
    </row>
    <row r="15">
      <c r="D15" s="14"/>
    </row>
    <row r="16">
      <c r="D16" s="14"/>
    </row>
    <row r="17">
      <c r="D17" s="14"/>
    </row>
    <row r="18">
      <c r="D18" s="14"/>
    </row>
    <row r="19">
      <c r="D19" s="14"/>
    </row>
    <row r="20">
      <c r="D20" s="14"/>
    </row>
    <row r="21">
      <c r="D21" s="14"/>
    </row>
    <row r="22">
      <c r="D22" s="14"/>
    </row>
    <row r="23">
      <c r="D23" s="14"/>
    </row>
    <row r="24">
      <c r="D24" s="14"/>
    </row>
    <row r="25">
      <c r="D25" s="14"/>
    </row>
    <row r="26">
      <c r="D26" s="14"/>
    </row>
    <row r="27">
      <c r="D27" s="14"/>
    </row>
    <row r="28">
      <c r="D28" s="14"/>
    </row>
    <row r="29">
      <c r="D29" s="14"/>
    </row>
    <row r="30">
      <c r="D30" s="14"/>
    </row>
    <row r="31">
      <c r="D31" s="14"/>
    </row>
    <row r="32">
      <c r="D32" s="14"/>
    </row>
    <row r="33">
      <c r="D33" s="14"/>
    </row>
    <row r="34">
      <c r="D34" s="14"/>
    </row>
    <row r="35">
      <c r="D35" s="14"/>
    </row>
    <row r="36">
      <c r="D36" s="14"/>
    </row>
    <row r="37">
      <c r="D37" s="14"/>
    </row>
    <row r="38">
      <c r="D38" s="14"/>
    </row>
    <row r="39">
      <c r="D39" s="14"/>
    </row>
    <row r="40">
      <c r="D40" s="14"/>
    </row>
    <row r="41">
      <c r="D41" s="14"/>
    </row>
    <row r="42">
      <c r="D42" s="14"/>
    </row>
    <row r="43">
      <c r="D43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</cols>
  <sheetData>
    <row r="1">
      <c r="A1" s="1" t="s">
        <v>0</v>
      </c>
    </row>
    <row r="3">
      <c r="A3" s="2" t="s">
        <v>1</v>
      </c>
      <c r="B3" s="17" t="s">
        <v>2</v>
      </c>
      <c r="C3" s="18"/>
      <c r="D3" s="18"/>
    </row>
    <row r="4">
      <c r="A4" s="2" t="s">
        <v>3</v>
      </c>
      <c r="B4" s="18"/>
      <c r="C4" s="18"/>
      <c r="D4" s="18"/>
    </row>
    <row r="5">
      <c r="B5" s="18"/>
      <c r="C5" s="18"/>
      <c r="D5" s="18"/>
    </row>
    <row r="6">
      <c r="A6" s="3" t="s">
        <v>60</v>
      </c>
      <c r="B6" s="19" t="s">
        <v>61</v>
      </c>
      <c r="C6" s="19" t="s">
        <v>62</v>
      </c>
      <c r="D6" s="19" t="s">
        <v>63</v>
      </c>
    </row>
    <row r="7">
      <c r="A7" s="2" t="s">
        <v>64</v>
      </c>
      <c r="B7" s="18">
        <f>SUMIF(Granen!P$6:P$2000,A7,Granen!T$6:T$2000)+SUMIF(Gist!P$6:P$2000,A7,Gist!T$6:T$2000)+SUMIF(Hop!P$6:P$2000,A7,Hop!T$6:T$2000)+SUMIF(Toevoegingen!P$6:P$2000,A7,Toevoegingen!T$6:T$2000)</f>
        <v>96.43625</v>
      </c>
      <c r="C7" s="18">
        <f>SUMIF(Verpakkingen!P$6:P$2000,A7,Verpakkingen!U$6:U$2000)</f>
        <v>235.3017078</v>
      </c>
      <c r="D7" s="18">
        <f t="shared" ref="D7:D100" si="1">sum(B7,C7)</f>
        <v>331.7379578</v>
      </c>
    </row>
    <row r="8">
      <c r="A8" s="2" t="s">
        <v>65</v>
      </c>
      <c r="B8" s="18">
        <f>SUMIF(Granen!P$6:P$2000,A8,Granen!T$6:T$2000)+SUMIF(Gist!P$6:P$2000,A8,Gist!T$6:T$2000)+SUMIF(Hop!P$6:P$2000,A8,Hop!T$6:T$2000)+SUMIF(Toevoegingen!P$6:P$2000,A8,Toevoegingen!T$6:T$2000)</f>
        <v>62.1448</v>
      </c>
      <c r="C8" s="18">
        <f>SUMIF(Verpakkingen!P$6:P$2000,A8,Verpakkingen!U$6:U$2000)</f>
        <v>84.83736</v>
      </c>
      <c r="D8" s="18">
        <f t="shared" si="1"/>
        <v>146.98216</v>
      </c>
    </row>
    <row r="9">
      <c r="A9" s="2" t="s">
        <v>66</v>
      </c>
      <c r="B9" s="18">
        <f>SUMIF(Granen!P$6:P$2000,A9,Granen!T$6:T$2000)+SUMIF(Gist!P$6:P$2000,A9,Gist!T$6:T$2000)+SUMIF(Hop!P$6:P$2000,A9,Hop!T$6:T$2000)+SUMIF(Toevoegingen!P$6:P$2000,A9,Toevoegingen!T$6:T$2000)</f>
        <v>217.0469333</v>
      </c>
      <c r="C9" s="18">
        <f>SUMIF(Verpakkingen!P$6:P$2000,A9,Verpakkingen!U$6:U$2000)</f>
        <v>238.8131667</v>
      </c>
      <c r="D9" s="18">
        <f t="shared" si="1"/>
        <v>455.8601</v>
      </c>
    </row>
    <row r="10">
      <c r="A10" s="2" t="s">
        <v>67</v>
      </c>
      <c r="B10" s="18">
        <f>SUMIF(Granen!P$6:P$2000,A10,Granen!T$6:T$2000)+SUMIF(Gist!P$6:P$2000,A10,Gist!T$6:T$2000)+SUMIF(Hop!P$6:P$2000,A10,Hop!T$6:T$2000)+SUMIF(Toevoegingen!P$6:P$2000,A10,Toevoegingen!T$6:T$2000)</f>
        <v>241.38205</v>
      </c>
      <c r="C10" s="18">
        <f>SUMIF(Verpakkingen!P$6:P$2000,A10,Verpakkingen!U$6:U$2000)</f>
        <v>265.2544101</v>
      </c>
      <c r="D10" s="18">
        <f t="shared" si="1"/>
        <v>506.6364601</v>
      </c>
    </row>
    <row r="11">
      <c r="A11" s="2" t="s">
        <v>68</v>
      </c>
      <c r="B11" s="18">
        <f>SUMIF(Granen!P$6:P$2000,A11,Granen!T$6:T$2000)+SUMIF(Gist!P$6:P$2000,A11,Gist!T$6:T$2000)+SUMIF(Hop!P$6:P$2000,A11,Hop!T$6:T$2000)+SUMIF(Toevoegingen!P$6:P$2000,A11,Toevoegingen!T$6:T$2000)</f>
        <v>182.785</v>
      </c>
      <c r="C11" s="18">
        <f>SUMIF(Verpakkingen!P$6:P$2000,A11,Verpakkingen!U$6:U$2000)</f>
        <v>232.1164631</v>
      </c>
      <c r="D11" s="18">
        <f t="shared" si="1"/>
        <v>414.9014631</v>
      </c>
    </row>
    <row r="12">
      <c r="A12" s="2" t="s">
        <v>69</v>
      </c>
      <c r="B12" s="18">
        <f>SUMIF(Granen!P$6:P$2000,A12,Granen!T$6:T$2000)+SUMIF(Gist!P$6:P$2000,A12,Gist!T$6:T$2000)+SUMIF(Hop!P$6:P$2000,A12,Hop!T$6:T$2000)+SUMIF(Toevoegingen!P$6:P$2000,A12,Toevoegingen!T$6:T$2000)</f>
        <v>97.7158</v>
      </c>
      <c r="C12" s="18">
        <f>SUMIF(Verpakkingen!P$6:P$2000,A12,Verpakkingen!U$6:U$2000)</f>
        <v>0</v>
      </c>
      <c r="D12" s="18">
        <f t="shared" si="1"/>
        <v>97.7158</v>
      </c>
    </row>
    <row r="13">
      <c r="A13" s="2" t="s">
        <v>70</v>
      </c>
      <c r="B13" s="18">
        <f>SUMIF(Granen!P$6:P$2000,A13,Granen!T$6:T$2000)+SUMIF(Gist!P$6:P$2000,A13,Gist!T$6:T$2000)+SUMIF(Hop!P$6:P$2000,A13,Hop!T$6:T$2000)+SUMIF(Toevoegingen!P$6:P$2000,A13,Toevoegingen!T$6:T$2000)</f>
        <v>72.558</v>
      </c>
      <c r="C13" s="18">
        <f>SUMIF(Verpakkingen!P$6:P$2000,A13,Verpakkingen!U$6:U$2000)</f>
        <v>191.807791</v>
      </c>
      <c r="D13" s="18">
        <f t="shared" si="1"/>
        <v>264.365791</v>
      </c>
    </row>
    <row r="14">
      <c r="A14" s="2" t="s">
        <v>71</v>
      </c>
      <c r="B14" s="18">
        <f>SUMIF(Granen!P$6:P$2000,A14,Granen!T$6:T$2000)+SUMIF(Gist!P$6:P$2000,A14,Gist!T$6:T$2000)+SUMIF(Hop!P$6:P$2000,A14,Hop!T$6:T$2000)+SUMIF(Toevoegingen!P$6:P$2000,A14,Toevoegingen!T$6:T$2000)</f>
        <v>276.052</v>
      </c>
      <c r="C14" s="18">
        <f>SUMIF(Verpakkingen!P$6:P$2000,A14,Verpakkingen!U$6:U$2000)</f>
        <v>219.5410684</v>
      </c>
      <c r="D14" s="18">
        <f t="shared" si="1"/>
        <v>495.5930684</v>
      </c>
    </row>
    <row r="15">
      <c r="A15" s="2" t="s">
        <v>72</v>
      </c>
      <c r="B15" s="18">
        <f>SUMIF(Granen!P$6:P$2000,A15,Granen!T$6:T$2000)+SUMIF(Gist!P$6:P$2000,A15,Gist!T$6:T$2000)+SUMIF(Hop!P$6:P$2000,A15,Hop!T$6:T$2000)+SUMIF(Toevoegingen!P$6:P$2000,A15,Toevoegingen!T$6:T$2000)</f>
        <v>72.57025</v>
      </c>
      <c r="C15" s="18">
        <f>SUMIF(Verpakkingen!P$6:P$2000,A15,Verpakkingen!U$6:U$2000)</f>
        <v>228.085</v>
      </c>
      <c r="D15" s="18">
        <f t="shared" si="1"/>
        <v>300.65525</v>
      </c>
    </row>
    <row r="16">
      <c r="A16" s="2" t="s">
        <v>73</v>
      </c>
      <c r="B16" s="18">
        <f>SUMIF(Granen!P$6:P$2000,A16,Granen!T$6:T$2000)+SUMIF(Gist!P$6:P$2000,A16,Gist!T$6:T$2000)+SUMIF(Hop!P$6:P$2000,A16,Hop!T$6:T$2000)+SUMIF(Toevoegingen!P$6:P$2000,A16,Toevoegingen!T$6:T$2000)</f>
        <v>0</v>
      </c>
      <c r="C16" s="18">
        <f>SUMIF(Verpakkingen!P$6:P$2000,A16,Verpakkingen!U$6:U$2000)</f>
        <v>188.4655377</v>
      </c>
      <c r="D16" s="18">
        <f t="shared" si="1"/>
        <v>188.4655377</v>
      </c>
    </row>
    <row r="17">
      <c r="A17" s="2" t="s">
        <v>74</v>
      </c>
      <c r="B17" s="18">
        <f>SUMIF(Granen!P$6:P$2000,A17,Granen!T$6:T$2000)+SUMIF(Gist!P$6:P$2000,A17,Gist!T$6:T$2000)+SUMIF(Hop!P$6:P$2000,A17,Hop!T$6:T$2000)+SUMIF(Toevoegingen!P$6:P$2000,A17,Toevoegingen!T$6:T$2000)</f>
        <v>169.6670493</v>
      </c>
      <c r="C17" s="18">
        <f>SUMIF(Verpakkingen!P$6:P$2000,A17,Verpakkingen!U$6:U$2000)</f>
        <v>159.7638194</v>
      </c>
      <c r="D17" s="18">
        <f t="shared" si="1"/>
        <v>329.4308687</v>
      </c>
    </row>
    <row r="18">
      <c r="A18" s="2" t="s">
        <v>75</v>
      </c>
      <c r="B18" s="18">
        <f>SUMIF(Granen!P$6:P$2000,A18,Granen!T$6:T$2000)+SUMIF(Gist!P$6:P$2000,A18,Gist!T$6:T$2000)+SUMIF(Hop!P$6:P$2000,A18,Hop!T$6:T$2000)+SUMIF(Toevoegingen!P$6:P$2000,A18,Toevoegingen!T$6:T$2000)</f>
        <v>127.894</v>
      </c>
      <c r="C18" s="18">
        <f>SUMIF(Verpakkingen!P$6:P$2000,A18,Verpakkingen!U$6:U$2000)</f>
        <v>192.225877</v>
      </c>
      <c r="D18" s="18">
        <f t="shared" si="1"/>
        <v>320.119877</v>
      </c>
    </row>
    <row r="19">
      <c r="A19" s="2" t="s">
        <v>76</v>
      </c>
      <c r="B19" s="18">
        <f>SUMIF(Granen!P$6:P$2000,A19,Granen!T$6:T$2000)+SUMIF(Gist!P$6:P$2000,A19,Gist!T$6:T$2000)+SUMIF(Hop!P$6:P$2000,A19,Hop!T$6:T$2000)+SUMIF(Toevoegingen!P$6:P$2000,A19,Toevoegingen!T$6:T$2000)</f>
        <v>153.70475</v>
      </c>
      <c r="C19" s="18">
        <f>SUMIF(Verpakkingen!P$6:P$2000,A19,Verpakkingen!U$6:U$2000)</f>
        <v>205.3600871</v>
      </c>
      <c r="D19" s="18">
        <f t="shared" si="1"/>
        <v>359.0648371</v>
      </c>
    </row>
    <row r="20">
      <c r="A20" s="2" t="s">
        <v>77</v>
      </c>
      <c r="B20" s="18">
        <f>SUMIF(Granen!P$6:P$2000,A20,Granen!T$6:T$2000)+SUMIF(Gist!P$6:P$2000,A20,Gist!T$6:T$2000)+SUMIF(Hop!P$6:P$2000,A20,Hop!T$6:T$2000)+SUMIF(Toevoegingen!P$6:P$2000,A20,Toevoegingen!T$6:T$2000)</f>
        <v>0</v>
      </c>
      <c r="C20" s="18">
        <f>SUMIF(Verpakkingen!P$6:P$2000,A20,Verpakkingen!U$6:U$2000)</f>
        <v>0</v>
      </c>
      <c r="D20" s="18">
        <f t="shared" si="1"/>
        <v>0</v>
      </c>
    </row>
    <row r="21">
      <c r="A21" s="2" t="s">
        <v>78</v>
      </c>
      <c r="B21" s="18">
        <f>SUMIF(Granen!P$6:P$2000,A21,Granen!T$6:T$2000)+SUMIF(Gist!P$6:P$2000,A21,Gist!T$6:T$2000)+SUMIF(Hop!P$6:P$2000,A21,Hop!T$6:T$2000)+SUMIF(Toevoegingen!P$6:P$2000,A21,Toevoegingen!T$6:T$2000)</f>
        <v>188.25225</v>
      </c>
      <c r="C21" s="18">
        <f>SUMIF(Verpakkingen!P$6:P$2000,A21,Verpakkingen!U$6:U$2000)</f>
        <v>204.4339909</v>
      </c>
      <c r="D21" s="18">
        <f t="shared" si="1"/>
        <v>392.6862409</v>
      </c>
    </row>
    <row r="22">
      <c r="A22" s="2" t="s">
        <v>79</v>
      </c>
      <c r="B22" s="18">
        <f>SUMIF(Granen!P$6:P$2000,A22,Granen!T$6:T$2000)+SUMIF(Gist!P$6:P$2000,A22,Gist!T$6:T$2000)+SUMIF(Hop!P$6:P$2000,A22,Hop!T$6:T$2000)+SUMIF(Toevoegingen!P$6:P$2000,A22,Toevoegingen!T$6:T$2000)</f>
        <v>235.50225</v>
      </c>
      <c r="C22" s="18">
        <f>SUMIF(Verpakkingen!P$6:P$2000,A22,Verpakkingen!U$6:U$2000)</f>
        <v>165.3313806</v>
      </c>
      <c r="D22" s="18">
        <f t="shared" si="1"/>
        <v>400.8336306</v>
      </c>
    </row>
    <row r="23">
      <c r="A23" s="2" t="s">
        <v>80</v>
      </c>
      <c r="B23" s="18">
        <f>SUMIF(Granen!P$6:P$2000,A23,Granen!T$6:T$2000)+SUMIF(Gist!P$6:P$2000,A23,Gist!T$6:T$2000)+SUMIF(Hop!P$6:P$2000,A23,Hop!T$6:T$2000)+SUMIF(Toevoegingen!P$6:P$2000,A23,Toevoegingen!T$6:T$2000)</f>
        <v>157.6896567</v>
      </c>
      <c r="C23" s="18">
        <f>SUMIF(Verpakkingen!P$6:P$2000,A23,Verpakkingen!U$6:U$2000)</f>
        <v>185.7979044</v>
      </c>
      <c r="D23" s="18">
        <f t="shared" si="1"/>
        <v>343.4875611</v>
      </c>
    </row>
    <row r="24">
      <c r="A24" s="2" t="s">
        <v>81</v>
      </c>
      <c r="B24" s="18">
        <f>SUMIF(Granen!P$6:P$2000,A24,Granen!T$6:T$2000)+SUMIF(Gist!P$6:P$2000,A24,Gist!T$6:T$2000)+SUMIF(Hop!P$6:P$2000,A24,Hop!T$6:T$2000)+SUMIF(Toevoegingen!P$6:P$2000,A24,Toevoegingen!T$6:T$2000)</f>
        <v>415.8576667</v>
      </c>
      <c r="C24" s="18">
        <f>SUMIF(Verpakkingen!P$6:P$2000,A24,Verpakkingen!U$6:U$2000)</f>
        <v>0</v>
      </c>
      <c r="D24" s="18">
        <f t="shared" si="1"/>
        <v>415.8576667</v>
      </c>
    </row>
    <row r="25">
      <c r="A25" s="2" t="s">
        <v>82</v>
      </c>
      <c r="B25" s="18">
        <f>SUMIF(Granen!P$6:P$2000,A25,Granen!T$6:T$2000)+SUMIF(Gist!P$6:P$2000,A25,Gist!T$6:T$2000)+SUMIF(Hop!P$6:P$2000,A25,Hop!T$6:T$2000)+SUMIF(Toevoegingen!P$6:P$2000,A25,Toevoegingen!T$6:T$2000)</f>
        <v>115.238</v>
      </c>
      <c r="C25" s="18">
        <f>SUMIF(Verpakkingen!P$6:P$2000,A25,Verpakkingen!U$6:U$2000)</f>
        <v>194.6824018</v>
      </c>
      <c r="D25" s="18">
        <f t="shared" si="1"/>
        <v>309.9204018</v>
      </c>
    </row>
    <row r="26">
      <c r="A26" s="2" t="s">
        <v>83</v>
      </c>
      <c r="B26" s="18">
        <f>SUMIF(Granen!P$6:P$2000,A26,Granen!T$6:T$2000)+SUMIF(Gist!P$6:P$2000,A26,Gist!T$6:T$2000)+SUMIF(Hop!P$6:P$2000,A26,Hop!T$6:T$2000)+SUMIF(Toevoegingen!P$6:P$2000,A26,Toevoegingen!T$6:T$2000)</f>
        <v>131.47725</v>
      </c>
      <c r="C26" s="18">
        <f>SUMIF(Verpakkingen!P$6:P$2000,A26,Verpakkingen!U$6:U$2000)</f>
        <v>187.5128982</v>
      </c>
      <c r="D26" s="18">
        <f t="shared" si="1"/>
        <v>318.9901482</v>
      </c>
    </row>
    <row r="27">
      <c r="A27" s="2" t="s">
        <v>84</v>
      </c>
      <c r="B27" s="18">
        <f>SUMIF(Granen!P$6:P$2000,A27,Granen!T$6:T$2000)+SUMIF(Gist!P$6:P$2000,A27,Gist!T$6:T$2000)+SUMIF(Hop!P$6:P$2000,A27,Hop!T$6:T$2000)+SUMIF(Toevoegingen!P$6:P$2000,A27,Toevoegingen!T$6:T$2000)</f>
        <v>178.7884043</v>
      </c>
      <c r="C27" s="18">
        <f>SUMIF(Verpakkingen!P$6:P$2000,A27,Verpakkingen!U$6:U$2000)</f>
        <v>195.8313532</v>
      </c>
      <c r="D27" s="18">
        <f t="shared" si="1"/>
        <v>374.6197575</v>
      </c>
    </row>
    <row r="28">
      <c r="A28" s="2" t="s">
        <v>85</v>
      </c>
      <c r="B28" s="18">
        <f>SUMIF(Granen!P$6:P$2000,A28,Granen!T$6:T$2000)+SUMIF(Gist!P$6:P$2000,A28,Gist!T$6:T$2000)+SUMIF(Hop!P$6:P$2000,A28,Hop!T$6:T$2000)+SUMIF(Toevoegingen!P$6:P$2000,A28,Toevoegingen!T$6:T$2000)</f>
        <v>146.8476667</v>
      </c>
      <c r="C28" s="18">
        <f>SUMIF(Verpakkingen!P$6:P$2000,A28,Verpakkingen!U$6:U$2000)</f>
        <v>194.7170644</v>
      </c>
      <c r="D28" s="18">
        <f t="shared" si="1"/>
        <v>341.5647311</v>
      </c>
    </row>
    <row r="29">
      <c r="A29" s="2" t="s">
        <v>86</v>
      </c>
      <c r="B29" s="18">
        <f>SUMIF(Granen!P$6:P$2000,A29,Granen!T$6:T$2000)+SUMIF(Gist!P$6:P$2000,A29,Gist!T$6:T$2000)+SUMIF(Hop!P$6:P$2000,A29,Hop!T$6:T$2000)+SUMIF(Toevoegingen!P$6:P$2000,A29,Toevoegingen!T$6:T$2000)</f>
        <v>181.5523367</v>
      </c>
      <c r="C29" s="18">
        <f>SUMIF(Verpakkingen!P$6:P$2000,A29,Verpakkingen!U$6:U$2000)</f>
        <v>231.4130125</v>
      </c>
      <c r="D29" s="18">
        <f t="shared" si="1"/>
        <v>412.9653491</v>
      </c>
    </row>
    <row r="30">
      <c r="A30" s="2" t="s">
        <v>87</v>
      </c>
      <c r="B30" s="18">
        <f>SUMIF(Granen!P$6:P$2000,A30,Granen!T$6:T$2000)+SUMIF(Gist!P$6:P$2000,A30,Gist!T$6:T$2000)+SUMIF(Hop!P$6:P$2000,A30,Hop!T$6:T$2000)+SUMIF(Toevoegingen!P$6:P$2000,A30,Toevoegingen!T$6:T$2000)</f>
        <v>0</v>
      </c>
      <c r="C30" s="18">
        <f>SUMIF(Verpakkingen!P$6:P$2000,A30,Verpakkingen!U$6:U$2000)</f>
        <v>0</v>
      </c>
      <c r="D30" s="18">
        <f t="shared" si="1"/>
        <v>0</v>
      </c>
    </row>
    <row r="31">
      <c r="A31" s="2" t="s">
        <v>88</v>
      </c>
      <c r="B31" s="18">
        <f>SUMIF(Granen!P$6:P$2000,A31,Granen!T$6:T$2000)+SUMIF(Gist!P$6:P$2000,A31,Gist!T$6:T$2000)+SUMIF(Hop!P$6:P$2000,A31,Hop!T$6:T$2000)+SUMIF(Toevoegingen!P$6:P$2000,A31,Toevoegingen!T$6:T$2000)</f>
        <v>243.6795</v>
      </c>
      <c r="C31" s="18">
        <f>SUMIF(Verpakkingen!P$6:P$2000,A31,Verpakkingen!U$6:U$2000)</f>
        <v>359.2200312</v>
      </c>
      <c r="D31" s="18">
        <f t="shared" si="1"/>
        <v>602.8995312</v>
      </c>
    </row>
    <row r="32">
      <c r="A32" s="2" t="s">
        <v>89</v>
      </c>
      <c r="B32" s="18">
        <f>SUMIF(Granen!P$6:P$2000,A32,Granen!T$6:T$2000)+SUMIF(Gist!P$6:P$2000,A32,Gist!T$6:T$2000)+SUMIF(Hop!P$6:P$2000,A32,Hop!T$6:T$2000)+SUMIF(Toevoegingen!P$6:P$2000,A32,Toevoegingen!T$6:T$2000)</f>
        <v>234.7725</v>
      </c>
      <c r="C32" s="18">
        <f>SUMIF(Verpakkingen!P$6:P$2000,A32,Verpakkingen!U$6:U$2000)</f>
        <v>155.5238227</v>
      </c>
      <c r="D32" s="18">
        <f t="shared" si="1"/>
        <v>390.2963227</v>
      </c>
    </row>
    <row r="33">
      <c r="A33" s="2" t="s">
        <v>90</v>
      </c>
      <c r="B33" s="18">
        <f>SUMIF(Granen!P$6:P$2000,A33,Granen!T$6:T$2000)+SUMIF(Gist!P$6:P$2000,A33,Gist!T$6:T$2000)+SUMIF(Hop!P$6:P$2000,A33,Hop!T$6:T$2000)+SUMIF(Toevoegingen!P$6:P$2000,A33,Toevoegingen!T$6:T$2000)</f>
        <v>168.7295</v>
      </c>
      <c r="C33" s="18">
        <f>SUMIF(Verpakkingen!P$6:P$2000,A33,Verpakkingen!U$6:U$2000)</f>
        <v>200.6367175</v>
      </c>
      <c r="D33" s="18">
        <f t="shared" si="1"/>
        <v>369.3662175</v>
      </c>
    </row>
    <row r="34">
      <c r="A34" s="2" t="s">
        <v>91</v>
      </c>
      <c r="B34" s="18">
        <f>SUMIF(Granen!P$6:P$2000,A34,Granen!T$6:T$2000)+SUMIF(Gist!P$6:P$2000,A34,Gist!T$6:T$2000)+SUMIF(Hop!P$6:P$2000,A34,Hop!T$6:T$2000)+SUMIF(Toevoegingen!P$6:P$2000,A34,Toevoegingen!T$6:T$2000)</f>
        <v>234.96</v>
      </c>
      <c r="C34" s="18">
        <f>SUMIF(Verpakkingen!P$6:P$2000,A34,Verpakkingen!U$6:U$2000)</f>
        <v>173.9962604</v>
      </c>
      <c r="D34" s="18">
        <f t="shared" si="1"/>
        <v>408.9562604</v>
      </c>
    </row>
    <row r="35">
      <c r="A35" s="2" t="s">
        <v>92</v>
      </c>
      <c r="B35" s="18">
        <f>SUMIF(Granen!P$6:P$2000,A35,Granen!T$6:T$2000)+SUMIF(Gist!P$6:P$2000,A35,Gist!T$6:T$2000)+SUMIF(Hop!P$6:P$2000,A35,Hop!T$6:T$2000)+SUMIF(Toevoegingen!P$6:P$2000,A35,Toevoegingen!T$6:T$2000)</f>
        <v>297.30962</v>
      </c>
      <c r="C35" s="18">
        <f>SUMIF(Verpakkingen!P$6:P$2000,A35,Verpakkingen!U$6:U$2000)</f>
        <v>219.9372645</v>
      </c>
      <c r="D35" s="18">
        <f t="shared" si="1"/>
        <v>517.2468845</v>
      </c>
    </row>
    <row r="36">
      <c r="A36" s="2" t="s">
        <v>93</v>
      </c>
      <c r="B36" s="18">
        <f>SUMIF(Granen!P$6:P$2000,A36,Granen!T$6:T$2000)+SUMIF(Gist!P$6:P$2000,A36,Gist!T$6:T$2000)+SUMIF(Hop!P$6:P$2000,A36,Hop!T$6:T$2000)+SUMIF(Toevoegingen!P$6:P$2000,A36,Toevoegingen!T$6:T$2000)</f>
        <v>184.5052</v>
      </c>
      <c r="C36" s="18">
        <f>SUMIF(Verpakkingen!P$6:P$2000,A36,Verpakkingen!U$6:U$2000)</f>
        <v>203.226205</v>
      </c>
      <c r="D36" s="18">
        <f t="shared" si="1"/>
        <v>387.731405</v>
      </c>
    </row>
    <row r="37">
      <c r="A37" s="2" t="s">
        <v>94</v>
      </c>
      <c r="B37" s="18">
        <f>SUMIF(Granen!P$6:P$2000,A37,Granen!T$6:T$2000)+SUMIF(Gist!P$6:P$2000,A37,Gist!T$6:T$2000)+SUMIF(Hop!P$6:P$2000,A37,Hop!T$6:T$2000)+SUMIF(Toevoegingen!P$6:P$2000,A37,Toevoegingen!T$6:T$2000)</f>
        <v>83.8447</v>
      </c>
      <c r="C37" s="18">
        <f>SUMIF(Verpakkingen!P$6:P$2000,A37,Verpakkingen!U$6:U$2000)</f>
        <v>209.2927701</v>
      </c>
      <c r="D37" s="18">
        <f t="shared" si="1"/>
        <v>293.1374701</v>
      </c>
    </row>
    <row r="38">
      <c r="A38" s="2" t="s">
        <v>95</v>
      </c>
      <c r="B38" s="18">
        <f>SUMIF(Granen!P$6:P$2000,A38,Granen!T$6:T$2000)+SUMIF(Gist!P$6:P$2000,A38,Gist!T$6:T$2000)+SUMIF(Hop!P$6:P$2000,A38,Hop!T$6:T$2000)+SUMIF(Toevoegingen!P$6:P$2000,A38,Toevoegingen!T$6:T$2000)</f>
        <v>156.86497</v>
      </c>
      <c r="C38" s="18">
        <f>SUMIF(Verpakkingen!P$6:P$2000,A38,Verpakkingen!U$6:U$2000)</f>
        <v>230.9707341</v>
      </c>
      <c r="D38" s="18">
        <f t="shared" si="1"/>
        <v>387.8357041</v>
      </c>
    </row>
    <row r="39">
      <c r="A39" s="2" t="s">
        <v>96</v>
      </c>
      <c r="B39" s="18">
        <f>SUMIF(Granen!P$6:P$2000,A39,Granen!T$6:T$2000)+SUMIF(Gist!P$6:P$2000,A39,Gist!T$6:T$2000)+SUMIF(Hop!P$6:P$2000,A39,Hop!T$6:T$2000)+SUMIF(Toevoegingen!P$6:P$2000,A39,Toevoegingen!T$6:T$2000)</f>
        <v>461.83</v>
      </c>
      <c r="C39" s="18">
        <f>SUMIF(Verpakkingen!P$6:P$2000,A39,Verpakkingen!U$6:U$2000)</f>
        <v>301.7084044</v>
      </c>
      <c r="D39" s="18">
        <f t="shared" si="1"/>
        <v>763.5384044</v>
      </c>
    </row>
    <row r="40">
      <c r="A40" s="2" t="s">
        <v>97</v>
      </c>
      <c r="B40" s="18">
        <f>SUMIF(Granen!P$6:P$2000,A40,Granen!T$6:T$2000)+SUMIF(Gist!P$6:P$2000,A40,Gist!T$6:T$2000)+SUMIF(Hop!P$6:P$2000,A40,Hop!T$6:T$2000)+SUMIF(Toevoegingen!P$6:P$2000,A40,Toevoegingen!T$6:T$2000)</f>
        <v>143.37</v>
      </c>
      <c r="C40" s="18">
        <f>SUMIF(Verpakkingen!P$6:P$2000,A40,Verpakkingen!U$6:U$2000)</f>
        <v>178.4303878</v>
      </c>
      <c r="D40" s="18">
        <f t="shared" si="1"/>
        <v>321.8003878</v>
      </c>
    </row>
    <row r="41">
      <c r="A41" s="2" t="s">
        <v>98</v>
      </c>
      <c r="B41" s="18">
        <f>SUMIF(Granen!P$6:P$2000,A41,Granen!T$6:T$2000)+SUMIF(Gist!P$6:P$2000,A41,Gist!T$6:T$2000)+SUMIF(Hop!P$6:P$2000,A41,Hop!T$6:T$2000)+SUMIF(Toevoegingen!P$6:P$2000,A41,Toevoegingen!T$6:T$2000)</f>
        <v>132.32297</v>
      </c>
      <c r="C41" s="18">
        <f>SUMIF(Verpakkingen!P$6:P$2000,A41,Verpakkingen!U$6:U$2000)</f>
        <v>210.0564224</v>
      </c>
      <c r="D41" s="18">
        <f t="shared" si="1"/>
        <v>342.3793924</v>
      </c>
    </row>
    <row r="42">
      <c r="A42" s="2" t="s">
        <v>99</v>
      </c>
      <c r="B42" s="18">
        <f>SUMIF(Granen!P$6:P$2000,A42,Granen!T$6:T$2000)+SUMIF(Gist!P$6:P$2000,A42,Gist!T$6:T$2000)+SUMIF(Hop!P$6:P$2000,A42,Hop!T$6:T$2000)+SUMIF(Toevoegingen!P$6:P$2000,A42,Toevoegingen!T$6:T$2000)</f>
        <v>0</v>
      </c>
      <c r="C42" s="18">
        <f>SUMIF(Verpakkingen!P$6:P$2000,A42,Verpakkingen!U$6:U$2000)</f>
        <v>0</v>
      </c>
      <c r="D42" s="18">
        <f t="shared" si="1"/>
        <v>0</v>
      </c>
    </row>
    <row r="43">
      <c r="A43" s="2" t="s">
        <v>100</v>
      </c>
      <c r="B43" s="18">
        <f>SUMIF(Granen!P$6:P$2000,A43,Granen!T$6:T$2000)+SUMIF(Gist!P$6:P$2000,A43,Gist!T$6:T$2000)+SUMIF(Hop!P$6:P$2000,A43,Hop!T$6:T$2000)+SUMIF(Toevoegingen!P$6:P$2000,A43,Toevoegingen!T$6:T$2000)</f>
        <v>0</v>
      </c>
      <c r="C43" s="18">
        <f>SUMIF(Verpakkingen!P$6:P$2000,A43,Verpakkingen!U$6:U$2000)</f>
        <v>0</v>
      </c>
      <c r="D43" s="18">
        <f t="shared" si="1"/>
        <v>0</v>
      </c>
    </row>
    <row r="44">
      <c r="A44" s="2" t="s">
        <v>101</v>
      </c>
      <c r="B44" s="18">
        <f>SUMIF(Granen!P$6:P$2000,A44,Granen!T$6:T$2000)+SUMIF(Gist!P$6:P$2000,A44,Gist!T$6:T$2000)+SUMIF(Hop!P$6:P$2000,A44,Hop!T$6:T$2000)+SUMIF(Toevoegingen!P$6:P$2000,A44,Toevoegingen!T$6:T$2000)</f>
        <v>0</v>
      </c>
      <c r="C44" s="18">
        <f>SUMIF(Verpakkingen!P$6:P$2000,A44,Verpakkingen!U$6:U$2000)</f>
        <v>0</v>
      </c>
      <c r="D44" s="18">
        <f t="shared" si="1"/>
        <v>0</v>
      </c>
    </row>
    <row r="45">
      <c r="B45" s="18">
        <f>SUMIF(Granen!P$6:P$2000,A45,Granen!T$6:T$2000)+SUMIF(Gist!P$6:P$2000,A45,Gist!T$6:T$2000)+SUMIF(Hop!P$6:P$2000,A45,Hop!T$6:T$2000)+SUMIF(Toevoegingen!P$6:P$2000,A45,Toevoegingen!T$6:T$2000)</f>
        <v>0</v>
      </c>
      <c r="C45" s="18">
        <f>SUMIF(Verpakkingen!P$6:P$2000,A45,Verpakkingen!U$6:U$2000)</f>
        <v>0</v>
      </c>
      <c r="D45" s="18">
        <f t="shared" si="1"/>
        <v>0</v>
      </c>
    </row>
    <row r="46">
      <c r="B46" s="18">
        <f>SUMIF(Granen!P$6:P$2000,A46,Granen!T$6:T$2000)+SUMIF(Gist!P$6:P$2000,A46,Gist!T$6:T$2000)+SUMIF(Hop!P$6:P$2000,A46,Hop!T$6:T$2000)+SUMIF(Toevoegingen!P$6:P$2000,A46,Toevoegingen!T$6:T$2000)</f>
        <v>0</v>
      </c>
      <c r="C46" s="18">
        <f>SUMIF(Verpakkingen!P$6:P$2000,A46,Verpakkingen!U$6:U$2000)</f>
        <v>0</v>
      </c>
      <c r="D46" s="18">
        <f t="shared" si="1"/>
        <v>0</v>
      </c>
    </row>
    <row r="47">
      <c r="B47" s="18">
        <f>SUMIF(Granen!P$6:P$2000,A47,Granen!T$6:T$2000)+SUMIF(Gist!P$6:P$2000,A47,Gist!T$6:T$2000)+SUMIF(Hop!P$6:P$2000,A47,Hop!T$6:T$2000)+SUMIF(Toevoegingen!P$6:P$2000,A47,Toevoegingen!T$6:T$2000)</f>
        <v>0</v>
      </c>
      <c r="C47" s="18">
        <f>SUMIF(Verpakkingen!P$6:P$2000,A47,Verpakkingen!U$6:U$2000)</f>
        <v>0</v>
      </c>
      <c r="D47" s="18">
        <f t="shared" si="1"/>
        <v>0</v>
      </c>
    </row>
    <row r="48">
      <c r="B48" s="18">
        <f>SUMIF(Granen!P$6:P$2000,A48,Granen!T$6:T$2000)+SUMIF(Gist!P$6:P$2000,A48,Gist!T$6:T$2000)+SUMIF(Hop!P$6:P$2000,A48,Hop!T$6:T$2000)+SUMIF(Toevoegingen!P$6:P$2000,A48,Toevoegingen!T$6:T$2000)</f>
        <v>0</v>
      </c>
      <c r="C48" s="18">
        <f>SUMIF(Verpakkingen!P$6:P$2000,A48,Verpakkingen!U$6:U$2000)</f>
        <v>0</v>
      </c>
      <c r="D48" s="18">
        <f t="shared" si="1"/>
        <v>0</v>
      </c>
    </row>
    <row r="49">
      <c r="B49" s="18">
        <f>SUMIF(Granen!P$6:P$2000,A49,Granen!T$6:T$2000)+SUMIF(Gist!P$6:P$2000,A49,Gist!T$6:T$2000)+SUMIF(Hop!P$6:P$2000,A49,Hop!T$6:T$2000)+SUMIF(Toevoegingen!P$6:P$2000,A49,Toevoegingen!T$6:T$2000)</f>
        <v>0</v>
      </c>
      <c r="C49" s="18">
        <f>SUMIF(Verpakkingen!P$6:P$2000,A49,Verpakkingen!U$6:U$2000)</f>
        <v>0</v>
      </c>
      <c r="D49" s="18">
        <f t="shared" si="1"/>
        <v>0</v>
      </c>
    </row>
    <row r="50">
      <c r="B50" s="18">
        <f>SUMIF(Granen!P$6:P$2000,A50,Granen!T$6:T$2000)+SUMIF(Gist!P$6:P$2000,A50,Gist!T$6:T$2000)+SUMIF(Hop!P$6:P$2000,A50,Hop!T$6:T$2000)+SUMIF(Toevoegingen!P$6:P$2000,A50,Toevoegingen!T$6:T$2000)</f>
        <v>0</v>
      </c>
      <c r="C50" s="18">
        <f>SUMIF(Verpakkingen!P$6:P$2000,A50,Verpakkingen!U$6:U$2000)</f>
        <v>0</v>
      </c>
      <c r="D50" s="18">
        <f t="shared" si="1"/>
        <v>0</v>
      </c>
    </row>
    <row r="51">
      <c r="B51" s="18">
        <f>SUMIF(Granen!P$6:P$2000,A51,Granen!T$6:T$2000)+SUMIF(Gist!P$6:P$2000,A51,Gist!T$6:T$2000)+SUMIF(Hop!P$6:P$2000,A51,Hop!T$6:T$2000)+SUMIF(Toevoegingen!P$6:P$2000,A51,Toevoegingen!T$6:T$2000)</f>
        <v>0</v>
      </c>
      <c r="C51" s="18">
        <f>SUMIF(Verpakkingen!P$6:P$2000,A51,Verpakkingen!U$6:U$2000)</f>
        <v>0</v>
      </c>
      <c r="D51" s="18">
        <f t="shared" si="1"/>
        <v>0</v>
      </c>
    </row>
    <row r="52">
      <c r="B52" s="18">
        <f>SUMIF(Granen!P$6:P$2000,A52,Granen!T$6:T$2000)+SUMIF(Gist!P$6:P$2000,A52,Gist!T$6:T$2000)+SUMIF(Hop!P$6:P$2000,A52,Hop!T$6:T$2000)+SUMIF(Toevoegingen!P$6:P$2000,A52,Toevoegingen!T$6:T$2000)</f>
        <v>0</v>
      </c>
      <c r="C52" s="18">
        <f>SUMIF(Verpakkingen!P$6:P$2000,A52,Verpakkingen!U$6:U$2000)</f>
        <v>0</v>
      </c>
      <c r="D52" s="18">
        <f t="shared" si="1"/>
        <v>0</v>
      </c>
    </row>
    <row r="53">
      <c r="B53" s="18">
        <f>SUMIF(Granen!P$6:P$2000,A53,Granen!T$6:T$2000)+SUMIF(Gist!P$6:P$2000,A53,Gist!T$6:T$2000)+SUMIF(Hop!P$6:P$2000,A53,Hop!T$6:T$2000)+SUMIF(Toevoegingen!P$6:P$2000,A53,Toevoegingen!T$6:T$2000)</f>
        <v>0</v>
      </c>
      <c r="C53" s="18">
        <f>SUMIF(Verpakkingen!P$6:P$2000,A53,Verpakkingen!U$6:U$2000)</f>
        <v>0</v>
      </c>
      <c r="D53" s="18">
        <f t="shared" si="1"/>
        <v>0</v>
      </c>
    </row>
    <row r="54">
      <c r="B54" s="18">
        <f>SUMIF(Granen!P$6:P$2000,A54,Granen!T$6:T$2000)+SUMIF(Gist!P$6:P$2000,A54,Gist!T$6:T$2000)+SUMIF(Hop!P$6:P$2000,A54,Hop!T$6:T$2000)+SUMIF(Toevoegingen!P$6:P$2000,A54,Toevoegingen!T$6:T$2000)</f>
        <v>0</v>
      </c>
      <c r="C54" s="18">
        <f>SUMIF(Verpakkingen!P$6:P$2000,A54,Verpakkingen!U$6:U$2000)</f>
        <v>0</v>
      </c>
      <c r="D54" s="18">
        <f t="shared" si="1"/>
        <v>0</v>
      </c>
    </row>
    <row r="55">
      <c r="B55" s="18">
        <f>SUMIF(Granen!P$6:P$2000,A55,Granen!T$6:T$2000)+SUMIF(Gist!P$6:P$2000,A55,Gist!T$6:T$2000)+SUMIF(Hop!P$6:P$2000,A55,Hop!T$6:T$2000)+SUMIF(Toevoegingen!P$6:P$2000,A55,Toevoegingen!T$6:T$2000)</f>
        <v>0</v>
      </c>
      <c r="C55" s="18">
        <f>SUMIF(Verpakkingen!P$6:P$2000,A55,Verpakkingen!U$6:U$2000)</f>
        <v>0</v>
      </c>
      <c r="D55" s="18">
        <f t="shared" si="1"/>
        <v>0</v>
      </c>
    </row>
    <row r="56">
      <c r="B56" s="18">
        <f>SUMIF(Granen!P$6:P$2000,A56,Granen!T$6:T$2000)+SUMIF(Gist!P$6:P$2000,A56,Gist!T$6:T$2000)+SUMIF(Hop!P$6:P$2000,A56,Hop!T$6:T$2000)+SUMIF(Toevoegingen!P$6:P$2000,A56,Toevoegingen!T$6:T$2000)</f>
        <v>0</v>
      </c>
      <c r="C56" s="18">
        <f>SUMIF(Verpakkingen!P$6:P$2000,A56,Verpakkingen!U$6:U$2000)</f>
        <v>0</v>
      </c>
      <c r="D56" s="18">
        <f t="shared" si="1"/>
        <v>0</v>
      </c>
    </row>
    <row r="57">
      <c r="B57" s="18">
        <f>SUMIF(Granen!P$6:P$2000,A57,Granen!T$6:T$2000)+SUMIF(Gist!P$6:P$2000,A57,Gist!T$6:T$2000)+SUMIF(Hop!P$6:P$2000,A57,Hop!T$6:T$2000)+SUMIF(Toevoegingen!P$6:P$2000,A57,Toevoegingen!T$6:T$2000)</f>
        <v>0</v>
      </c>
      <c r="C57" s="18">
        <f>SUMIF(Verpakkingen!P$6:P$2000,A57,Verpakkingen!U$6:U$2000)</f>
        <v>0</v>
      </c>
      <c r="D57" s="18">
        <f t="shared" si="1"/>
        <v>0</v>
      </c>
    </row>
    <row r="58">
      <c r="B58" s="18">
        <f>SUMIF(Granen!P$6:P$2000,A58,Granen!T$6:T$2000)+SUMIF(Gist!P$6:P$2000,A58,Gist!T$6:T$2000)+SUMIF(Hop!P$6:P$2000,A58,Hop!T$6:T$2000)+SUMIF(Toevoegingen!P$6:P$2000,A58,Toevoegingen!T$6:T$2000)</f>
        <v>0</v>
      </c>
      <c r="C58" s="18">
        <f>SUMIF(Verpakkingen!P$6:P$2000,A58,Verpakkingen!U$6:U$2000)</f>
        <v>0</v>
      </c>
      <c r="D58" s="18">
        <f t="shared" si="1"/>
        <v>0</v>
      </c>
    </row>
    <row r="59">
      <c r="B59" s="18">
        <f>SUMIF(Granen!P$6:P$2000,A59,Granen!T$6:T$2000)+SUMIF(Gist!P$6:P$2000,A59,Gist!T$6:T$2000)+SUMIF(Hop!P$6:P$2000,A59,Hop!T$6:T$2000)+SUMIF(Toevoegingen!P$6:P$2000,A59,Toevoegingen!T$6:T$2000)</f>
        <v>0</v>
      </c>
      <c r="C59" s="18">
        <f>SUMIF(Verpakkingen!P$6:P$2000,A59,Verpakkingen!U$6:U$2000)</f>
        <v>0</v>
      </c>
      <c r="D59" s="18">
        <f t="shared" si="1"/>
        <v>0</v>
      </c>
    </row>
    <row r="60">
      <c r="B60" s="18">
        <f>SUMIF(Granen!P$6:P$2000,A60,Granen!T$6:T$2000)+SUMIF(Gist!P$6:P$2000,A60,Gist!T$6:T$2000)+SUMIF(Hop!P$6:P$2000,A60,Hop!T$6:T$2000)+SUMIF(Toevoegingen!P$6:P$2000,A60,Toevoegingen!T$6:T$2000)</f>
        <v>0</v>
      </c>
      <c r="C60" s="18">
        <f>SUMIF(Verpakkingen!P$6:P$2000,A60,Verpakkingen!U$6:U$2000)</f>
        <v>0</v>
      </c>
      <c r="D60" s="18">
        <f t="shared" si="1"/>
        <v>0</v>
      </c>
    </row>
    <row r="61">
      <c r="B61" s="18">
        <f>SUMIF(Granen!P$6:P$2000,A61,Granen!T$6:T$2000)+SUMIF(Gist!P$6:P$2000,A61,Gist!T$6:T$2000)+SUMIF(Hop!P$6:P$2000,A61,Hop!T$6:T$2000)+SUMIF(Toevoegingen!P$6:P$2000,A61,Toevoegingen!T$6:T$2000)</f>
        <v>0</v>
      </c>
      <c r="C61" s="18">
        <f>SUMIF(Verpakkingen!P$6:P$2000,A61,Verpakkingen!U$6:U$2000)</f>
        <v>0</v>
      </c>
      <c r="D61" s="18">
        <f t="shared" si="1"/>
        <v>0</v>
      </c>
    </row>
    <row r="62">
      <c r="B62" s="18">
        <f>SUMIF(Granen!P$6:P$2000,A62,Granen!T$6:T$2000)+SUMIF(Gist!P$6:P$2000,A62,Gist!T$6:T$2000)+SUMIF(Hop!P$6:P$2000,A62,Hop!T$6:T$2000)+SUMIF(Toevoegingen!P$6:P$2000,A62,Toevoegingen!T$6:T$2000)</f>
        <v>0</v>
      </c>
      <c r="C62" s="18">
        <f>SUMIF(Verpakkingen!P$6:P$2000,A62,Verpakkingen!U$6:U$2000)</f>
        <v>0</v>
      </c>
      <c r="D62" s="18">
        <f t="shared" si="1"/>
        <v>0</v>
      </c>
    </row>
    <row r="63">
      <c r="B63" s="18">
        <f>SUMIF(Granen!P$6:P$2000,A63,Granen!T$6:T$2000)+SUMIF(Gist!P$6:P$2000,A63,Gist!T$6:T$2000)+SUMIF(Hop!P$6:P$2000,A63,Hop!T$6:T$2000)+SUMIF(Toevoegingen!P$6:P$2000,A63,Toevoegingen!T$6:T$2000)</f>
        <v>0</v>
      </c>
      <c r="C63" s="18">
        <f>SUMIF(Verpakkingen!P$6:P$2000,A63,Verpakkingen!U$6:U$2000)</f>
        <v>0</v>
      </c>
      <c r="D63" s="18">
        <f t="shared" si="1"/>
        <v>0</v>
      </c>
    </row>
    <row r="64">
      <c r="B64" s="18">
        <f>SUMIF(Granen!P$6:P$2000,A64,Granen!T$6:T$2000)+SUMIF(Gist!P$6:P$2000,A64,Gist!T$6:T$2000)+SUMIF(Hop!P$6:P$2000,A64,Hop!T$6:T$2000)+SUMIF(Toevoegingen!P$6:P$2000,A64,Toevoegingen!T$6:T$2000)</f>
        <v>0</v>
      </c>
      <c r="C64" s="18">
        <f>SUMIF(Verpakkingen!P$6:P$2000,A64,Verpakkingen!U$6:U$2000)</f>
        <v>0</v>
      </c>
      <c r="D64" s="18">
        <f t="shared" si="1"/>
        <v>0</v>
      </c>
    </row>
    <row r="65">
      <c r="B65" s="18">
        <f>SUMIF(Granen!P$6:P$2000,A65,Granen!T$6:T$2000)+SUMIF(Gist!P$6:P$2000,A65,Gist!T$6:T$2000)+SUMIF(Hop!P$6:P$2000,A65,Hop!T$6:T$2000)+SUMIF(Toevoegingen!P$6:P$2000,A65,Toevoegingen!T$6:T$2000)</f>
        <v>0</v>
      </c>
      <c r="C65" s="18">
        <f>SUMIF(Verpakkingen!P$6:P$2000,A65,Verpakkingen!U$6:U$2000)</f>
        <v>0</v>
      </c>
      <c r="D65" s="18">
        <f t="shared" si="1"/>
        <v>0</v>
      </c>
    </row>
    <row r="66">
      <c r="B66" s="18">
        <f>SUMIF(Granen!P$6:P$2000,A66,Granen!T$6:T$2000)+SUMIF(Gist!P$6:P$2000,A66,Gist!T$6:T$2000)+SUMIF(Hop!P$6:P$2000,A66,Hop!T$6:T$2000)+SUMIF(Toevoegingen!P$6:P$2000,A66,Toevoegingen!T$6:T$2000)</f>
        <v>0</v>
      </c>
      <c r="C66" s="18">
        <f>SUMIF(Verpakkingen!P$6:P$2000,A66,Verpakkingen!U$6:U$2000)</f>
        <v>0</v>
      </c>
      <c r="D66" s="18">
        <f t="shared" si="1"/>
        <v>0</v>
      </c>
    </row>
    <row r="67">
      <c r="B67" s="18">
        <f>SUMIF(Granen!P$6:P$2000,A67,Granen!T$6:T$2000)+SUMIF(Gist!P$6:P$2000,A67,Gist!T$6:T$2000)+SUMIF(Hop!P$6:P$2000,A67,Hop!T$6:T$2000)+SUMIF(Toevoegingen!P$6:P$2000,A67,Toevoegingen!T$6:T$2000)</f>
        <v>0</v>
      </c>
      <c r="C67" s="18">
        <f>SUMIF(Verpakkingen!P$6:P$2000,A67,Verpakkingen!U$6:U$2000)</f>
        <v>0</v>
      </c>
      <c r="D67" s="18">
        <f t="shared" si="1"/>
        <v>0</v>
      </c>
    </row>
    <row r="68">
      <c r="B68" s="18">
        <f>SUMIF(Granen!P$6:P$2000,A68,Granen!T$6:T$2000)+SUMIF(Gist!P$6:P$2000,A68,Gist!T$6:T$2000)+SUMIF(Hop!P$6:P$2000,A68,Hop!T$6:T$2000)+SUMIF(Toevoegingen!P$6:P$2000,A68,Toevoegingen!T$6:T$2000)</f>
        <v>0</v>
      </c>
      <c r="C68" s="18">
        <f>SUMIF(Verpakkingen!P$6:P$2000,A68,Verpakkingen!U$6:U$2000)</f>
        <v>0</v>
      </c>
      <c r="D68" s="18">
        <f t="shared" si="1"/>
        <v>0</v>
      </c>
    </row>
    <row r="69">
      <c r="B69" s="18">
        <f>SUMIF(Granen!P$6:P$2000,A69,Granen!T$6:T$2000)+SUMIF(Gist!P$6:P$2000,A69,Gist!T$6:T$2000)+SUMIF(Hop!P$6:P$2000,A69,Hop!T$6:T$2000)+SUMIF(Toevoegingen!P$6:P$2000,A69,Toevoegingen!T$6:T$2000)</f>
        <v>0</v>
      </c>
      <c r="C69" s="18">
        <f>SUMIF(Verpakkingen!P$6:P$2000,A69,Verpakkingen!U$6:U$2000)</f>
        <v>0</v>
      </c>
      <c r="D69" s="18">
        <f t="shared" si="1"/>
        <v>0</v>
      </c>
    </row>
    <row r="70">
      <c r="B70" s="18">
        <f>SUMIF(Granen!P$6:P$2000,A70,Granen!T$6:T$2000)+SUMIF(Gist!P$6:P$2000,A70,Gist!T$6:T$2000)+SUMIF(Hop!P$6:P$2000,A70,Hop!T$6:T$2000)+SUMIF(Toevoegingen!P$6:P$2000,A70,Toevoegingen!T$6:T$2000)</f>
        <v>0</v>
      </c>
      <c r="C70" s="18">
        <f>SUMIF(Verpakkingen!P$6:P$2000,A70,Verpakkingen!U$6:U$2000)</f>
        <v>0</v>
      </c>
      <c r="D70" s="18">
        <f t="shared" si="1"/>
        <v>0</v>
      </c>
    </row>
    <row r="71">
      <c r="B71" s="18">
        <f>SUMIF(Granen!P$6:P$2000,A71,Granen!T$6:T$2000)+SUMIF(Gist!P$6:P$2000,A71,Gist!T$6:T$2000)+SUMIF(Hop!P$6:P$2000,A71,Hop!T$6:T$2000)+SUMIF(Toevoegingen!P$6:P$2000,A71,Toevoegingen!T$6:T$2000)</f>
        <v>0</v>
      </c>
      <c r="C71" s="18">
        <f>SUMIF(Verpakkingen!P$6:P$2000,A71,Verpakkingen!U$6:U$2000)</f>
        <v>0</v>
      </c>
      <c r="D71" s="18">
        <f t="shared" si="1"/>
        <v>0</v>
      </c>
    </row>
    <row r="72">
      <c r="B72" s="18">
        <f>SUMIF(Granen!P$6:P$2000,A72,Granen!T$6:T$2000)+SUMIF(Gist!P$6:P$2000,A72,Gist!T$6:T$2000)+SUMIF(Hop!P$6:P$2000,A72,Hop!T$6:T$2000)+SUMIF(Toevoegingen!P$6:P$2000,A72,Toevoegingen!T$6:T$2000)</f>
        <v>0</v>
      </c>
      <c r="C72" s="18">
        <f>SUMIF(Verpakkingen!P$6:P$2000,A72,Verpakkingen!U$6:U$2000)</f>
        <v>0</v>
      </c>
      <c r="D72" s="18">
        <f t="shared" si="1"/>
        <v>0</v>
      </c>
    </row>
    <row r="73">
      <c r="B73" s="18">
        <f>SUMIF(Granen!P$6:P$2000,A73,Granen!T$6:T$2000)+SUMIF(Gist!P$6:P$2000,A73,Gist!T$6:T$2000)+SUMIF(Hop!P$6:P$2000,A73,Hop!T$6:T$2000)+SUMIF(Toevoegingen!P$6:P$2000,A73,Toevoegingen!T$6:T$2000)</f>
        <v>0</v>
      </c>
      <c r="C73" s="18">
        <f>SUMIF(Verpakkingen!P$6:P$2000,A73,Verpakkingen!U$6:U$2000)</f>
        <v>0</v>
      </c>
      <c r="D73" s="18">
        <f t="shared" si="1"/>
        <v>0</v>
      </c>
    </row>
    <row r="74">
      <c r="B74" s="18">
        <f>SUMIF(Granen!P$6:P$2000,A74,Granen!T$6:T$2000)+SUMIF(Gist!P$6:P$2000,A74,Gist!T$6:T$2000)+SUMIF(Hop!P$6:P$2000,A74,Hop!T$6:T$2000)+SUMIF(Toevoegingen!P$6:P$2000,A74,Toevoegingen!T$6:T$2000)</f>
        <v>0</v>
      </c>
      <c r="C74" s="18">
        <f>SUMIF(Verpakkingen!P$6:P$2000,A74,Verpakkingen!U$6:U$2000)</f>
        <v>0</v>
      </c>
      <c r="D74" s="18">
        <f t="shared" si="1"/>
        <v>0</v>
      </c>
    </row>
    <row r="75">
      <c r="B75" s="18">
        <f>SUMIF(Granen!P$6:P$2000,A75,Granen!T$6:T$2000)+SUMIF(Gist!P$6:P$2000,A75,Gist!T$6:T$2000)+SUMIF(Hop!P$6:P$2000,A75,Hop!T$6:T$2000)+SUMIF(Toevoegingen!P$6:P$2000,A75,Toevoegingen!T$6:T$2000)</f>
        <v>0</v>
      </c>
      <c r="C75" s="18">
        <f>SUMIF(Verpakkingen!P$6:P$2000,A75,Verpakkingen!U$6:U$2000)</f>
        <v>0</v>
      </c>
      <c r="D75" s="18">
        <f t="shared" si="1"/>
        <v>0</v>
      </c>
    </row>
    <row r="76">
      <c r="B76" s="18">
        <f>SUMIF(Granen!P$6:P$2000,A76,Granen!T$6:T$2000)+SUMIF(Gist!P$6:P$2000,A76,Gist!T$6:T$2000)+SUMIF(Hop!P$6:P$2000,A76,Hop!T$6:T$2000)+SUMIF(Toevoegingen!P$6:P$2000,A76,Toevoegingen!T$6:T$2000)</f>
        <v>0</v>
      </c>
      <c r="C76" s="18">
        <f>SUMIF(Verpakkingen!P$6:P$2000,A76,Verpakkingen!U$6:U$2000)</f>
        <v>0</v>
      </c>
      <c r="D76" s="18">
        <f t="shared" si="1"/>
        <v>0</v>
      </c>
    </row>
    <row r="77">
      <c r="B77" s="18">
        <f>SUMIF(Granen!P$6:P$2000,A77,Granen!T$6:T$2000)+SUMIF(Gist!P$6:P$2000,A77,Gist!T$6:T$2000)+SUMIF(Hop!P$6:P$2000,A77,Hop!T$6:T$2000)+SUMIF(Toevoegingen!P$6:P$2000,A77,Toevoegingen!T$6:T$2000)</f>
        <v>0</v>
      </c>
      <c r="C77" s="18">
        <f>SUMIF(Verpakkingen!P$6:P$2000,A77,Verpakkingen!U$6:U$2000)</f>
        <v>0</v>
      </c>
      <c r="D77" s="18">
        <f t="shared" si="1"/>
        <v>0</v>
      </c>
    </row>
    <row r="78">
      <c r="B78" s="18">
        <f>SUMIF(Granen!P$6:P$2000,A78,Granen!T$6:T$2000)+SUMIF(Gist!P$6:P$2000,A78,Gist!T$6:T$2000)+SUMIF(Hop!P$6:P$2000,A78,Hop!T$6:T$2000)+SUMIF(Toevoegingen!P$6:P$2000,A78,Toevoegingen!T$6:T$2000)</f>
        <v>0</v>
      </c>
      <c r="C78" s="18">
        <f>SUMIF(Verpakkingen!P$6:P$2000,A78,Verpakkingen!U$6:U$2000)</f>
        <v>0</v>
      </c>
      <c r="D78" s="18">
        <f t="shared" si="1"/>
        <v>0</v>
      </c>
    </row>
    <row r="79">
      <c r="B79" s="18">
        <f>SUMIF(Granen!P$6:P$2000,A79,Granen!T$6:T$2000)+SUMIF(Gist!P$6:P$2000,A79,Gist!T$6:T$2000)+SUMIF(Hop!P$6:P$2000,A79,Hop!T$6:T$2000)+SUMIF(Toevoegingen!P$6:P$2000,A79,Toevoegingen!T$6:T$2000)</f>
        <v>0</v>
      </c>
      <c r="C79" s="18">
        <f>SUMIF(Verpakkingen!P$6:P$2000,A79,Verpakkingen!U$6:U$2000)</f>
        <v>0</v>
      </c>
      <c r="D79" s="18">
        <f t="shared" si="1"/>
        <v>0</v>
      </c>
    </row>
    <row r="80">
      <c r="B80" s="18">
        <f>SUMIF(Granen!P$6:P$2000,A80,Granen!T$6:T$2000)+SUMIF(Gist!P$6:P$2000,A80,Gist!T$6:T$2000)+SUMIF(Hop!P$6:P$2000,A80,Hop!T$6:T$2000)+SUMIF(Toevoegingen!P$6:P$2000,A80,Toevoegingen!T$6:T$2000)</f>
        <v>0</v>
      </c>
      <c r="C80" s="18">
        <f>SUMIF(Verpakkingen!P$6:P$2000,A80,Verpakkingen!U$6:U$2000)</f>
        <v>0</v>
      </c>
      <c r="D80" s="18">
        <f t="shared" si="1"/>
        <v>0</v>
      </c>
    </row>
    <row r="81">
      <c r="B81" s="18">
        <f>SUMIF(Granen!P$6:P$2000,A81,Granen!T$6:T$2000)+SUMIF(Gist!P$6:P$2000,A81,Gist!T$6:T$2000)+SUMIF(Hop!P$6:P$2000,A81,Hop!T$6:T$2000)+SUMIF(Toevoegingen!P$6:P$2000,A81,Toevoegingen!T$6:T$2000)</f>
        <v>0</v>
      </c>
      <c r="C81" s="18">
        <f>SUMIF(Verpakkingen!P$6:P$2000,A81,Verpakkingen!U$6:U$2000)</f>
        <v>0</v>
      </c>
      <c r="D81" s="18">
        <f t="shared" si="1"/>
        <v>0</v>
      </c>
    </row>
    <row r="82">
      <c r="B82" s="18">
        <f>SUMIF(Granen!P$6:P$2000,A82,Granen!T$6:T$2000)+SUMIF(Gist!P$6:P$2000,A82,Gist!T$6:T$2000)+SUMIF(Hop!P$6:P$2000,A82,Hop!T$6:T$2000)+SUMIF(Toevoegingen!P$6:P$2000,A82,Toevoegingen!T$6:T$2000)</f>
        <v>0</v>
      </c>
      <c r="C82" s="18">
        <f>SUMIF(Verpakkingen!P$6:P$2000,A82,Verpakkingen!U$6:U$2000)</f>
        <v>0</v>
      </c>
      <c r="D82" s="18">
        <f t="shared" si="1"/>
        <v>0</v>
      </c>
    </row>
    <row r="83">
      <c r="B83" s="18">
        <f>SUMIF(Granen!P$6:P$2000,A83,Granen!T$6:T$2000)+SUMIF(Gist!P$6:P$2000,A83,Gist!T$6:T$2000)+SUMIF(Hop!P$6:P$2000,A83,Hop!T$6:T$2000)+SUMIF(Toevoegingen!P$6:P$2000,A83,Toevoegingen!T$6:T$2000)</f>
        <v>0</v>
      </c>
      <c r="C83" s="18">
        <f>SUMIF(Verpakkingen!P$6:P$2000,A83,Verpakkingen!U$6:U$2000)</f>
        <v>0</v>
      </c>
      <c r="D83" s="18">
        <f t="shared" si="1"/>
        <v>0</v>
      </c>
    </row>
    <row r="84">
      <c r="B84" s="18">
        <f>SUMIF(Granen!P$6:P$2000,A84,Granen!T$6:T$2000)+SUMIF(Gist!P$6:P$2000,A84,Gist!T$6:T$2000)+SUMIF(Hop!P$6:P$2000,A84,Hop!T$6:T$2000)+SUMIF(Toevoegingen!P$6:P$2000,A84,Toevoegingen!T$6:T$2000)</f>
        <v>0</v>
      </c>
      <c r="C84" s="18">
        <f>SUMIF(Verpakkingen!P$6:P$2000,A84,Verpakkingen!U$6:U$2000)</f>
        <v>0</v>
      </c>
      <c r="D84" s="18">
        <f t="shared" si="1"/>
        <v>0</v>
      </c>
    </row>
    <row r="85">
      <c r="B85" s="18">
        <f>SUMIF(Granen!P$6:P$2000,A85,Granen!T$6:T$2000)+SUMIF(Gist!P$6:P$2000,A85,Gist!T$6:T$2000)+SUMIF(Hop!P$6:P$2000,A85,Hop!T$6:T$2000)+SUMIF(Toevoegingen!P$6:P$2000,A85,Toevoegingen!T$6:T$2000)</f>
        <v>0</v>
      </c>
      <c r="C85" s="18">
        <f>SUMIF(Verpakkingen!P$6:P$2000,A85,Verpakkingen!U$6:U$2000)</f>
        <v>0</v>
      </c>
      <c r="D85" s="18">
        <f t="shared" si="1"/>
        <v>0</v>
      </c>
    </row>
    <row r="86">
      <c r="B86" s="18">
        <f>SUMIF(Granen!P$6:P$2000,A86,Granen!T$6:T$2000)+SUMIF(Gist!P$6:P$2000,A86,Gist!T$6:T$2000)+SUMIF(Hop!P$6:P$2000,A86,Hop!T$6:T$2000)+SUMIF(Toevoegingen!P$6:P$2000,A86,Toevoegingen!T$6:T$2000)</f>
        <v>0</v>
      </c>
      <c r="C86" s="18">
        <f>SUMIF(Verpakkingen!P$6:P$2000,A86,Verpakkingen!U$6:U$2000)</f>
        <v>0</v>
      </c>
      <c r="D86" s="18">
        <f t="shared" si="1"/>
        <v>0</v>
      </c>
    </row>
    <row r="87">
      <c r="B87" s="18">
        <f>SUMIF(Granen!P$6:P$2000,A87,Granen!T$6:T$2000)+SUMIF(Gist!P$6:P$2000,A87,Gist!T$6:T$2000)+SUMIF(Hop!P$6:P$2000,A87,Hop!T$6:T$2000)+SUMIF(Toevoegingen!P$6:P$2000,A87,Toevoegingen!T$6:T$2000)</f>
        <v>0</v>
      </c>
      <c r="C87" s="18">
        <f>SUMIF(Verpakkingen!P$6:P$2000,A87,Verpakkingen!U$6:U$2000)</f>
        <v>0</v>
      </c>
      <c r="D87" s="18">
        <f t="shared" si="1"/>
        <v>0</v>
      </c>
    </row>
    <row r="88">
      <c r="B88" s="18">
        <f>SUMIF(Granen!P$6:P$2000,A88,Granen!T$6:T$2000)+SUMIF(Gist!P$6:P$2000,A88,Gist!T$6:T$2000)+SUMIF(Hop!P$6:P$2000,A88,Hop!T$6:T$2000)+SUMIF(Toevoegingen!P$6:P$2000,A88,Toevoegingen!T$6:T$2000)</f>
        <v>0</v>
      </c>
      <c r="C88" s="18">
        <f>SUMIF(Verpakkingen!P$6:P$2000,A88,Verpakkingen!U$6:U$2000)</f>
        <v>0</v>
      </c>
      <c r="D88" s="18">
        <f t="shared" si="1"/>
        <v>0</v>
      </c>
    </row>
    <row r="89">
      <c r="B89" s="18">
        <f>SUMIF(Granen!P$6:P$2000,A89,Granen!T$6:T$2000)+SUMIF(Gist!P$6:P$2000,A89,Gist!T$6:T$2000)+SUMIF(Hop!P$6:P$2000,A89,Hop!T$6:T$2000)+SUMIF(Toevoegingen!P$6:P$2000,A89,Toevoegingen!T$6:T$2000)</f>
        <v>0</v>
      </c>
      <c r="C89" s="18">
        <f>SUMIF(Verpakkingen!P$6:P$2000,A89,Verpakkingen!U$6:U$2000)</f>
        <v>0</v>
      </c>
      <c r="D89" s="18">
        <f t="shared" si="1"/>
        <v>0</v>
      </c>
    </row>
    <row r="90">
      <c r="B90" s="18">
        <f>SUMIF(Granen!P$6:P$2000,A90,Granen!T$6:T$2000)+SUMIF(Gist!P$6:P$2000,A90,Gist!T$6:T$2000)+SUMIF(Hop!P$6:P$2000,A90,Hop!T$6:T$2000)+SUMIF(Toevoegingen!P$6:P$2000,A90,Toevoegingen!T$6:T$2000)</f>
        <v>0</v>
      </c>
      <c r="C90" s="18">
        <f>SUMIF(Verpakkingen!P$6:P$2000,A90,Verpakkingen!U$6:U$2000)</f>
        <v>0</v>
      </c>
      <c r="D90" s="18">
        <f t="shared" si="1"/>
        <v>0</v>
      </c>
    </row>
    <row r="91">
      <c r="B91" s="18">
        <f>SUMIF(Granen!P$6:P$2000,A91,Granen!T$6:T$2000)+SUMIF(Gist!P$6:P$2000,A91,Gist!T$6:T$2000)+SUMIF(Hop!P$6:P$2000,A91,Hop!T$6:T$2000)+SUMIF(Toevoegingen!P$6:P$2000,A91,Toevoegingen!T$6:T$2000)</f>
        <v>0</v>
      </c>
      <c r="C91" s="18">
        <f>SUMIF(Verpakkingen!P$6:P$2000,A91,Verpakkingen!U$6:U$2000)</f>
        <v>0</v>
      </c>
      <c r="D91" s="18">
        <f t="shared" si="1"/>
        <v>0</v>
      </c>
    </row>
    <row r="92">
      <c r="B92" s="18">
        <f>SUMIF(Granen!P$6:P$2000,A92,Granen!T$6:T$2000)+SUMIF(Gist!P$6:P$2000,A92,Gist!T$6:T$2000)+SUMIF(Hop!P$6:P$2000,A92,Hop!T$6:T$2000)+SUMIF(Toevoegingen!P$6:P$2000,A92,Toevoegingen!T$6:T$2000)</f>
        <v>0</v>
      </c>
      <c r="C92" s="18">
        <f>SUMIF(Verpakkingen!P$6:P$2000,A92,Verpakkingen!U$6:U$2000)</f>
        <v>0</v>
      </c>
      <c r="D92" s="18">
        <f t="shared" si="1"/>
        <v>0</v>
      </c>
    </row>
    <row r="93">
      <c r="B93" s="18">
        <f>SUMIF(Granen!P$6:P$2000,A93,Granen!T$6:T$2000)+SUMIF(Gist!P$6:P$2000,A93,Gist!T$6:T$2000)+SUMIF(Hop!P$6:P$2000,A93,Hop!T$6:T$2000)+SUMIF(Toevoegingen!P$6:P$2000,A93,Toevoegingen!T$6:T$2000)</f>
        <v>0</v>
      </c>
      <c r="C93" s="18">
        <f>SUMIF(Verpakkingen!P$6:P$2000,A93,Verpakkingen!U$6:U$2000)</f>
        <v>0</v>
      </c>
      <c r="D93" s="18">
        <f t="shared" si="1"/>
        <v>0</v>
      </c>
    </row>
    <row r="94">
      <c r="B94" s="18">
        <f>SUMIF(Granen!P$6:P$2000,A94,Granen!T$6:T$2000)+SUMIF(Gist!P$6:P$2000,A94,Gist!T$6:T$2000)+SUMIF(Hop!P$6:P$2000,A94,Hop!T$6:T$2000)+SUMIF(Toevoegingen!P$6:P$2000,A94,Toevoegingen!T$6:T$2000)</f>
        <v>0</v>
      </c>
      <c r="C94" s="18">
        <f>SUMIF(Verpakkingen!P$6:P$2000,A94,Verpakkingen!U$6:U$2000)</f>
        <v>0</v>
      </c>
      <c r="D94" s="18">
        <f t="shared" si="1"/>
        <v>0</v>
      </c>
    </row>
    <row r="95">
      <c r="B95" s="18">
        <f>SUMIF(Granen!P$6:P$2000,A95,Granen!T$6:T$2000)+SUMIF(Gist!P$6:P$2000,A95,Gist!T$6:T$2000)+SUMIF(Hop!P$6:P$2000,A95,Hop!T$6:T$2000)+SUMIF(Toevoegingen!P$6:P$2000,A95,Toevoegingen!T$6:T$2000)</f>
        <v>0</v>
      </c>
      <c r="C95" s="18">
        <f>SUMIF(Verpakkingen!P$6:P$2000,A95,Verpakkingen!U$6:U$2000)</f>
        <v>0</v>
      </c>
      <c r="D95" s="18">
        <f t="shared" si="1"/>
        <v>0</v>
      </c>
    </row>
    <row r="96">
      <c r="B96" s="18">
        <f>SUMIF(Granen!P$6:P$2000,A96,Granen!T$6:T$2000)+SUMIF(Gist!P$6:P$2000,A96,Gist!T$6:T$2000)+SUMIF(Hop!P$6:P$2000,A96,Hop!T$6:T$2000)+SUMIF(Toevoegingen!P$6:P$2000,A96,Toevoegingen!T$6:T$2000)</f>
        <v>0</v>
      </c>
      <c r="C96" s="18">
        <f>SUMIF(Verpakkingen!P$6:P$2000,A96,Verpakkingen!U$6:U$2000)</f>
        <v>0</v>
      </c>
      <c r="D96" s="18">
        <f t="shared" si="1"/>
        <v>0</v>
      </c>
    </row>
    <row r="97">
      <c r="B97" s="18">
        <f>SUMIF(Granen!P$6:P$2000,A97,Granen!T$6:T$2000)+SUMIF(Gist!P$6:P$2000,A97,Gist!T$6:T$2000)+SUMIF(Hop!P$6:P$2000,A97,Hop!T$6:T$2000)+SUMIF(Toevoegingen!P$6:P$2000,A97,Toevoegingen!T$6:T$2000)</f>
        <v>0</v>
      </c>
      <c r="C97" s="18">
        <f>SUMIF(Verpakkingen!P$6:P$2000,A97,Verpakkingen!U$6:U$2000)</f>
        <v>0</v>
      </c>
      <c r="D97" s="18">
        <f t="shared" si="1"/>
        <v>0</v>
      </c>
    </row>
    <row r="98">
      <c r="B98" s="18">
        <f>SUMIF(Granen!P$6:P$2000,A98,Granen!T$6:T$2000)+SUMIF(Gist!P$6:P$2000,A98,Gist!T$6:T$2000)+SUMIF(Hop!P$6:P$2000,A98,Hop!T$6:T$2000)+SUMIF(Toevoegingen!P$6:P$2000,A98,Toevoegingen!T$6:T$2000)</f>
        <v>0</v>
      </c>
      <c r="C98" s="18">
        <f>SUMIF(Verpakkingen!P$6:P$2000,A98,Verpakkingen!U$6:U$2000)</f>
        <v>0</v>
      </c>
      <c r="D98" s="18">
        <f t="shared" si="1"/>
        <v>0</v>
      </c>
    </row>
    <row r="99">
      <c r="B99" s="18">
        <f>SUMIF(Granen!P$6:P$2000,A99,Granen!T$6:T$2000)+SUMIF(Gist!P$6:P$2000,A99,Gist!T$6:T$2000)+SUMIF(Hop!P$6:P$2000,A99,Hop!T$6:T$2000)+SUMIF(Toevoegingen!P$6:P$2000,A99,Toevoegingen!T$6:T$2000)</f>
        <v>0</v>
      </c>
      <c r="C99" s="18">
        <f>SUMIF(Verpakkingen!P$6:P$2000,A99,Verpakkingen!U$6:U$2000)</f>
        <v>0</v>
      </c>
      <c r="D99" s="18">
        <f t="shared" si="1"/>
        <v>0</v>
      </c>
    </row>
    <row r="100">
      <c r="B100" s="18">
        <f>SUMIF(Granen!P$6:P$2000,A100,Granen!T$6:T$2000)+SUMIF(Gist!P$6:P$2000,A100,Gist!T$6:T$2000)+SUMIF(Hop!P$6:P$2000,A100,Hop!T$6:T$2000)+SUMIF(Toevoegingen!P$6:P$2000,A100,Toevoegingen!T$6:T$2000)</f>
        <v>0</v>
      </c>
      <c r="C100" s="18">
        <f>SUMIF(Verpakkingen!P$6:P$2000,A100,Verpakkingen!U$6:U$2000)</f>
        <v>0</v>
      </c>
      <c r="D100" s="18">
        <f t="shared" si="1"/>
        <v>0</v>
      </c>
    </row>
    <row r="101">
      <c r="B101" s="18"/>
      <c r="C101" s="18"/>
      <c r="D101" s="18"/>
    </row>
    <row r="102">
      <c r="B102" s="18"/>
      <c r="C102" s="18"/>
      <c r="D102" s="18"/>
    </row>
    <row r="103">
      <c r="B103" s="18"/>
      <c r="C103" s="18"/>
      <c r="D103" s="18"/>
    </row>
    <row r="104">
      <c r="B104" s="18"/>
      <c r="C104" s="18"/>
      <c r="D104" s="18"/>
    </row>
    <row r="105">
      <c r="B105" s="18"/>
      <c r="C105" s="18"/>
      <c r="D105" s="18"/>
    </row>
    <row r="106">
      <c r="B106" s="18"/>
      <c r="C106" s="18"/>
      <c r="D106" s="18"/>
    </row>
    <row r="107">
      <c r="B107" s="18"/>
      <c r="C107" s="18"/>
      <c r="D107" s="18"/>
    </row>
    <row r="108">
      <c r="B108" s="18"/>
      <c r="C108" s="18"/>
      <c r="D108" s="18"/>
    </row>
    <row r="109">
      <c r="B109" s="18"/>
      <c r="C109" s="18"/>
      <c r="D109" s="18"/>
    </row>
    <row r="110">
      <c r="B110" s="18"/>
      <c r="C110" s="18"/>
      <c r="D110" s="18"/>
    </row>
    <row r="111">
      <c r="B111" s="18"/>
      <c r="C111" s="18"/>
      <c r="D111" s="18"/>
    </row>
    <row r="112">
      <c r="B112" s="18"/>
      <c r="C112" s="18"/>
      <c r="D112" s="18"/>
    </row>
    <row r="113">
      <c r="B113" s="18"/>
      <c r="C113" s="18"/>
      <c r="D113" s="18"/>
    </row>
    <row r="114">
      <c r="B114" s="18"/>
      <c r="C114" s="18"/>
      <c r="D114" s="18"/>
    </row>
    <row r="115">
      <c r="B115" s="18"/>
      <c r="C115" s="18"/>
      <c r="D115" s="18"/>
    </row>
    <row r="116">
      <c r="B116" s="18"/>
      <c r="C116" s="18"/>
      <c r="D116" s="18"/>
    </row>
    <row r="117">
      <c r="B117" s="18"/>
      <c r="C117" s="18"/>
      <c r="D117" s="18"/>
    </row>
    <row r="118">
      <c r="B118" s="18"/>
      <c r="C118" s="18"/>
      <c r="D118" s="18"/>
    </row>
    <row r="119">
      <c r="B119" s="18"/>
      <c r="C119" s="18"/>
      <c r="D119" s="18"/>
    </row>
    <row r="120">
      <c r="B120" s="18"/>
      <c r="C120" s="18"/>
      <c r="D120" s="18"/>
    </row>
    <row r="121">
      <c r="B121" s="18"/>
      <c r="C121" s="18"/>
      <c r="D121" s="18"/>
    </row>
    <row r="122">
      <c r="B122" s="18"/>
      <c r="C122" s="18"/>
      <c r="D122" s="18"/>
    </row>
    <row r="123">
      <c r="B123" s="18"/>
      <c r="C123" s="18"/>
      <c r="D123" s="18"/>
    </row>
    <row r="124">
      <c r="B124" s="18"/>
      <c r="C124" s="18"/>
      <c r="D124" s="18"/>
    </row>
    <row r="125">
      <c r="B125" s="18"/>
      <c r="C125" s="18"/>
      <c r="D125" s="18"/>
    </row>
    <row r="126">
      <c r="B126" s="18"/>
      <c r="C126" s="18"/>
      <c r="D126" s="18"/>
    </row>
    <row r="127">
      <c r="B127" s="18"/>
      <c r="C127" s="18"/>
      <c r="D127" s="18"/>
    </row>
    <row r="128">
      <c r="B128" s="18"/>
      <c r="C128" s="18"/>
      <c r="D128" s="18"/>
    </row>
    <row r="129">
      <c r="B129" s="18"/>
      <c r="C129" s="18"/>
      <c r="D129" s="18"/>
    </row>
    <row r="130">
      <c r="B130" s="18"/>
      <c r="C130" s="18"/>
      <c r="D130" s="18"/>
    </row>
    <row r="131">
      <c r="B131" s="18"/>
      <c r="C131" s="18"/>
      <c r="D131" s="18"/>
    </row>
    <row r="132">
      <c r="B132" s="18"/>
      <c r="C132" s="18"/>
      <c r="D132" s="18"/>
    </row>
    <row r="133">
      <c r="B133" s="18"/>
      <c r="C133" s="18"/>
      <c r="D133" s="18"/>
    </row>
    <row r="134">
      <c r="B134" s="18"/>
      <c r="C134" s="18"/>
      <c r="D134" s="18"/>
    </row>
    <row r="135">
      <c r="B135" s="18"/>
      <c r="C135" s="18"/>
      <c r="D135" s="18"/>
    </row>
    <row r="136">
      <c r="B136" s="18"/>
      <c r="C136" s="18"/>
      <c r="D136" s="18"/>
    </row>
    <row r="137">
      <c r="B137" s="18"/>
      <c r="C137" s="18"/>
      <c r="D137" s="18"/>
    </row>
    <row r="138">
      <c r="B138" s="18"/>
      <c r="C138" s="18"/>
      <c r="D138" s="18"/>
    </row>
    <row r="139">
      <c r="B139" s="18"/>
      <c r="C139" s="18"/>
      <c r="D139" s="18"/>
    </row>
    <row r="140">
      <c r="B140" s="18"/>
      <c r="C140" s="18"/>
      <c r="D140" s="18"/>
    </row>
    <row r="141">
      <c r="B141" s="18"/>
      <c r="C141" s="18"/>
      <c r="D141" s="18"/>
    </row>
    <row r="142">
      <c r="B142" s="18"/>
      <c r="C142" s="18"/>
      <c r="D142" s="18"/>
    </row>
    <row r="143">
      <c r="B143" s="18"/>
      <c r="C143" s="18"/>
      <c r="D143" s="18"/>
    </row>
    <row r="144">
      <c r="B144" s="18"/>
      <c r="C144" s="18"/>
      <c r="D144" s="18"/>
    </row>
    <row r="145">
      <c r="B145" s="18"/>
      <c r="C145" s="18"/>
      <c r="D145" s="18"/>
    </row>
    <row r="146">
      <c r="B146" s="18"/>
      <c r="C146" s="18"/>
      <c r="D146" s="18"/>
    </row>
    <row r="147">
      <c r="B147" s="18"/>
      <c r="C147" s="18"/>
      <c r="D147" s="18"/>
    </row>
    <row r="148">
      <c r="B148" s="18"/>
      <c r="C148" s="18"/>
      <c r="D148" s="18"/>
    </row>
    <row r="149">
      <c r="B149" s="18"/>
      <c r="C149" s="18"/>
      <c r="D149" s="18"/>
    </row>
    <row r="150">
      <c r="B150" s="18"/>
      <c r="C150" s="18"/>
      <c r="D150" s="18"/>
    </row>
    <row r="151">
      <c r="B151" s="18"/>
      <c r="C151" s="18"/>
      <c r="D151" s="18"/>
    </row>
    <row r="152">
      <c r="B152" s="18"/>
      <c r="C152" s="18"/>
      <c r="D152" s="18"/>
    </row>
    <row r="153">
      <c r="B153" s="18"/>
      <c r="C153" s="18"/>
      <c r="D153" s="18"/>
    </row>
    <row r="154">
      <c r="B154" s="18"/>
      <c r="C154" s="18"/>
      <c r="D154" s="18"/>
    </row>
    <row r="155">
      <c r="B155" s="18"/>
      <c r="C155" s="18"/>
      <c r="D155" s="18"/>
    </row>
    <row r="156">
      <c r="B156" s="18"/>
      <c r="C156" s="18"/>
      <c r="D156" s="18"/>
    </row>
    <row r="157">
      <c r="B157" s="18"/>
      <c r="C157" s="18"/>
      <c r="D157" s="18"/>
    </row>
    <row r="158">
      <c r="B158" s="18"/>
      <c r="C158" s="18"/>
      <c r="D158" s="18"/>
    </row>
    <row r="159">
      <c r="B159" s="18"/>
      <c r="C159" s="18"/>
      <c r="D159" s="18"/>
    </row>
    <row r="160">
      <c r="B160" s="18"/>
      <c r="C160" s="18"/>
      <c r="D160" s="18"/>
    </row>
    <row r="161">
      <c r="B161" s="18"/>
      <c r="C161" s="18"/>
      <c r="D161" s="18"/>
    </row>
    <row r="162">
      <c r="B162" s="18"/>
      <c r="C162" s="18"/>
      <c r="D162" s="18"/>
    </row>
    <row r="163">
      <c r="B163" s="18"/>
      <c r="C163" s="18"/>
      <c r="D163" s="18"/>
    </row>
    <row r="164">
      <c r="B164" s="18"/>
      <c r="C164" s="18"/>
      <c r="D164" s="18"/>
    </row>
    <row r="165">
      <c r="B165" s="18"/>
      <c r="C165" s="18"/>
      <c r="D165" s="18"/>
    </row>
    <row r="166">
      <c r="B166" s="18"/>
      <c r="C166" s="18"/>
      <c r="D166" s="18"/>
    </row>
    <row r="167">
      <c r="B167" s="18"/>
      <c r="C167" s="18"/>
      <c r="D167" s="18"/>
    </row>
    <row r="168">
      <c r="B168" s="18"/>
      <c r="C168" s="18"/>
      <c r="D168" s="18"/>
    </row>
    <row r="169">
      <c r="B169" s="18"/>
      <c r="C169" s="18"/>
      <c r="D169" s="18"/>
    </row>
    <row r="170">
      <c r="B170" s="18"/>
      <c r="C170" s="18"/>
      <c r="D170" s="18"/>
    </row>
    <row r="171">
      <c r="B171" s="18"/>
      <c r="C171" s="18"/>
      <c r="D171" s="18"/>
    </row>
    <row r="172">
      <c r="B172" s="18"/>
      <c r="C172" s="18"/>
      <c r="D172" s="18"/>
    </row>
    <row r="173">
      <c r="B173" s="18"/>
      <c r="C173" s="18"/>
      <c r="D173" s="18"/>
    </row>
    <row r="174">
      <c r="B174" s="18"/>
      <c r="C174" s="18"/>
      <c r="D174" s="18"/>
    </row>
    <row r="175">
      <c r="B175" s="18"/>
      <c r="C175" s="18"/>
      <c r="D175" s="18"/>
    </row>
    <row r="176">
      <c r="B176" s="18"/>
      <c r="C176" s="18"/>
      <c r="D176" s="18"/>
    </row>
    <row r="177">
      <c r="B177" s="18"/>
      <c r="C177" s="18"/>
      <c r="D177" s="18"/>
    </row>
    <row r="178">
      <c r="B178" s="18"/>
      <c r="C178" s="18"/>
      <c r="D178" s="18"/>
    </row>
    <row r="179">
      <c r="B179" s="18"/>
      <c r="C179" s="18"/>
      <c r="D179" s="18"/>
    </row>
    <row r="180">
      <c r="B180" s="18"/>
      <c r="C180" s="18"/>
      <c r="D180" s="18"/>
    </row>
    <row r="181">
      <c r="B181" s="18"/>
      <c r="C181" s="18"/>
      <c r="D181" s="18"/>
    </row>
    <row r="182">
      <c r="B182" s="18"/>
      <c r="C182" s="18"/>
      <c r="D182" s="18"/>
    </row>
    <row r="183">
      <c r="B183" s="18"/>
      <c r="C183" s="18"/>
      <c r="D183" s="18"/>
    </row>
    <row r="184">
      <c r="B184" s="18"/>
      <c r="C184" s="18"/>
      <c r="D184" s="18"/>
    </row>
    <row r="185">
      <c r="B185" s="18"/>
      <c r="C185" s="18"/>
      <c r="D185" s="18"/>
    </row>
    <row r="186">
      <c r="B186" s="18"/>
      <c r="C186" s="18"/>
      <c r="D186" s="18"/>
    </row>
    <row r="187">
      <c r="B187" s="18"/>
      <c r="C187" s="18"/>
      <c r="D187" s="18"/>
    </row>
    <row r="188">
      <c r="B188" s="18"/>
      <c r="C188" s="18"/>
      <c r="D188" s="18"/>
    </row>
    <row r="189">
      <c r="B189" s="18"/>
      <c r="C189" s="18"/>
      <c r="D189" s="18"/>
    </row>
    <row r="190">
      <c r="B190" s="18"/>
      <c r="C190" s="18"/>
      <c r="D190" s="18"/>
    </row>
    <row r="191">
      <c r="B191" s="18"/>
      <c r="C191" s="18"/>
      <c r="D191" s="18"/>
    </row>
    <row r="192">
      <c r="B192" s="18"/>
      <c r="C192" s="18"/>
      <c r="D192" s="18"/>
    </row>
    <row r="193">
      <c r="B193" s="18"/>
      <c r="C193" s="18"/>
      <c r="D193" s="18"/>
    </row>
    <row r="194">
      <c r="B194" s="18"/>
      <c r="C194" s="18"/>
      <c r="D194" s="18"/>
    </row>
    <row r="195">
      <c r="B195" s="18"/>
      <c r="C195" s="18"/>
      <c r="D195" s="18"/>
    </row>
    <row r="196">
      <c r="B196" s="18"/>
      <c r="C196" s="18"/>
      <c r="D196" s="18"/>
    </row>
    <row r="197">
      <c r="B197" s="18"/>
      <c r="C197" s="18"/>
      <c r="D197" s="18"/>
    </row>
    <row r="198">
      <c r="B198" s="18"/>
      <c r="C198" s="18"/>
      <c r="D198" s="18"/>
    </row>
    <row r="199">
      <c r="B199" s="18"/>
      <c r="C199" s="18"/>
      <c r="D199" s="18"/>
    </row>
    <row r="200">
      <c r="B200" s="18"/>
      <c r="C200" s="18"/>
      <c r="D200" s="18"/>
    </row>
    <row r="201">
      <c r="B201" s="18"/>
      <c r="C201" s="18"/>
      <c r="D201" s="18"/>
    </row>
    <row r="202">
      <c r="B202" s="18"/>
      <c r="C202" s="18"/>
      <c r="D202" s="18"/>
    </row>
    <row r="203">
      <c r="B203" s="18"/>
      <c r="C203" s="18"/>
      <c r="D203" s="18"/>
    </row>
    <row r="204">
      <c r="B204" s="18"/>
      <c r="C204" s="18"/>
      <c r="D204" s="18"/>
    </row>
    <row r="205">
      <c r="B205" s="18"/>
      <c r="C205" s="18"/>
      <c r="D205" s="18"/>
    </row>
    <row r="206">
      <c r="B206" s="18"/>
      <c r="C206" s="18"/>
      <c r="D206" s="18"/>
    </row>
    <row r="207">
      <c r="B207" s="18"/>
      <c r="C207" s="18"/>
      <c r="D207" s="18"/>
    </row>
    <row r="208">
      <c r="B208" s="18"/>
      <c r="C208" s="18"/>
      <c r="D208" s="18"/>
    </row>
    <row r="209">
      <c r="B209" s="18"/>
      <c r="C209" s="18"/>
      <c r="D209" s="18"/>
    </row>
    <row r="210">
      <c r="B210" s="18"/>
      <c r="C210" s="18"/>
      <c r="D210" s="18"/>
    </row>
    <row r="211">
      <c r="B211" s="18"/>
      <c r="C211" s="18"/>
      <c r="D211" s="18"/>
    </row>
    <row r="212">
      <c r="B212" s="18"/>
      <c r="C212" s="18"/>
      <c r="D212" s="18"/>
    </row>
    <row r="213">
      <c r="B213" s="18"/>
      <c r="C213" s="18"/>
      <c r="D213" s="18"/>
    </row>
    <row r="214">
      <c r="B214" s="18"/>
      <c r="C214" s="18"/>
      <c r="D214" s="18"/>
    </row>
    <row r="215">
      <c r="B215" s="18"/>
      <c r="C215" s="18"/>
      <c r="D215" s="18"/>
    </row>
    <row r="216">
      <c r="B216" s="18"/>
      <c r="C216" s="18"/>
      <c r="D216" s="18"/>
    </row>
    <row r="217">
      <c r="B217" s="18"/>
      <c r="C217" s="18"/>
      <c r="D217" s="18"/>
    </row>
    <row r="218">
      <c r="B218" s="18"/>
      <c r="C218" s="18"/>
      <c r="D218" s="18"/>
    </row>
    <row r="219">
      <c r="B219" s="18"/>
      <c r="C219" s="18"/>
      <c r="D219" s="18"/>
    </row>
    <row r="220">
      <c r="B220" s="18"/>
      <c r="C220" s="18"/>
      <c r="D220" s="18"/>
    </row>
    <row r="221">
      <c r="B221" s="18"/>
      <c r="C221" s="18"/>
      <c r="D221" s="18"/>
    </row>
    <row r="222">
      <c r="B222" s="18"/>
      <c r="C222" s="18"/>
      <c r="D222" s="18"/>
    </row>
    <row r="223">
      <c r="B223" s="18"/>
      <c r="C223" s="18"/>
      <c r="D223" s="18"/>
    </row>
    <row r="224">
      <c r="B224" s="18"/>
      <c r="C224" s="18"/>
      <c r="D224" s="18"/>
    </row>
    <row r="225">
      <c r="B225" s="18"/>
      <c r="C225" s="18"/>
      <c r="D225" s="18"/>
    </row>
    <row r="226">
      <c r="B226" s="18"/>
      <c r="C226" s="18"/>
      <c r="D226" s="18"/>
    </row>
    <row r="227">
      <c r="B227" s="18"/>
      <c r="C227" s="18"/>
      <c r="D227" s="18"/>
    </row>
    <row r="228">
      <c r="B228" s="18"/>
      <c r="C228" s="18"/>
      <c r="D228" s="18"/>
    </row>
    <row r="229">
      <c r="B229" s="18"/>
      <c r="C229" s="18"/>
      <c r="D229" s="18"/>
    </row>
    <row r="230">
      <c r="B230" s="18"/>
      <c r="C230" s="18"/>
      <c r="D230" s="18"/>
    </row>
    <row r="231">
      <c r="B231" s="18"/>
      <c r="C231" s="18"/>
      <c r="D231" s="18"/>
    </row>
    <row r="232">
      <c r="B232" s="18"/>
      <c r="C232" s="18"/>
      <c r="D232" s="18"/>
    </row>
    <row r="233">
      <c r="B233" s="18"/>
      <c r="C233" s="18"/>
      <c r="D233" s="18"/>
    </row>
    <row r="234">
      <c r="B234" s="18"/>
      <c r="C234" s="18"/>
      <c r="D234" s="18"/>
    </row>
    <row r="235">
      <c r="B235" s="18"/>
      <c r="C235" s="18"/>
      <c r="D235" s="18"/>
    </row>
    <row r="236">
      <c r="B236" s="18"/>
      <c r="C236" s="18"/>
      <c r="D236" s="18"/>
    </row>
    <row r="237">
      <c r="B237" s="18"/>
      <c r="C237" s="18"/>
      <c r="D237" s="18"/>
    </row>
    <row r="238">
      <c r="B238" s="18"/>
      <c r="C238" s="18"/>
      <c r="D238" s="18"/>
    </row>
    <row r="239">
      <c r="B239" s="18"/>
      <c r="C239" s="18"/>
      <c r="D239" s="18"/>
    </row>
    <row r="240">
      <c r="B240" s="18"/>
      <c r="C240" s="18"/>
      <c r="D240" s="18"/>
    </row>
    <row r="241">
      <c r="B241" s="18"/>
      <c r="C241" s="18"/>
      <c r="D241" s="18"/>
    </row>
    <row r="242">
      <c r="B242" s="18"/>
      <c r="C242" s="18"/>
      <c r="D242" s="18"/>
    </row>
    <row r="243">
      <c r="B243" s="18"/>
      <c r="C243" s="18"/>
      <c r="D243" s="18"/>
    </row>
    <row r="244">
      <c r="B244" s="18"/>
      <c r="C244" s="18"/>
      <c r="D244" s="18"/>
    </row>
    <row r="245">
      <c r="B245" s="18"/>
      <c r="C245" s="18"/>
      <c r="D245" s="18"/>
    </row>
    <row r="246">
      <c r="B246" s="18"/>
      <c r="C246" s="18"/>
      <c r="D246" s="18"/>
    </row>
    <row r="247">
      <c r="B247" s="18"/>
      <c r="C247" s="18"/>
      <c r="D247" s="18"/>
    </row>
    <row r="248">
      <c r="B248" s="18"/>
      <c r="C248" s="18"/>
      <c r="D248" s="18"/>
    </row>
    <row r="249">
      <c r="B249" s="18"/>
      <c r="C249" s="18"/>
      <c r="D249" s="18"/>
    </row>
    <row r="250">
      <c r="B250" s="18"/>
      <c r="C250" s="18"/>
      <c r="D250" s="18"/>
    </row>
    <row r="251">
      <c r="B251" s="18"/>
      <c r="C251" s="18"/>
      <c r="D251" s="18"/>
    </row>
    <row r="252">
      <c r="B252" s="18"/>
      <c r="C252" s="18"/>
      <c r="D252" s="18"/>
    </row>
    <row r="253">
      <c r="B253" s="18"/>
      <c r="C253" s="18"/>
      <c r="D253" s="18"/>
    </row>
    <row r="254">
      <c r="B254" s="18"/>
      <c r="C254" s="18"/>
      <c r="D254" s="18"/>
    </row>
    <row r="255">
      <c r="B255" s="18"/>
      <c r="C255" s="18"/>
      <c r="D255" s="18"/>
    </row>
    <row r="256">
      <c r="B256" s="18"/>
      <c r="C256" s="18"/>
      <c r="D256" s="18"/>
    </row>
    <row r="257">
      <c r="B257" s="18"/>
      <c r="C257" s="18"/>
      <c r="D257" s="18"/>
    </row>
    <row r="258">
      <c r="B258" s="18"/>
      <c r="C258" s="18"/>
      <c r="D258" s="18"/>
    </row>
    <row r="259">
      <c r="B259" s="18"/>
      <c r="C259" s="18"/>
      <c r="D259" s="18"/>
    </row>
    <row r="260">
      <c r="B260" s="18"/>
      <c r="C260" s="18"/>
      <c r="D260" s="18"/>
    </row>
    <row r="261">
      <c r="B261" s="18"/>
      <c r="C261" s="18"/>
      <c r="D261" s="18"/>
    </row>
    <row r="262">
      <c r="B262" s="18"/>
      <c r="C262" s="18"/>
      <c r="D262" s="18"/>
    </row>
    <row r="263">
      <c r="B263" s="18"/>
      <c r="C263" s="18"/>
      <c r="D263" s="18"/>
    </row>
    <row r="264">
      <c r="B264" s="18"/>
      <c r="C264" s="18"/>
      <c r="D264" s="18"/>
    </row>
    <row r="265">
      <c r="B265" s="18"/>
      <c r="C265" s="18"/>
      <c r="D265" s="18"/>
    </row>
    <row r="266">
      <c r="B266" s="18"/>
      <c r="C266" s="18"/>
      <c r="D266" s="18"/>
    </row>
    <row r="267">
      <c r="B267" s="18"/>
      <c r="C267" s="18"/>
      <c r="D267" s="18"/>
    </row>
    <row r="268">
      <c r="B268" s="18"/>
      <c r="C268" s="18"/>
      <c r="D268" s="18"/>
    </row>
    <row r="269">
      <c r="B269" s="18"/>
      <c r="C269" s="18"/>
      <c r="D269" s="18"/>
    </row>
    <row r="270">
      <c r="B270" s="18"/>
      <c r="C270" s="18"/>
      <c r="D270" s="18"/>
    </row>
    <row r="271">
      <c r="B271" s="18"/>
      <c r="C271" s="18"/>
      <c r="D271" s="18"/>
    </row>
    <row r="272">
      <c r="B272" s="18"/>
      <c r="C272" s="18"/>
      <c r="D272" s="18"/>
    </row>
    <row r="273">
      <c r="B273" s="18"/>
      <c r="C273" s="18"/>
      <c r="D273" s="18"/>
    </row>
    <row r="274">
      <c r="B274" s="18"/>
      <c r="C274" s="18"/>
      <c r="D274" s="18"/>
    </row>
    <row r="275">
      <c r="B275" s="18"/>
      <c r="C275" s="18"/>
      <c r="D275" s="18"/>
    </row>
    <row r="276">
      <c r="B276" s="18"/>
      <c r="C276" s="18"/>
      <c r="D276" s="18"/>
    </row>
    <row r="277">
      <c r="B277" s="18"/>
      <c r="C277" s="18"/>
      <c r="D277" s="18"/>
    </row>
    <row r="278">
      <c r="B278" s="18"/>
      <c r="C278" s="18"/>
      <c r="D278" s="18"/>
    </row>
    <row r="279">
      <c r="B279" s="18"/>
      <c r="C279" s="18"/>
      <c r="D279" s="18"/>
    </row>
    <row r="280">
      <c r="B280" s="18"/>
      <c r="C280" s="18"/>
      <c r="D280" s="18"/>
    </row>
    <row r="281">
      <c r="B281" s="18"/>
      <c r="C281" s="18"/>
      <c r="D281" s="18"/>
    </row>
    <row r="282">
      <c r="B282" s="18"/>
      <c r="C282" s="18"/>
      <c r="D282" s="18"/>
    </row>
    <row r="283">
      <c r="B283" s="18"/>
      <c r="C283" s="18"/>
      <c r="D283" s="18"/>
    </row>
    <row r="284">
      <c r="B284" s="18"/>
      <c r="C284" s="18"/>
      <c r="D284" s="18"/>
    </row>
    <row r="285">
      <c r="B285" s="18"/>
      <c r="C285" s="18"/>
      <c r="D285" s="18"/>
    </row>
    <row r="286">
      <c r="B286" s="18"/>
      <c r="C286" s="18"/>
      <c r="D286" s="18"/>
    </row>
    <row r="287">
      <c r="B287" s="18"/>
      <c r="C287" s="18"/>
      <c r="D287" s="18"/>
    </row>
    <row r="288">
      <c r="B288" s="18"/>
      <c r="C288" s="18"/>
      <c r="D288" s="18"/>
    </row>
    <row r="289">
      <c r="B289" s="18"/>
      <c r="C289" s="18"/>
      <c r="D289" s="18"/>
    </row>
    <row r="290">
      <c r="B290" s="18"/>
      <c r="C290" s="18"/>
      <c r="D290" s="18"/>
    </row>
    <row r="291">
      <c r="B291" s="18"/>
      <c r="C291" s="18"/>
      <c r="D291" s="18"/>
    </row>
    <row r="292">
      <c r="B292" s="18"/>
      <c r="C292" s="18"/>
      <c r="D292" s="18"/>
    </row>
    <row r="293">
      <c r="B293" s="18"/>
      <c r="C293" s="18"/>
      <c r="D293" s="18"/>
    </row>
    <row r="294">
      <c r="B294" s="18"/>
      <c r="C294" s="18"/>
      <c r="D294" s="18"/>
    </row>
    <row r="295">
      <c r="B295" s="18"/>
      <c r="C295" s="18"/>
      <c r="D295" s="18"/>
    </row>
    <row r="296">
      <c r="B296" s="18"/>
      <c r="C296" s="18"/>
      <c r="D296" s="18"/>
    </row>
    <row r="297">
      <c r="B297" s="18"/>
      <c r="C297" s="18"/>
      <c r="D297" s="18"/>
    </row>
    <row r="298">
      <c r="B298" s="18"/>
      <c r="C298" s="18"/>
      <c r="D298" s="18"/>
    </row>
    <row r="299">
      <c r="B299" s="18"/>
      <c r="C299" s="18"/>
      <c r="D299" s="18"/>
    </row>
    <row r="300">
      <c r="B300" s="18"/>
      <c r="C300" s="18"/>
      <c r="D300" s="18"/>
    </row>
    <row r="301">
      <c r="B301" s="18"/>
      <c r="C301" s="18"/>
      <c r="D301" s="18"/>
    </row>
    <row r="302">
      <c r="B302" s="18"/>
      <c r="C302" s="18"/>
      <c r="D302" s="18"/>
    </row>
    <row r="303">
      <c r="B303" s="18"/>
      <c r="C303" s="18"/>
      <c r="D303" s="18"/>
    </row>
    <row r="304">
      <c r="B304" s="18"/>
      <c r="C304" s="18"/>
      <c r="D304" s="18"/>
    </row>
    <row r="305">
      <c r="B305" s="18"/>
      <c r="C305" s="18"/>
      <c r="D305" s="18"/>
    </row>
    <row r="306">
      <c r="B306" s="18"/>
      <c r="C306" s="18"/>
      <c r="D306" s="18"/>
    </row>
    <row r="307">
      <c r="B307" s="18"/>
      <c r="C307" s="18"/>
      <c r="D307" s="18"/>
    </row>
    <row r="308">
      <c r="B308" s="18"/>
      <c r="C308" s="18"/>
      <c r="D308" s="18"/>
    </row>
    <row r="309">
      <c r="B309" s="18"/>
      <c r="C309" s="18"/>
      <c r="D309" s="18"/>
    </row>
    <row r="310">
      <c r="B310" s="18"/>
      <c r="C310" s="18"/>
      <c r="D310" s="18"/>
    </row>
    <row r="311">
      <c r="B311" s="18"/>
      <c r="C311" s="18"/>
      <c r="D311" s="18"/>
    </row>
    <row r="312">
      <c r="B312" s="18"/>
      <c r="C312" s="18"/>
      <c r="D312" s="18"/>
    </row>
    <row r="313">
      <c r="B313" s="18"/>
      <c r="C313" s="18"/>
      <c r="D313" s="18"/>
    </row>
    <row r="314">
      <c r="B314" s="18"/>
      <c r="C314" s="18"/>
      <c r="D314" s="18"/>
    </row>
    <row r="315">
      <c r="B315" s="18"/>
      <c r="C315" s="18"/>
      <c r="D315" s="18"/>
    </row>
    <row r="316">
      <c r="B316" s="18"/>
      <c r="C316" s="18"/>
      <c r="D316" s="18"/>
    </row>
    <row r="317">
      <c r="B317" s="18"/>
      <c r="C317" s="18"/>
      <c r="D317" s="18"/>
    </row>
    <row r="318">
      <c r="B318" s="18"/>
      <c r="C318" s="18"/>
      <c r="D318" s="18"/>
    </row>
    <row r="319">
      <c r="B319" s="18"/>
      <c r="C319" s="18"/>
      <c r="D319" s="18"/>
    </row>
    <row r="320">
      <c r="B320" s="18"/>
      <c r="C320" s="18"/>
      <c r="D320" s="18"/>
    </row>
    <row r="321">
      <c r="B321" s="18"/>
      <c r="C321" s="18"/>
      <c r="D321" s="18"/>
    </row>
    <row r="322">
      <c r="B322" s="18"/>
      <c r="C322" s="18"/>
      <c r="D322" s="18"/>
    </row>
    <row r="323">
      <c r="B323" s="18"/>
      <c r="C323" s="18"/>
      <c r="D323" s="18"/>
    </row>
    <row r="324">
      <c r="B324" s="18"/>
      <c r="C324" s="18"/>
      <c r="D324" s="18"/>
    </row>
    <row r="325">
      <c r="B325" s="18"/>
      <c r="C325" s="18"/>
      <c r="D325" s="18"/>
    </row>
    <row r="326">
      <c r="B326" s="18"/>
      <c r="C326" s="18"/>
      <c r="D326" s="18"/>
    </row>
    <row r="327">
      <c r="B327" s="18"/>
      <c r="C327" s="18"/>
      <c r="D327" s="18"/>
    </row>
    <row r="328">
      <c r="B328" s="18"/>
      <c r="C328" s="18"/>
      <c r="D328" s="18"/>
    </row>
    <row r="329">
      <c r="B329" s="18"/>
      <c r="C329" s="18"/>
      <c r="D329" s="18"/>
    </row>
    <row r="330">
      <c r="B330" s="18"/>
      <c r="C330" s="18"/>
      <c r="D330" s="18"/>
    </row>
    <row r="331">
      <c r="B331" s="18"/>
      <c r="C331" s="18"/>
      <c r="D331" s="18"/>
    </row>
    <row r="332">
      <c r="B332" s="18"/>
      <c r="C332" s="18"/>
      <c r="D332" s="18"/>
    </row>
    <row r="333">
      <c r="B333" s="18"/>
      <c r="C333" s="18"/>
      <c r="D333" s="18"/>
    </row>
    <row r="334">
      <c r="B334" s="18"/>
      <c r="C334" s="18"/>
      <c r="D334" s="18"/>
    </row>
    <row r="335">
      <c r="B335" s="18"/>
      <c r="C335" s="18"/>
      <c r="D335" s="18"/>
    </row>
    <row r="336">
      <c r="B336" s="18"/>
      <c r="C336" s="18"/>
      <c r="D336" s="18"/>
    </row>
    <row r="337">
      <c r="B337" s="18"/>
      <c r="C337" s="18"/>
      <c r="D337" s="18"/>
    </row>
    <row r="338">
      <c r="B338" s="18"/>
      <c r="C338" s="18"/>
      <c r="D338" s="18"/>
    </row>
    <row r="339">
      <c r="B339" s="18"/>
      <c r="C339" s="18"/>
      <c r="D339" s="18"/>
    </row>
    <row r="340">
      <c r="B340" s="18"/>
      <c r="C340" s="18"/>
      <c r="D340" s="18"/>
    </row>
    <row r="341">
      <c r="B341" s="18"/>
      <c r="C341" s="18"/>
      <c r="D341" s="18"/>
    </row>
    <row r="342">
      <c r="B342" s="18"/>
      <c r="C342" s="18"/>
      <c r="D342" s="18"/>
    </row>
    <row r="343">
      <c r="B343" s="18"/>
      <c r="C343" s="18"/>
      <c r="D343" s="18"/>
    </row>
    <row r="344">
      <c r="B344" s="18"/>
      <c r="C344" s="18"/>
      <c r="D344" s="18"/>
    </row>
    <row r="345">
      <c r="B345" s="18"/>
      <c r="C345" s="18"/>
      <c r="D345" s="18"/>
    </row>
    <row r="346">
      <c r="B346" s="18"/>
      <c r="C346" s="18"/>
      <c r="D346" s="18"/>
    </row>
    <row r="347">
      <c r="B347" s="18"/>
      <c r="C347" s="18"/>
      <c r="D347" s="18"/>
    </row>
    <row r="348">
      <c r="B348" s="18"/>
      <c r="C348" s="18"/>
      <c r="D348" s="18"/>
    </row>
    <row r="349">
      <c r="B349" s="18"/>
      <c r="C349" s="18"/>
      <c r="D349" s="18"/>
    </row>
    <row r="350">
      <c r="B350" s="18"/>
      <c r="C350" s="18"/>
      <c r="D350" s="18"/>
    </row>
    <row r="351">
      <c r="B351" s="18"/>
      <c r="C351" s="18"/>
      <c r="D351" s="18"/>
    </row>
    <row r="352">
      <c r="B352" s="18"/>
      <c r="C352" s="18"/>
      <c r="D352" s="18"/>
    </row>
    <row r="353">
      <c r="B353" s="18"/>
      <c r="C353" s="18"/>
      <c r="D353" s="18"/>
    </row>
    <row r="354">
      <c r="B354" s="18"/>
      <c r="C354" s="18"/>
      <c r="D354" s="18"/>
    </row>
    <row r="355">
      <c r="B355" s="18"/>
      <c r="C355" s="18"/>
      <c r="D355" s="18"/>
    </row>
    <row r="356">
      <c r="B356" s="18"/>
      <c r="C356" s="18"/>
      <c r="D356" s="18"/>
    </row>
    <row r="357">
      <c r="B357" s="18"/>
      <c r="C357" s="18"/>
      <c r="D357" s="18"/>
    </row>
    <row r="358">
      <c r="B358" s="18"/>
      <c r="C358" s="18"/>
      <c r="D358" s="18"/>
    </row>
    <row r="359">
      <c r="B359" s="18"/>
      <c r="C359" s="18"/>
      <c r="D359" s="18"/>
    </row>
    <row r="360">
      <c r="B360" s="18"/>
      <c r="C360" s="18"/>
      <c r="D360" s="18"/>
    </row>
    <row r="361">
      <c r="B361" s="18"/>
      <c r="C361" s="18"/>
      <c r="D361" s="18"/>
    </row>
    <row r="362">
      <c r="B362" s="18"/>
      <c r="C362" s="18"/>
      <c r="D362" s="18"/>
    </row>
    <row r="363">
      <c r="B363" s="18"/>
      <c r="C363" s="18"/>
      <c r="D363" s="18"/>
    </row>
    <row r="364">
      <c r="B364" s="18"/>
      <c r="C364" s="18"/>
      <c r="D364" s="18"/>
    </row>
    <row r="365">
      <c r="B365" s="18"/>
      <c r="C365" s="18"/>
      <c r="D365" s="18"/>
    </row>
    <row r="366">
      <c r="B366" s="18"/>
      <c r="C366" s="18"/>
      <c r="D366" s="18"/>
    </row>
    <row r="367">
      <c r="B367" s="18"/>
      <c r="C367" s="18"/>
      <c r="D367" s="18"/>
    </row>
    <row r="368">
      <c r="B368" s="18"/>
      <c r="C368" s="18"/>
      <c r="D368" s="18"/>
    </row>
    <row r="369">
      <c r="B369" s="18"/>
      <c r="C369" s="18"/>
      <c r="D369" s="18"/>
    </row>
    <row r="370">
      <c r="B370" s="18"/>
      <c r="C370" s="18"/>
      <c r="D370" s="18"/>
    </row>
    <row r="371">
      <c r="B371" s="18"/>
      <c r="C371" s="18"/>
      <c r="D371" s="18"/>
    </row>
    <row r="372">
      <c r="B372" s="18"/>
      <c r="C372" s="18"/>
      <c r="D372" s="18"/>
    </row>
    <row r="373">
      <c r="B373" s="18"/>
      <c r="C373" s="18"/>
      <c r="D373" s="18"/>
    </row>
    <row r="374">
      <c r="B374" s="18"/>
      <c r="C374" s="18"/>
      <c r="D374" s="18"/>
    </row>
    <row r="375">
      <c r="B375" s="18"/>
      <c r="C375" s="18"/>
      <c r="D375" s="18"/>
    </row>
    <row r="376">
      <c r="B376" s="18"/>
      <c r="C376" s="18"/>
      <c r="D376" s="18"/>
    </row>
    <row r="377">
      <c r="B377" s="18"/>
      <c r="C377" s="18"/>
      <c r="D377" s="18"/>
    </row>
    <row r="378">
      <c r="B378" s="18"/>
      <c r="C378" s="18"/>
      <c r="D378" s="18"/>
    </row>
    <row r="379">
      <c r="B379" s="18"/>
      <c r="C379" s="18"/>
      <c r="D379" s="18"/>
    </row>
    <row r="380">
      <c r="B380" s="18"/>
      <c r="C380" s="18"/>
      <c r="D380" s="18"/>
    </row>
    <row r="381">
      <c r="B381" s="18"/>
      <c r="C381" s="18"/>
      <c r="D381" s="18"/>
    </row>
    <row r="382">
      <c r="B382" s="18"/>
      <c r="C382" s="18"/>
      <c r="D382" s="18"/>
    </row>
    <row r="383">
      <c r="B383" s="18"/>
      <c r="C383" s="18"/>
      <c r="D383" s="18"/>
    </row>
    <row r="384">
      <c r="B384" s="18"/>
      <c r="C384" s="18"/>
      <c r="D384" s="18"/>
    </row>
    <row r="385">
      <c r="B385" s="18"/>
      <c r="C385" s="18"/>
      <c r="D385" s="18"/>
    </row>
    <row r="386">
      <c r="B386" s="18"/>
      <c r="C386" s="18"/>
      <c r="D386" s="18"/>
    </row>
    <row r="387">
      <c r="B387" s="18"/>
      <c r="C387" s="18"/>
      <c r="D387" s="18"/>
    </row>
    <row r="388">
      <c r="B388" s="18"/>
      <c r="C388" s="18"/>
      <c r="D388" s="18"/>
    </row>
    <row r="389">
      <c r="B389" s="18"/>
      <c r="C389" s="18"/>
      <c r="D389" s="18"/>
    </row>
    <row r="390">
      <c r="B390" s="18"/>
      <c r="C390" s="18"/>
      <c r="D390" s="18"/>
    </row>
    <row r="391">
      <c r="B391" s="18"/>
      <c r="C391" s="18"/>
      <c r="D391" s="18"/>
    </row>
    <row r="392">
      <c r="B392" s="18"/>
      <c r="C392" s="18"/>
      <c r="D392" s="18"/>
    </row>
    <row r="393">
      <c r="B393" s="18"/>
      <c r="C393" s="18"/>
      <c r="D393" s="18"/>
    </row>
    <row r="394">
      <c r="B394" s="18"/>
      <c r="C394" s="18"/>
      <c r="D394" s="18"/>
    </row>
    <row r="395">
      <c r="B395" s="18"/>
      <c r="C395" s="18"/>
      <c r="D395" s="18"/>
    </row>
    <row r="396">
      <c r="B396" s="18"/>
      <c r="C396" s="18"/>
      <c r="D396" s="18"/>
    </row>
    <row r="397">
      <c r="B397" s="18"/>
      <c r="C397" s="18"/>
      <c r="D397" s="18"/>
    </row>
    <row r="398">
      <c r="B398" s="18"/>
      <c r="C398" s="18"/>
      <c r="D398" s="18"/>
    </row>
    <row r="399">
      <c r="B399" s="18"/>
      <c r="C399" s="18"/>
      <c r="D399" s="18"/>
    </row>
    <row r="400">
      <c r="B400" s="18"/>
      <c r="C400" s="18"/>
      <c r="D400" s="18"/>
    </row>
    <row r="401">
      <c r="B401" s="18"/>
      <c r="C401" s="18"/>
      <c r="D401" s="18"/>
    </row>
    <row r="402">
      <c r="B402" s="18"/>
      <c r="C402" s="18"/>
      <c r="D402" s="18"/>
    </row>
    <row r="403">
      <c r="B403" s="18"/>
      <c r="C403" s="18"/>
      <c r="D403" s="18"/>
    </row>
    <row r="404">
      <c r="B404" s="18"/>
      <c r="C404" s="18"/>
      <c r="D404" s="18"/>
    </row>
    <row r="405">
      <c r="B405" s="18"/>
      <c r="C405" s="18"/>
      <c r="D405" s="18"/>
    </row>
    <row r="406">
      <c r="B406" s="18"/>
      <c r="C406" s="18"/>
      <c r="D406" s="18"/>
    </row>
    <row r="407">
      <c r="B407" s="18"/>
      <c r="C407" s="18"/>
      <c r="D407" s="18"/>
    </row>
    <row r="408">
      <c r="B408" s="18"/>
      <c r="C408" s="18"/>
      <c r="D408" s="18"/>
    </row>
    <row r="409">
      <c r="B409" s="18"/>
      <c r="C409" s="18"/>
      <c r="D409" s="18"/>
    </row>
    <row r="410">
      <c r="B410" s="18"/>
      <c r="C410" s="18"/>
      <c r="D410" s="18"/>
    </row>
    <row r="411">
      <c r="B411" s="18"/>
      <c r="C411" s="18"/>
      <c r="D411" s="18"/>
    </row>
    <row r="412">
      <c r="B412" s="18"/>
      <c r="C412" s="18"/>
      <c r="D412" s="18"/>
    </row>
    <row r="413">
      <c r="B413" s="18"/>
      <c r="C413" s="18"/>
      <c r="D413" s="18"/>
    </row>
    <row r="414">
      <c r="B414" s="18"/>
      <c r="C414" s="18"/>
      <c r="D414" s="18"/>
    </row>
    <row r="415">
      <c r="B415" s="18"/>
      <c r="C415" s="18"/>
      <c r="D415" s="18"/>
    </row>
    <row r="416">
      <c r="B416" s="18"/>
      <c r="C416" s="18"/>
      <c r="D416" s="18"/>
    </row>
    <row r="417">
      <c r="B417" s="18"/>
      <c r="C417" s="18"/>
      <c r="D417" s="18"/>
    </row>
    <row r="418">
      <c r="B418" s="18"/>
      <c r="C418" s="18"/>
      <c r="D418" s="18"/>
    </row>
    <row r="419">
      <c r="B419" s="18"/>
      <c r="C419" s="18"/>
      <c r="D419" s="18"/>
    </row>
    <row r="420">
      <c r="B420" s="18"/>
      <c r="C420" s="18"/>
      <c r="D420" s="18"/>
    </row>
    <row r="421">
      <c r="B421" s="18"/>
      <c r="C421" s="18"/>
      <c r="D421" s="18"/>
    </row>
    <row r="422">
      <c r="B422" s="18"/>
      <c r="C422" s="18"/>
      <c r="D422" s="18"/>
    </row>
    <row r="423">
      <c r="B423" s="18"/>
      <c r="C423" s="18"/>
      <c r="D423" s="18"/>
    </row>
    <row r="424">
      <c r="B424" s="18"/>
      <c r="C424" s="18"/>
      <c r="D424" s="18"/>
    </row>
    <row r="425">
      <c r="B425" s="18"/>
      <c r="C425" s="18"/>
      <c r="D425" s="18"/>
    </row>
    <row r="426">
      <c r="B426" s="18"/>
      <c r="C426" s="18"/>
      <c r="D426" s="18"/>
    </row>
    <row r="427">
      <c r="B427" s="18"/>
      <c r="C427" s="18"/>
      <c r="D427" s="18"/>
    </row>
    <row r="428">
      <c r="B428" s="18"/>
      <c r="C428" s="18"/>
      <c r="D428" s="18"/>
    </row>
    <row r="429">
      <c r="B429" s="18"/>
      <c r="C429" s="18"/>
      <c r="D429" s="18"/>
    </row>
    <row r="430">
      <c r="B430" s="18"/>
      <c r="C430" s="18"/>
      <c r="D430" s="18"/>
    </row>
    <row r="431">
      <c r="B431" s="18"/>
      <c r="C431" s="18"/>
      <c r="D431" s="18"/>
    </row>
    <row r="432">
      <c r="B432" s="18"/>
      <c r="C432" s="18"/>
      <c r="D432" s="18"/>
    </row>
    <row r="433">
      <c r="B433" s="18"/>
      <c r="C433" s="18"/>
      <c r="D433" s="18"/>
    </row>
    <row r="434">
      <c r="B434" s="18"/>
      <c r="C434" s="18"/>
      <c r="D434" s="18"/>
    </row>
    <row r="435">
      <c r="B435" s="18"/>
      <c r="C435" s="18"/>
      <c r="D435" s="18"/>
    </row>
    <row r="436">
      <c r="B436" s="18"/>
      <c r="C436" s="18"/>
      <c r="D436" s="18"/>
    </row>
    <row r="437">
      <c r="B437" s="18"/>
      <c r="C437" s="18"/>
      <c r="D437" s="18"/>
    </row>
    <row r="438">
      <c r="B438" s="18"/>
      <c r="C438" s="18"/>
      <c r="D438" s="18"/>
    </row>
    <row r="439">
      <c r="B439" s="18"/>
      <c r="C439" s="18"/>
      <c r="D439" s="18"/>
    </row>
    <row r="440">
      <c r="B440" s="18"/>
      <c r="C440" s="18"/>
      <c r="D440" s="18"/>
    </row>
    <row r="441">
      <c r="B441" s="18"/>
      <c r="C441" s="18"/>
      <c r="D441" s="18"/>
    </row>
    <row r="442">
      <c r="B442" s="18"/>
      <c r="C442" s="18"/>
      <c r="D442" s="18"/>
    </row>
    <row r="443">
      <c r="B443" s="18"/>
      <c r="C443" s="18"/>
      <c r="D443" s="18"/>
    </row>
    <row r="444">
      <c r="B444" s="18"/>
      <c r="C444" s="18"/>
      <c r="D444" s="18"/>
    </row>
    <row r="445">
      <c r="B445" s="18"/>
      <c r="C445" s="18"/>
      <c r="D445" s="18"/>
    </row>
    <row r="446">
      <c r="B446" s="18"/>
      <c r="C446" s="18"/>
      <c r="D446" s="18"/>
    </row>
    <row r="447">
      <c r="B447" s="18"/>
      <c r="C447" s="18"/>
      <c r="D447" s="18"/>
    </row>
    <row r="448">
      <c r="B448" s="18"/>
      <c r="C448" s="18"/>
      <c r="D448" s="18"/>
    </row>
    <row r="449">
      <c r="B449" s="18"/>
      <c r="C449" s="18"/>
      <c r="D449" s="18"/>
    </row>
    <row r="450">
      <c r="B450" s="18"/>
      <c r="C450" s="18"/>
      <c r="D450" s="18"/>
    </row>
    <row r="451">
      <c r="B451" s="18"/>
      <c r="C451" s="18"/>
      <c r="D451" s="18"/>
    </row>
    <row r="452">
      <c r="B452" s="18"/>
      <c r="C452" s="18"/>
      <c r="D452" s="18"/>
    </row>
    <row r="453">
      <c r="B453" s="18"/>
      <c r="C453" s="18"/>
      <c r="D453" s="18"/>
    </row>
    <row r="454">
      <c r="B454" s="18"/>
      <c r="C454" s="18"/>
      <c r="D454" s="18"/>
    </row>
    <row r="455">
      <c r="B455" s="18"/>
      <c r="C455" s="18"/>
      <c r="D455" s="18"/>
    </row>
    <row r="456">
      <c r="B456" s="18"/>
      <c r="C456" s="18"/>
      <c r="D456" s="18"/>
    </row>
    <row r="457">
      <c r="B457" s="18"/>
      <c r="C457" s="18"/>
      <c r="D457" s="18"/>
    </row>
    <row r="458">
      <c r="B458" s="18"/>
      <c r="C458" s="18"/>
      <c r="D458" s="18"/>
    </row>
    <row r="459">
      <c r="B459" s="18"/>
      <c r="C459" s="18"/>
      <c r="D459" s="18"/>
    </row>
    <row r="460">
      <c r="B460" s="18"/>
      <c r="C460" s="18"/>
      <c r="D460" s="18"/>
    </row>
    <row r="461">
      <c r="B461" s="18"/>
      <c r="C461" s="18"/>
      <c r="D461" s="18"/>
    </row>
    <row r="462">
      <c r="B462" s="18"/>
      <c r="C462" s="18"/>
      <c r="D462" s="18"/>
    </row>
    <row r="463">
      <c r="B463" s="18"/>
      <c r="C463" s="18"/>
      <c r="D463" s="18"/>
    </row>
    <row r="464">
      <c r="B464" s="18"/>
      <c r="C464" s="18"/>
      <c r="D464" s="18"/>
    </row>
    <row r="465">
      <c r="B465" s="18"/>
      <c r="C465" s="18"/>
      <c r="D465" s="18"/>
    </row>
    <row r="466">
      <c r="B466" s="18"/>
      <c r="C466" s="18"/>
      <c r="D466" s="18"/>
    </row>
    <row r="467">
      <c r="B467" s="18"/>
      <c r="C467" s="18"/>
      <c r="D467" s="18"/>
    </row>
    <row r="468">
      <c r="B468" s="18"/>
      <c r="C468" s="18"/>
      <c r="D468" s="18"/>
    </row>
    <row r="469">
      <c r="B469" s="18"/>
      <c r="C469" s="18"/>
      <c r="D469" s="18"/>
    </row>
    <row r="470">
      <c r="B470" s="18"/>
      <c r="C470" s="18"/>
      <c r="D470" s="18"/>
    </row>
    <row r="471">
      <c r="B471" s="18"/>
      <c r="C471" s="18"/>
      <c r="D471" s="18"/>
    </row>
    <row r="472">
      <c r="B472" s="18"/>
      <c r="C472" s="18"/>
      <c r="D472" s="18"/>
    </row>
    <row r="473">
      <c r="B473" s="18"/>
      <c r="C473" s="18"/>
      <c r="D473" s="18"/>
    </row>
    <row r="474">
      <c r="B474" s="18"/>
      <c r="C474" s="18"/>
      <c r="D474" s="18"/>
    </row>
    <row r="475">
      <c r="B475" s="18"/>
      <c r="C475" s="18"/>
      <c r="D475" s="18"/>
    </row>
    <row r="476">
      <c r="B476" s="18"/>
      <c r="C476" s="18"/>
      <c r="D476" s="18"/>
    </row>
    <row r="477">
      <c r="B477" s="18"/>
      <c r="C477" s="18"/>
      <c r="D477" s="18"/>
    </row>
    <row r="478">
      <c r="B478" s="18"/>
      <c r="C478" s="18"/>
      <c r="D478" s="18"/>
    </row>
    <row r="479">
      <c r="B479" s="18"/>
      <c r="C479" s="18"/>
      <c r="D479" s="18"/>
    </row>
    <row r="480">
      <c r="B480" s="18"/>
      <c r="C480" s="18"/>
      <c r="D480" s="18"/>
    </row>
    <row r="481">
      <c r="B481" s="18"/>
      <c r="C481" s="18"/>
      <c r="D481" s="18"/>
    </row>
    <row r="482">
      <c r="B482" s="18"/>
      <c r="C482" s="18"/>
      <c r="D482" s="18"/>
    </row>
    <row r="483">
      <c r="B483" s="18"/>
      <c r="C483" s="18"/>
      <c r="D483" s="18"/>
    </row>
    <row r="484">
      <c r="B484" s="18"/>
      <c r="C484" s="18"/>
      <c r="D484" s="18"/>
    </row>
    <row r="485">
      <c r="B485" s="18"/>
      <c r="C485" s="18"/>
      <c r="D485" s="18"/>
    </row>
    <row r="486">
      <c r="B486" s="18"/>
      <c r="C486" s="18"/>
      <c r="D486" s="18"/>
    </row>
    <row r="487">
      <c r="B487" s="18"/>
      <c r="C487" s="18"/>
      <c r="D487" s="18"/>
    </row>
    <row r="488">
      <c r="B488" s="18"/>
      <c r="C488" s="18"/>
      <c r="D488" s="18"/>
    </row>
    <row r="489">
      <c r="B489" s="18"/>
      <c r="C489" s="18"/>
      <c r="D489" s="18"/>
    </row>
    <row r="490">
      <c r="B490" s="18"/>
      <c r="C490" s="18"/>
      <c r="D490" s="18"/>
    </row>
    <row r="491">
      <c r="B491" s="18"/>
      <c r="C491" s="18"/>
      <c r="D491" s="18"/>
    </row>
    <row r="492">
      <c r="B492" s="18"/>
      <c r="C492" s="18"/>
      <c r="D492" s="18"/>
    </row>
    <row r="493">
      <c r="B493" s="18"/>
      <c r="C493" s="18"/>
      <c r="D493" s="18"/>
    </row>
    <row r="494">
      <c r="B494" s="18"/>
      <c r="C494" s="18"/>
      <c r="D494" s="18"/>
    </row>
    <row r="495">
      <c r="B495" s="18"/>
      <c r="C495" s="18"/>
      <c r="D495" s="18"/>
    </row>
    <row r="496">
      <c r="B496" s="18"/>
      <c r="C496" s="18"/>
      <c r="D496" s="18"/>
    </row>
    <row r="497">
      <c r="B497" s="18"/>
      <c r="C497" s="18"/>
      <c r="D497" s="18"/>
    </row>
    <row r="498">
      <c r="B498" s="18"/>
      <c r="C498" s="18"/>
      <c r="D498" s="18"/>
    </row>
    <row r="499">
      <c r="B499" s="18"/>
      <c r="C499" s="18"/>
      <c r="D499" s="18"/>
    </row>
    <row r="500">
      <c r="B500" s="18"/>
      <c r="C500" s="18"/>
      <c r="D500" s="18"/>
    </row>
    <row r="501">
      <c r="B501" s="18"/>
      <c r="C501" s="18"/>
      <c r="D501" s="18"/>
    </row>
    <row r="502">
      <c r="B502" s="18"/>
      <c r="C502" s="18"/>
      <c r="D502" s="18"/>
    </row>
    <row r="503">
      <c r="B503" s="18"/>
      <c r="C503" s="18"/>
      <c r="D503" s="18"/>
    </row>
    <row r="504">
      <c r="B504" s="18"/>
      <c r="C504" s="18"/>
      <c r="D504" s="18"/>
    </row>
    <row r="505">
      <c r="B505" s="18"/>
      <c r="C505" s="18"/>
      <c r="D505" s="18"/>
    </row>
    <row r="506">
      <c r="B506" s="18"/>
      <c r="C506" s="18"/>
      <c r="D506" s="18"/>
    </row>
    <row r="507">
      <c r="B507" s="18"/>
      <c r="C507" s="18"/>
      <c r="D507" s="18"/>
    </row>
    <row r="508">
      <c r="B508" s="18"/>
      <c r="C508" s="18"/>
      <c r="D508" s="18"/>
    </row>
    <row r="509">
      <c r="B509" s="18"/>
      <c r="C509" s="18"/>
      <c r="D509" s="18"/>
    </row>
    <row r="510">
      <c r="B510" s="18"/>
      <c r="C510" s="18"/>
      <c r="D510" s="18"/>
    </row>
    <row r="511">
      <c r="B511" s="18"/>
      <c r="C511" s="18"/>
      <c r="D511" s="18"/>
    </row>
    <row r="512">
      <c r="B512" s="18"/>
      <c r="C512" s="18"/>
      <c r="D512" s="18"/>
    </row>
    <row r="513">
      <c r="B513" s="18"/>
      <c r="C513" s="18"/>
      <c r="D513" s="18"/>
    </row>
    <row r="514">
      <c r="B514" s="18"/>
      <c r="C514" s="18"/>
      <c r="D514" s="18"/>
    </row>
    <row r="515">
      <c r="B515" s="18"/>
      <c r="C515" s="18"/>
      <c r="D515" s="18"/>
    </row>
    <row r="516">
      <c r="B516" s="18"/>
      <c r="C516" s="18"/>
      <c r="D516" s="18"/>
    </row>
    <row r="517">
      <c r="B517" s="18"/>
      <c r="C517" s="18"/>
      <c r="D517" s="18"/>
    </row>
    <row r="518">
      <c r="B518" s="18"/>
      <c r="C518" s="18"/>
      <c r="D518" s="18"/>
    </row>
    <row r="519">
      <c r="B519" s="18"/>
      <c r="C519" s="18"/>
      <c r="D519" s="18"/>
    </row>
    <row r="520">
      <c r="B520" s="18"/>
      <c r="C520" s="18"/>
      <c r="D520" s="18"/>
    </row>
    <row r="521">
      <c r="B521" s="18"/>
      <c r="C521" s="18"/>
      <c r="D521" s="18"/>
    </row>
    <row r="522">
      <c r="B522" s="18"/>
      <c r="C522" s="18"/>
      <c r="D522" s="18"/>
    </row>
    <row r="523">
      <c r="B523" s="18"/>
      <c r="C523" s="18"/>
      <c r="D523" s="18"/>
    </row>
    <row r="524">
      <c r="B524" s="18"/>
      <c r="C524" s="18"/>
      <c r="D524" s="18"/>
    </row>
    <row r="525">
      <c r="B525" s="18"/>
      <c r="C525" s="18"/>
      <c r="D525" s="18"/>
    </row>
    <row r="526">
      <c r="B526" s="18"/>
      <c r="C526" s="18"/>
      <c r="D526" s="18"/>
    </row>
    <row r="527">
      <c r="B527" s="18"/>
      <c r="C527" s="18"/>
      <c r="D527" s="18"/>
    </row>
    <row r="528">
      <c r="B528" s="18"/>
      <c r="C528" s="18"/>
      <c r="D528" s="18"/>
    </row>
    <row r="529">
      <c r="B529" s="18"/>
      <c r="C529" s="18"/>
      <c r="D529" s="18"/>
    </row>
    <row r="530">
      <c r="B530" s="18"/>
      <c r="C530" s="18"/>
      <c r="D530" s="18"/>
    </row>
    <row r="531">
      <c r="B531" s="18"/>
      <c r="C531" s="18"/>
      <c r="D531" s="18"/>
    </row>
    <row r="532">
      <c r="B532" s="18"/>
      <c r="C532" s="18"/>
      <c r="D532" s="18"/>
    </row>
    <row r="533">
      <c r="B533" s="18"/>
      <c r="C533" s="18"/>
      <c r="D533" s="18"/>
    </row>
    <row r="534">
      <c r="B534" s="18"/>
      <c r="C534" s="18"/>
      <c r="D534" s="18"/>
    </row>
    <row r="535">
      <c r="B535" s="18"/>
      <c r="C535" s="18"/>
      <c r="D535" s="18"/>
    </row>
    <row r="536">
      <c r="B536" s="18"/>
      <c r="C536" s="18"/>
      <c r="D536" s="18"/>
    </row>
    <row r="537">
      <c r="B537" s="18"/>
      <c r="C537" s="18"/>
      <c r="D537" s="18"/>
    </row>
    <row r="538">
      <c r="B538" s="18"/>
      <c r="C538" s="18"/>
      <c r="D538" s="18"/>
    </row>
    <row r="539">
      <c r="B539" s="18"/>
      <c r="C539" s="18"/>
      <c r="D539" s="18"/>
    </row>
    <row r="540">
      <c r="B540" s="18"/>
      <c r="C540" s="18"/>
      <c r="D540" s="18"/>
    </row>
    <row r="541">
      <c r="B541" s="18"/>
      <c r="C541" s="18"/>
      <c r="D541" s="18"/>
    </row>
    <row r="542">
      <c r="B542" s="18"/>
      <c r="C542" s="18"/>
      <c r="D542" s="18"/>
    </row>
    <row r="543">
      <c r="B543" s="18"/>
      <c r="C543" s="18"/>
      <c r="D543" s="18"/>
    </row>
    <row r="544">
      <c r="B544" s="18"/>
      <c r="C544" s="18"/>
      <c r="D544" s="18"/>
    </row>
    <row r="545">
      <c r="B545" s="18"/>
      <c r="C545" s="18"/>
      <c r="D545" s="18"/>
    </row>
    <row r="546">
      <c r="B546" s="18"/>
      <c r="C546" s="18"/>
      <c r="D546" s="18"/>
    </row>
    <row r="547">
      <c r="B547" s="18"/>
      <c r="C547" s="18"/>
      <c r="D547" s="18"/>
    </row>
    <row r="548">
      <c r="B548" s="18"/>
      <c r="C548" s="18"/>
      <c r="D548" s="18"/>
    </row>
    <row r="549">
      <c r="B549" s="18"/>
      <c r="C549" s="18"/>
      <c r="D549" s="18"/>
    </row>
    <row r="550">
      <c r="B550" s="18"/>
      <c r="C550" s="18"/>
      <c r="D550" s="18"/>
    </row>
    <row r="551">
      <c r="B551" s="18"/>
      <c r="C551" s="18"/>
      <c r="D551" s="18"/>
    </row>
    <row r="552">
      <c r="B552" s="18"/>
      <c r="C552" s="18"/>
      <c r="D552" s="18"/>
    </row>
    <row r="553">
      <c r="B553" s="18"/>
      <c r="C553" s="18"/>
      <c r="D553" s="18"/>
    </row>
    <row r="554">
      <c r="B554" s="18"/>
      <c r="C554" s="18"/>
      <c r="D554" s="18"/>
    </row>
    <row r="555">
      <c r="B555" s="18"/>
      <c r="C555" s="18"/>
      <c r="D555" s="18"/>
    </row>
    <row r="556">
      <c r="B556" s="18"/>
      <c r="C556" s="18"/>
      <c r="D556" s="18"/>
    </row>
    <row r="557">
      <c r="B557" s="18"/>
      <c r="C557" s="18"/>
      <c r="D557" s="18"/>
    </row>
    <row r="558">
      <c r="B558" s="18"/>
      <c r="C558" s="18"/>
      <c r="D558" s="18"/>
    </row>
    <row r="559">
      <c r="B559" s="18"/>
      <c r="C559" s="18"/>
      <c r="D559" s="18"/>
    </row>
    <row r="560">
      <c r="B560" s="18"/>
      <c r="C560" s="18"/>
      <c r="D560" s="18"/>
    </row>
    <row r="561">
      <c r="B561" s="18"/>
      <c r="C561" s="18"/>
      <c r="D561" s="18"/>
    </row>
    <row r="562">
      <c r="B562" s="18"/>
      <c r="C562" s="18"/>
      <c r="D562" s="18"/>
    </row>
    <row r="563">
      <c r="B563" s="18"/>
      <c r="C563" s="18"/>
      <c r="D563" s="18"/>
    </row>
    <row r="564">
      <c r="B564" s="18"/>
      <c r="C564" s="18"/>
      <c r="D564" s="18"/>
    </row>
    <row r="565">
      <c r="B565" s="18"/>
      <c r="C565" s="18"/>
      <c r="D565" s="18"/>
    </row>
    <row r="566">
      <c r="B566" s="18"/>
      <c r="C566" s="18"/>
      <c r="D566" s="18"/>
    </row>
    <row r="567">
      <c r="B567" s="18"/>
      <c r="C567" s="18"/>
      <c r="D567" s="18"/>
    </row>
    <row r="568">
      <c r="B568" s="18"/>
      <c r="C568" s="18"/>
      <c r="D568" s="18"/>
    </row>
    <row r="569">
      <c r="B569" s="18"/>
      <c r="C569" s="18"/>
      <c r="D569" s="18"/>
    </row>
    <row r="570">
      <c r="B570" s="18"/>
      <c r="C570" s="18"/>
      <c r="D570" s="18"/>
    </row>
    <row r="571">
      <c r="B571" s="18"/>
      <c r="C571" s="18"/>
      <c r="D571" s="18"/>
    </row>
    <row r="572">
      <c r="B572" s="18"/>
      <c r="C572" s="18"/>
      <c r="D572" s="18"/>
    </row>
    <row r="573">
      <c r="B573" s="18"/>
      <c r="C573" s="18"/>
      <c r="D573" s="18"/>
    </row>
    <row r="574">
      <c r="B574" s="18"/>
      <c r="C574" s="18"/>
      <c r="D574" s="18"/>
    </row>
    <row r="575">
      <c r="B575" s="18"/>
      <c r="C575" s="18"/>
      <c r="D575" s="18"/>
    </row>
    <row r="576">
      <c r="B576" s="18"/>
      <c r="C576" s="18"/>
      <c r="D576" s="18"/>
    </row>
    <row r="577">
      <c r="B577" s="18"/>
      <c r="C577" s="18"/>
      <c r="D577" s="18"/>
    </row>
    <row r="578">
      <c r="B578" s="18"/>
      <c r="C578" s="18"/>
      <c r="D578" s="18"/>
    </row>
    <row r="579">
      <c r="B579" s="18"/>
      <c r="C579" s="18"/>
      <c r="D579" s="18"/>
    </row>
    <row r="580">
      <c r="B580" s="18"/>
      <c r="C580" s="18"/>
      <c r="D580" s="18"/>
    </row>
    <row r="581">
      <c r="B581" s="18"/>
      <c r="C581" s="18"/>
      <c r="D581" s="18"/>
    </row>
    <row r="582">
      <c r="B582" s="18"/>
      <c r="C582" s="18"/>
      <c r="D582" s="18"/>
    </row>
    <row r="583">
      <c r="B583" s="18"/>
      <c r="C583" s="18"/>
      <c r="D583" s="18"/>
    </row>
    <row r="584">
      <c r="B584" s="18"/>
      <c r="C584" s="18"/>
      <c r="D584" s="18"/>
    </row>
    <row r="585">
      <c r="B585" s="18"/>
      <c r="C585" s="18"/>
      <c r="D585" s="18"/>
    </row>
    <row r="586">
      <c r="B586" s="18"/>
      <c r="C586" s="18"/>
      <c r="D586" s="18"/>
    </row>
    <row r="587">
      <c r="B587" s="18"/>
      <c r="C587" s="18"/>
      <c r="D587" s="18"/>
    </row>
    <row r="588">
      <c r="B588" s="18"/>
      <c r="C588" s="18"/>
      <c r="D588" s="18"/>
    </row>
    <row r="589">
      <c r="B589" s="18"/>
      <c r="C589" s="18"/>
      <c r="D589" s="18"/>
    </row>
    <row r="590">
      <c r="B590" s="18"/>
      <c r="C590" s="18"/>
      <c r="D590" s="18"/>
    </row>
    <row r="591">
      <c r="B591" s="18"/>
      <c r="C591" s="18"/>
      <c r="D591" s="18"/>
    </row>
    <row r="592">
      <c r="B592" s="18"/>
      <c r="C592" s="18"/>
      <c r="D592" s="18"/>
    </row>
    <row r="593">
      <c r="B593" s="18"/>
      <c r="C593" s="18"/>
      <c r="D593" s="18"/>
    </row>
    <row r="594">
      <c r="B594" s="18"/>
      <c r="C594" s="18"/>
      <c r="D594" s="18"/>
    </row>
    <row r="595">
      <c r="B595" s="18"/>
      <c r="C595" s="18"/>
      <c r="D595" s="18"/>
    </row>
    <row r="596">
      <c r="B596" s="18"/>
      <c r="C596" s="18"/>
      <c r="D596" s="18"/>
    </row>
    <row r="597">
      <c r="B597" s="18"/>
      <c r="C597" s="18"/>
      <c r="D597" s="18"/>
    </row>
    <row r="598">
      <c r="B598" s="18"/>
      <c r="C598" s="18"/>
      <c r="D598" s="18"/>
    </row>
    <row r="599">
      <c r="B599" s="18"/>
      <c r="C599" s="18"/>
      <c r="D599" s="18"/>
    </row>
    <row r="600">
      <c r="B600" s="18"/>
      <c r="C600" s="18"/>
      <c r="D600" s="18"/>
    </row>
    <row r="601">
      <c r="B601" s="18"/>
      <c r="C601" s="18"/>
      <c r="D601" s="18"/>
    </row>
    <row r="602">
      <c r="B602" s="18"/>
      <c r="C602" s="18"/>
      <c r="D602" s="18"/>
    </row>
    <row r="603">
      <c r="B603" s="18"/>
      <c r="C603" s="18"/>
      <c r="D603" s="18"/>
    </row>
    <row r="604">
      <c r="B604" s="18"/>
      <c r="C604" s="18"/>
      <c r="D604" s="18"/>
    </row>
    <row r="605">
      <c r="B605" s="18"/>
      <c r="C605" s="18"/>
      <c r="D605" s="18"/>
    </row>
    <row r="606">
      <c r="B606" s="18"/>
      <c r="C606" s="18"/>
      <c r="D606" s="18"/>
    </row>
    <row r="607">
      <c r="B607" s="18"/>
      <c r="C607" s="18"/>
      <c r="D607" s="18"/>
    </row>
    <row r="608">
      <c r="B608" s="18"/>
      <c r="C608" s="18"/>
      <c r="D608" s="18"/>
    </row>
    <row r="609">
      <c r="B609" s="18"/>
      <c r="C609" s="18"/>
      <c r="D609" s="18"/>
    </row>
    <row r="610">
      <c r="B610" s="18"/>
      <c r="C610" s="18"/>
      <c r="D610" s="18"/>
    </row>
    <row r="611">
      <c r="B611" s="18"/>
      <c r="C611" s="18"/>
      <c r="D611" s="18"/>
    </row>
    <row r="612">
      <c r="B612" s="18"/>
      <c r="C612" s="18"/>
      <c r="D612" s="18"/>
    </row>
    <row r="613">
      <c r="B613" s="18"/>
      <c r="C613" s="18"/>
      <c r="D613" s="18"/>
    </row>
    <row r="614">
      <c r="B614" s="18"/>
      <c r="C614" s="18"/>
      <c r="D614" s="18"/>
    </row>
    <row r="615">
      <c r="B615" s="18"/>
      <c r="C615" s="18"/>
      <c r="D615" s="18"/>
    </row>
    <row r="616">
      <c r="B616" s="18"/>
      <c r="C616" s="18"/>
      <c r="D616" s="18"/>
    </row>
    <row r="617">
      <c r="B617" s="18"/>
      <c r="C617" s="18"/>
      <c r="D617" s="18"/>
    </row>
    <row r="618">
      <c r="B618" s="18"/>
      <c r="C618" s="18"/>
      <c r="D618" s="18"/>
    </row>
    <row r="619">
      <c r="B619" s="18"/>
      <c r="C619" s="18"/>
      <c r="D619" s="18"/>
    </row>
    <row r="620">
      <c r="B620" s="18"/>
      <c r="C620" s="18"/>
      <c r="D620" s="18"/>
    </row>
    <row r="621">
      <c r="B621" s="18"/>
      <c r="C621" s="18"/>
      <c r="D621" s="18"/>
    </row>
    <row r="622">
      <c r="B622" s="18"/>
      <c r="C622" s="18"/>
      <c r="D622" s="18"/>
    </row>
    <row r="623">
      <c r="B623" s="18"/>
      <c r="C623" s="18"/>
      <c r="D623" s="18"/>
    </row>
    <row r="624">
      <c r="B624" s="18"/>
      <c r="C624" s="18"/>
      <c r="D624" s="18"/>
    </row>
    <row r="625">
      <c r="B625" s="18"/>
      <c r="C625" s="18"/>
      <c r="D625" s="18"/>
    </row>
    <row r="626">
      <c r="B626" s="18"/>
      <c r="C626" s="18"/>
      <c r="D626" s="18"/>
    </row>
    <row r="627">
      <c r="B627" s="18"/>
      <c r="C627" s="18"/>
      <c r="D627" s="18"/>
    </row>
    <row r="628">
      <c r="B628" s="18"/>
      <c r="C628" s="18"/>
      <c r="D628" s="18"/>
    </row>
    <row r="629">
      <c r="B629" s="18"/>
      <c r="C629" s="18"/>
      <c r="D629" s="18"/>
    </row>
    <row r="630">
      <c r="B630" s="18"/>
      <c r="C630" s="18"/>
      <c r="D630" s="18"/>
    </row>
    <row r="631">
      <c r="B631" s="18"/>
      <c r="C631" s="18"/>
      <c r="D631" s="18"/>
    </row>
    <row r="632">
      <c r="B632" s="18"/>
      <c r="C632" s="18"/>
      <c r="D632" s="18"/>
    </row>
    <row r="633">
      <c r="B633" s="18"/>
      <c r="C633" s="18"/>
      <c r="D633" s="18"/>
    </row>
    <row r="634">
      <c r="B634" s="18"/>
      <c r="C634" s="18"/>
      <c r="D634" s="18"/>
    </row>
    <row r="635">
      <c r="B635" s="18"/>
      <c r="C635" s="18"/>
      <c r="D635" s="18"/>
    </row>
    <row r="636">
      <c r="B636" s="18"/>
      <c r="C636" s="18"/>
      <c r="D636" s="18"/>
    </row>
    <row r="637">
      <c r="B637" s="18"/>
      <c r="C637" s="18"/>
      <c r="D637" s="18"/>
    </row>
    <row r="638">
      <c r="B638" s="18"/>
      <c r="C638" s="18"/>
      <c r="D638" s="18"/>
    </row>
    <row r="639">
      <c r="B639" s="18"/>
      <c r="C639" s="18"/>
      <c r="D639" s="18"/>
    </row>
    <row r="640">
      <c r="B640" s="18"/>
      <c r="C640" s="18"/>
      <c r="D640" s="18"/>
    </row>
    <row r="641">
      <c r="B641" s="18"/>
      <c r="C641" s="18"/>
      <c r="D641" s="18"/>
    </row>
    <row r="642">
      <c r="B642" s="18"/>
      <c r="C642" s="18"/>
      <c r="D642" s="18"/>
    </row>
    <row r="643">
      <c r="B643" s="18"/>
      <c r="C643" s="18"/>
      <c r="D643" s="18"/>
    </row>
    <row r="644">
      <c r="B644" s="18"/>
      <c r="C644" s="18"/>
      <c r="D644" s="18"/>
    </row>
    <row r="645">
      <c r="B645" s="18"/>
      <c r="C645" s="18"/>
      <c r="D645" s="18"/>
    </row>
    <row r="646">
      <c r="B646" s="18"/>
      <c r="C646" s="18"/>
      <c r="D646" s="18"/>
    </row>
    <row r="647">
      <c r="B647" s="18"/>
      <c r="C647" s="18"/>
      <c r="D647" s="18"/>
    </row>
    <row r="648">
      <c r="B648" s="18"/>
      <c r="C648" s="18"/>
      <c r="D648" s="18"/>
    </row>
    <row r="649">
      <c r="B649" s="18"/>
      <c r="C649" s="18"/>
      <c r="D649" s="18"/>
    </row>
    <row r="650">
      <c r="B650" s="18"/>
      <c r="C650" s="18"/>
      <c r="D650" s="18"/>
    </row>
    <row r="651">
      <c r="B651" s="18"/>
      <c r="C651" s="18"/>
      <c r="D651" s="18"/>
    </row>
    <row r="652">
      <c r="B652" s="18"/>
      <c r="C652" s="18"/>
      <c r="D652" s="18"/>
    </row>
    <row r="653">
      <c r="B653" s="18"/>
      <c r="C653" s="18"/>
      <c r="D653" s="18"/>
    </row>
    <row r="654">
      <c r="B654" s="18"/>
      <c r="C654" s="18"/>
      <c r="D654" s="18"/>
    </row>
    <row r="655">
      <c r="B655" s="18"/>
      <c r="C655" s="18"/>
      <c r="D655" s="18"/>
    </row>
    <row r="656">
      <c r="B656" s="18"/>
      <c r="C656" s="18"/>
      <c r="D656" s="18"/>
    </row>
    <row r="657">
      <c r="B657" s="18"/>
      <c r="C657" s="18"/>
      <c r="D657" s="18"/>
    </row>
    <row r="658">
      <c r="B658" s="18"/>
      <c r="C658" s="18"/>
      <c r="D658" s="18"/>
    </row>
    <row r="659">
      <c r="B659" s="18"/>
      <c r="C659" s="18"/>
      <c r="D659" s="18"/>
    </row>
    <row r="660">
      <c r="B660" s="18"/>
      <c r="C660" s="18"/>
      <c r="D660" s="18"/>
    </row>
    <row r="661">
      <c r="B661" s="18"/>
      <c r="C661" s="18"/>
      <c r="D661" s="18"/>
    </row>
    <row r="662">
      <c r="B662" s="18"/>
      <c r="C662" s="18"/>
      <c r="D662" s="18"/>
    </row>
    <row r="663">
      <c r="B663" s="18"/>
      <c r="C663" s="18"/>
      <c r="D663" s="18"/>
    </row>
    <row r="664">
      <c r="B664" s="18"/>
      <c r="C664" s="18"/>
      <c r="D664" s="18"/>
    </row>
    <row r="665">
      <c r="B665" s="18"/>
      <c r="C665" s="18"/>
      <c r="D665" s="18"/>
    </row>
    <row r="666">
      <c r="B666" s="18"/>
      <c r="C666" s="18"/>
      <c r="D666" s="18"/>
    </row>
    <row r="667">
      <c r="B667" s="18"/>
      <c r="C667" s="18"/>
      <c r="D667" s="18"/>
    </row>
    <row r="668">
      <c r="B668" s="18"/>
      <c r="C668" s="18"/>
      <c r="D668" s="18"/>
    </row>
    <row r="669">
      <c r="B669" s="18"/>
      <c r="C669" s="18"/>
      <c r="D669" s="18"/>
    </row>
    <row r="670">
      <c r="B670" s="18"/>
      <c r="C670" s="18"/>
      <c r="D670" s="18"/>
    </row>
    <row r="671">
      <c r="B671" s="18"/>
      <c r="C671" s="18"/>
      <c r="D671" s="18"/>
    </row>
    <row r="672">
      <c r="B672" s="18"/>
      <c r="C672" s="18"/>
      <c r="D672" s="18"/>
    </row>
    <row r="673">
      <c r="B673" s="18"/>
      <c r="C673" s="18"/>
      <c r="D673" s="18"/>
    </row>
    <row r="674">
      <c r="B674" s="18"/>
      <c r="C674" s="18"/>
      <c r="D674" s="18"/>
    </row>
    <row r="675">
      <c r="B675" s="18"/>
      <c r="C675" s="18"/>
      <c r="D675" s="18"/>
    </row>
    <row r="676">
      <c r="B676" s="18"/>
      <c r="C676" s="18"/>
      <c r="D676" s="18"/>
    </row>
    <row r="677">
      <c r="B677" s="18"/>
      <c r="C677" s="18"/>
      <c r="D677" s="18"/>
    </row>
    <row r="678">
      <c r="B678" s="18"/>
      <c r="C678" s="18"/>
      <c r="D678" s="18"/>
    </row>
    <row r="679">
      <c r="B679" s="18"/>
      <c r="C679" s="18"/>
      <c r="D679" s="18"/>
    </row>
    <row r="680">
      <c r="B680" s="18"/>
      <c r="C680" s="18"/>
      <c r="D680" s="18"/>
    </row>
    <row r="681">
      <c r="B681" s="18"/>
      <c r="C681" s="18"/>
      <c r="D681" s="18"/>
    </row>
    <row r="682">
      <c r="B682" s="18"/>
      <c r="C682" s="18"/>
      <c r="D682" s="18"/>
    </row>
    <row r="683">
      <c r="B683" s="18"/>
      <c r="C683" s="18"/>
      <c r="D683" s="18"/>
    </row>
    <row r="684">
      <c r="B684" s="18"/>
      <c r="C684" s="18"/>
      <c r="D684" s="18"/>
    </row>
    <row r="685">
      <c r="B685" s="18"/>
      <c r="C685" s="18"/>
      <c r="D685" s="18"/>
    </row>
    <row r="686">
      <c r="B686" s="18"/>
      <c r="C686" s="18"/>
      <c r="D686" s="18"/>
    </row>
    <row r="687">
      <c r="B687" s="18"/>
      <c r="C687" s="18"/>
      <c r="D687" s="18"/>
    </row>
    <row r="688">
      <c r="B688" s="18"/>
      <c r="C688" s="18"/>
      <c r="D688" s="18"/>
    </row>
    <row r="689">
      <c r="B689" s="18"/>
      <c r="C689" s="18"/>
      <c r="D689" s="18"/>
    </row>
    <row r="690">
      <c r="B690" s="18"/>
      <c r="C690" s="18"/>
      <c r="D690" s="18"/>
    </row>
    <row r="691">
      <c r="B691" s="18"/>
      <c r="C691" s="18"/>
      <c r="D691" s="18"/>
    </row>
    <row r="692">
      <c r="B692" s="18"/>
      <c r="C692" s="18"/>
      <c r="D692" s="18"/>
    </row>
    <row r="693">
      <c r="B693" s="18"/>
      <c r="C693" s="18"/>
      <c r="D693" s="18"/>
    </row>
    <row r="694">
      <c r="B694" s="18"/>
      <c r="C694" s="18"/>
      <c r="D694" s="18"/>
    </row>
    <row r="695">
      <c r="B695" s="18"/>
      <c r="C695" s="18"/>
      <c r="D695" s="18"/>
    </row>
    <row r="696">
      <c r="B696" s="18"/>
      <c r="C696" s="18"/>
      <c r="D696" s="18"/>
    </row>
    <row r="697">
      <c r="B697" s="18"/>
      <c r="C697" s="18"/>
      <c r="D697" s="18"/>
    </row>
    <row r="698">
      <c r="B698" s="18"/>
      <c r="C698" s="18"/>
      <c r="D698" s="18"/>
    </row>
    <row r="699">
      <c r="B699" s="18"/>
      <c r="C699" s="18"/>
      <c r="D699" s="18"/>
    </row>
    <row r="700">
      <c r="B700" s="18"/>
      <c r="C700" s="18"/>
      <c r="D700" s="18"/>
    </row>
    <row r="701">
      <c r="B701" s="18"/>
      <c r="C701" s="18"/>
      <c r="D701" s="18"/>
    </row>
    <row r="702">
      <c r="B702" s="18"/>
      <c r="C702" s="18"/>
      <c r="D702" s="18"/>
    </row>
    <row r="703">
      <c r="B703" s="18"/>
      <c r="C703" s="18"/>
      <c r="D703" s="18"/>
    </row>
    <row r="704">
      <c r="B704" s="18"/>
      <c r="C704" s="18"/>
      <c r="D704" s="18"/>
    </row>
    <row r="705">
      <c r="B705" s="18"/>
      <c r="C705" s="18"/>
      <c r="D705" s="18"/>
    </row>
    <row r="706">
      <c r="B706" s="18"/>
      <c r="C706" s="18"/>
      <c r="D706" s="18"/>
    </row>
    <row r="707">
      <c r="B707" s="18"/>
      <c r="C707" s="18"/>
      <c r="D707" s="18"/>
    </row>
    <row r="708">
      <c r="B708" s="18"/>
      <c r="C708" s="18"/>
      <c r="D708" s="18"/>
    </row>
    <row r="709">
      <c r="B709" s="18"/>
      <c r="C709" s="18"/>
      <c r="D709" s="18"/>
    </row>
    <row r="710">
      <c r="B710" s="18"/>
      <c r="C710" s="18"/>
      <c r="D710" s="18"/>
    </row>
    <row r="711">
      <c r="B711" s="18"/>
      <c r="C711" s="18"/>
      <c r="D711" s="18"/>
    </row>
    <row r="712">
      <c r="B712" s="18"/>
      <c r="C712" s="18"/>
      <c r="D712" s="18"/>
    </row>
    <row r="713">
      <c r="B713" s="18"/>
      <c r="C713" s="18"/>
      <c r="D713" s="18"/>
    </row>
    <row r="714">
      <c r="B714" s="18"/>
      <c r="C714" s="18"/>
      <c r="D714" s="18"/>
    </row>
    <row r="715">
      <c r="B715" s="18"/>
      <c r="C715" s="18"/>
      <c r="D715" s="18"/>
    </row>
    <row r="716">
      <c r="B716" s="18"/>
      <c r="C716" s="18"/>
      <c r="D716" s="18"/>
    </row>
    <row r="717">
      <c r="B717" s="18"/>
      <c r="C717" s="18"/>
      <c r="D717" s="18"/>
    </row>
    <row r="718">
      <c r="B718" s="18"/>
      <c r="C718" s="18"/>
      <c r="D718" s="18"/>
    </row>
    <row r="719">
      <c r="B719" s="18"/>
      <c r="C719" s="18"/>
      <c r="D719" s="18"/>
    </row>
    <row r="720">
      <c r="B720" s="18"/>
      <c r="C720" s="18"/>
      <c r="D720" s="18"/>
    </row>
    <row r="721">
      <c r="B721" s="18"/>
      <c r="C721" s="18"/>
      <c r="D721" s="18"/>
    </row>
    <row r="722">
      <c r="B722" s="18"/>
      <c r="C722" s="18"/>
      <c r="D722" s="18"/>
    </row>
    <row r="723">
      <c r="B723" s="18"/>
      <c r="C723" s="18"/>
      <c r="D723" s="18"/>
    </row>
    <row r="724">
      <c r="B724" s="18"/>
      <c r="C724" s="18"/>
      <c r="D724" s="18"/>
    </row>
    <row r="725">
      <c r="B725" s="18"/>
      <c r="C725" s="18"/>
      <c r="D725" s="18"/>
    </row>
    <row r="726">
      <c r="B726" s="18"/>
      <c r="C726" s="18"/>
      <c r="D726" s="18"/>
    </row>
    <row r="727">
      <c r="B727" s="18"/>
      <c r="C727" s="18"/>
      <c r="D727" s="18"/>
    </row>
    <row r="728">
      <c r="B728" s="18"/>
      <c r="C728" s="18"/>
      <c r="D728" s="18"/>
    </row>
    <row r="729">
      <c r="B729" s="18"/>
      <c r="C729" s="18"/>
      <c r="D729" s="18"/>
    </row>
    <row r="730">
      <c r="B730" s="18"/>
      <c r="C730" s="18"/>
      <c r="D730" s="18"/>
    </row>
    <row r="731">
      <c r="B731" s="18"/>
      <c r="C731" s="18"/>
      <c r="D731" s="18"/>
    </row>
    <row r="732">
      <c r="B732" s="18"/>
      <c r="C732" s="18"/>
      <c r="D732" s="18"/>
    </row>
    <row r="733">
      <c r="B733" s="18"/>
      <c r="C733" s="18"/>
      <c r="D733" s="18"/>
    </row>
    <row r="734">
      <c r="B734" s="18"/>
      <c r="C734" s="18"/>
      <c r="D734" s="18"/>
    </row>
    <row r="735">
      <c r="B735" s="18"/>
      <c r="C735" s="18"/>
      <c r="D735" s="18"/>
    </row>
    <row r="736">
      <c r="B736" s="18"/>
      <c r="C736" s="18"/>
      <c r="D736" s="18"/>
    </row>
    <row r="737">
      <c r="B737" s="18"/>
      <c r="C737" s="18"/>
      <c r="D737" s="18"/>
    </row>
    <row r="738">
      <c r="B738" s="18"/>
      <c r="C738" s="18"/>
      <c r="D738" s="18"/>
    </row>
    <row r="739">
      <c r="B739" s="18"/>
      <c r="C739" s="18"/>
      <c r="D739" s="18"/>
    </row>
    <row r="740">
      <c r="B740" s="18"/>
      <c r="C740" s="18"/>
      <c r="D740" s="18"/>
    </row>
    <row r="741">
      <c r="B741" s="18"/>
      <c r="C741" s="18"/>
      <c r="D741" s="18"/>
    </row>
    <row r="742">
      <c r="B742" s="18"/>
      <c r="C742" s="18"/>
      <c r="D742" s="18"/>
    </row>
    <row r="743">
      <c r="B743" s="18"/>
      <c r="C743" s="18"/>
      <c r="D743" s="18"/>
    </row>
    <row r="744">
      <c r="B744" s="18"/>
      <c r="C744" s="18"/>
      <c r="D744" s="18"/>
    </row>
    <row r="745">
      <c r="B745" s="18"/>
      <c r="C745" s="18"/>
      <c r="D745" s="18"/>
    </row>
    <row r="746">
      <c r="B746" s="18"/>
      <c r="C746" s="18"/>
      <c r="D746" s="18"/>
    </row>
    <row r="747">
      <c r="B747" s="18"/>
      <c r="C747" s="18"/>
      <c r="D747" s="18"/>
    </row>
    <row r="748">
      <c r="B748" s="18"/>
      <c r="C748" s="18"/>
      <c r="D748" s="18"/>
    </row>
    <row r="749">
      <c r="B749" s="18"/>
      <c r="C749" s="18"/>
      <c r="D749" s="18"/>
    </row>
    <row r="750">
      <c r="B750" s="18"/>
      <c r="C750" s="18"/>
      <c r="D750" s="18"/>
    </row>
    <row r="751">
      <c r="B751" s="18"/>
      <c r="C751" s="18"/>
      <c r="D751" s="18"/>
    </row>
    <row r="752">
      <c r="B752" s="18"/>
      <c r="C752" s="18"/>
      <c r="D752" s="18"/>
    </row>
    <row r="753">
      <c r="B753" s="18"/>
      <c r="C753" s="18"/>
      <c r="D753" s="18"/>
    </row>
    <row r="754">
      <c r="B754" s="18"/>
      <c r="C754" s="18"/>
      <c r="D754" s="18"/>
    </row>
    <row r="755">
      <c r="B755" s="18"/>
      <c r="C755" s="18"/>
      <c r="D755" s="18"/>
    </row>
    <row r="756">
      <c r="B756" s="18"/>
      <c r="C756" s="18"/>
      <c r="D756" s="18"/>
    </row>
    <row r="757">
      <c r="B757" s="18"/>
      <c r="C757" s="18"/>
      <c r="D757" s="18"/>
    </row>
    <row r="758">
      <c r="B758" s="18"/>
      <c r="C758" s="18"/>
      <c r="D758" s="18"/>
    </row>
    <row r="759">
      <c r="B759" s="18"/>
      <c r="C759" s="18"/>
      <c r="D759" s="18"/>
    </row>
    <row r="760">
      <c r="B760" s="18"/>
      <c r="C760" s="18"/>
      <c r="D760" s="18"/>
    </row>
    <row r="761">
      <c r="B761" s="18"/>
      <c r="C761" s="18"/>
      <c r="D761" s="18"/>
    </row>
    <row r="762">
      <c r="B762" s="18"/>
      <c r="C762" s="18"/>
      <c r="D762" s="18"/>
    </row>
    <row r="763">
      <c r="B763" s="18"/>
      <c r="C763" s="18"/>
      <c r="D763" s="18"/>
    </row>
    <row r="764">
      <c r="B764" s="18"/>
      <c r="C764" s="18"/>
      <c r="D764" s="18"/>
    </row>
    <row r="765">
      <c r="B765" s="18"/>
      <c r="C765" s="18"/>
      <c r="D765" s="18"/>
    </row>
    <row r="766">
      <c r="B766" s="18"/>
      <c r="C766" s="18"/>
      <c r="D766" s="18"/>
    </row>
    <row r="767">
      <c r="B767" s="18"/>
      <c r="C767" s="18"/>
      <c r="D767" s="18"/>
    </row>
    <row r="768">
      <c r="B768" s="18"/>
      <c r="C768" s="18"/>
      <c r="D768" s="18"/>
    </row>
    <row r="769">
      <c r="B769" s="18"/>
      <c r="C769" s="18"/>
      <c r="D769" s="18"/>
    </row>
    <row r="770">
      <c r="B770" s="18"/>
      <c r="C770" s="18"/>
      <c r="D770" s="18"/>
    </row>
    <row r="771">
      <c r="B771" s="18"/>
      <c r="C771" s="18"/>
      <c r="D771" s="18"/>
    </row>
    <row r="772">
      <c r="B772" s="18"/>
      <c r="C772" s="18"/>
      <c r="D772" s="18"/>
    </row>
    <row r="773">
      <c r="B773" s="18"/>
      <c r="C773" s="18"/>
      <c r="D773" s="18"/>
    </row>
    <row r="774">
      <c r="B774" s="18"/>
      <c r="C774" s="18"/>
      <c r="D774" s="18"/>
    </row>
    <row r="775">
      <c r="B775" s="18"/>
      <c r="C775" s="18"/>
      <c r="D775" s="18"/>
    </row>
    <row r="776">
      <c r="B776" s="18"/>
      <c r="C776" s="18"/>
      <c r="D776" s="18"/>
    </row>
    <row r="777">
      <c r="B777" s="18"/>
      <c r="C777" s="18"/>
      <c r="D777" s="18"/>
    </row>
    <row r="778">
      <c r="B778" s="18"/>
      <c r="C778" s="18"/>
      <c r="D778" s="18"/>
    </row>
    <row r="779">
      <c r="B779" s="18"/>
      <c r="C779" s="18"/>
      <c r="D779" s="18"/>
    </row>
    <row r="780">
      <c r="B780" s="18"/>
      <c r="C780" s="18"/>
      <c r="D780" s="18"/>
    </row>
    <row r="781">
      <c r="B781" s="18"/>
      <c r="C781" s="18"/>
      <c r="D781" s="18"/>
    </row>
    <row r="782">
      <c r="B782" s="18"/>
      <c r="C782" s="18"/>
      <c r="D782" s="18"/>
    </row>
    <row r="783">
      <c r="B783" s="18"/>
      <c r="C783" s="18"/>
      <c r="D783" s="18"/>
    </row>
    <row r="784">
      <c r="B784" s="18"/>
      <c r="C784" s="18"/>
      <c r="D784" s="18"/>
    </row>
    <row r="785">
      <c r="B785" s="18"/>
      <c r="C785" s="18"/>
      <c r="D785" s="18"/>
    </row>
    <row r="786">
      <c r="B786" s="18"/>
      <c r="C786" s="18"/>
      <c r="D786" s="18"/>
    </row>
    <row r="787">
      <c r="B787" s="18"/>
      <c r="C787" s="18"/>
      <c r="D787" s="18"/>
    </row>
    <row r="788">
      <c r="B788" s="18"/>
      <c r="C788" s="18"/>
      <c r="D788" s="18"/>
    </row>
    <row r="789">
      <c r="B789" s="18"/>
      <c r="C789" s="18"/>
      <c r="D789" s="18"/>
    </row>
    <row r="790">
      <c r="B790" s="18"/>
      <c r="C790" s="18"/>
      <c r="D790" s="18"/>
    </row>
    <row r="791">
      <c r="B791" s="18"/>
      <c r="C791" s="18"/>
      <c r="D791" s="18"/>
    </row>
    <row r="792">
      <c r="B792" s="18"/>
      <c r="C792" s="18"/>
      <c r="D792" s="18"/>
    </row>
    <row r="793">
      <c r="B793" s="18"/>
      <c r="C793" s="18"/>
      <c r="D793" s="18"/>
    </row>
    <row r="794">
      <c r="B794" s="18"/>
      <c r="C794" s="18"/>
      <c r="D794" s="18"/>
    </row>
    <row r="795">
      <c r="B795" s="18"/>
      <c r="C795" s="18"/>
      <c r="D795" s="18"/>
    </row>
    <row r="796">
      <c r="B796" s="18"/>
      <c r="C796" s="18"/>
      <c r="D796" s="18"/>
    </row>
    <row r="797">
      <c r="B797" s="18"/>
      <c r="C797" s="18"/>
      <c r="D797" s="18"/>
    </row>
    <row r="798">
      <c r="B798" s="18"/>
      <c r="C798" s="18"/>
      <c r="D798" s="18"/>
    </row>
    <row r="799">
      <c r="B799" s="18"/>
      <c r="C799" s="18"/>
      <c r="D799" s="18"/>
    </row>
    <row r="800">
      <c r="B800" s="18"/>
      <c r="C800" s="18"/>
      <c r="D800" s="18"/>
    </row>
    <row r="801">
      <c r="B801" s="18"/>
      <c r="C801" s="18"/>
      <c r="D801" s="18"/>
    </row>
    <row r="802">
      <c r="B802" s="18"/>
      <c r="C802" s="18"/>
      <c r="D802" s="18"/>
    </row>
    <row r="803">
      <c r="B803" s="18"/>
      <c r="C803" s="18"/>
      <c r="D803" s="18"/>
    </row>
    <row r="804">
      <c r="B804" s="18"/>
      <c r="C804" s="18"/>
      <c r="D804" s="18"/>
    </row>
    <row r="805">
      <c r="B805" s="18"/>
      <c r="C805" s="18"/>
      <c r="D805" s="18"/>
    </row>
    <row r="806">
      <c r="B806" s="18"/>
      <c r="C806" s="18"/>
      <c r="D806" s="18"/>
    </row>
    <row r="807">
      <c r="B807" s="18"/>
      <c r="C807" s="18"/>
      <c r="D807" s="18"/>
    </row>
    <row r="808">
      <c r="B808" s="18"/>
      <c r="C808" s="18"/>
      <c r="D808" s="18"/>
    </row>
    <row r="809">
      <c r="B809" s="18"/>
      <c r="C809" s="18"/>
      <c r="D809" s="18"/>
    </row>
    <row r="810">
      <c r="B810" s="18"/>
      <c r="C810" s="18"/>
      <c r="D810" s="18"/>
    </row>
    <row r="811">
      <c r="B811" s="18"/>
      <c r="C811" s="18"/>
      <c r="D811" s="18"/>
    </row>
    <row r="812">
      <c r="B812" s="18"/>
      <c r="C812" s="18"/>
      <c r="D812" s="18"/>
    </row>
    <row r="813">
      <c r="B813" s="18"/>
      <c r="C813" s="18"/>
      <c r="D813" s="18"/>
    </row>
    <row r="814">
      <c r="B814" s="18"/>
      <c r="C814" s="18"/>
      <c r="D814" s="18"/>
    </row>
    <row r="815">
      <c r="B815" s="18"/>
      <c r="C815" s="18"/>
      <c r="D815" s="18"/>
    </row>
    <row r="816">
      <c r="B816" s="18"/>
      <c r="C816" s="18"/>
      <c r="D816" s="18"/>
    </row>
    <row r="817">
      <c r="B817" s="18"/>
      <c r="C817" s="18"/>
      <c r="D817" s="18"/>
    </row>
    <row r="818">
      <c r="B818" s="18"/>
      <c r="C818" s="18"/>
      <c r="D818" s="18"/>
    </row>
    <row r="819">
      <c r="B819" s="18"/>
      <c r="C819" s="18"/>
      <c r="D819" s="18"/>
    </row>
    <row r="820">
      <c r="B820" s="18"/>
      <c r="C820" s="18"/>
      <c r="D820" s="18"/>
    </row>
    <row r="821">
      <c r="B821" s="18"/>
      <c r="C821" s="18"/>
      <c r="D821" s="18"/>
    </row>
    <row r="822">
      <c r="B822" s="18"/>
      <c r="C822" s="18"/>
      <c r="D822" s="18"/>
    </row>
    <row r="823">
      <c r="B823" s="18"/>
      <c r="C823" s="18"/>
      <c r="D823" s="18"/>
    </row>
    <row r="824">
      <c r="B824" s="18"/>
      <c r="C824" s="18"/>
      <c r="D824" s="18"/>
    </row>
    <row r="825">
      <c r="B825" s="18"/>
      <c r="C825" s="18"/>
      <c r="D825" s="18"/>
    </row>
    <row r="826">
      <c r="B826" s="18"/>
      <c r="C826" s="18"/>
      <c r="D826" s="18"/>
    </row>
    <row r="827">
      <c r="B827" s="18"/>
      <c r="C827" s="18"/>
      <c r="D827" s="18"/>
    </row>
    <row r="828">
      <c r="B828" s="18"/>
      <c r="C828" s="18"/>
      <c r="D828" s="18"/>
    </row>
    <row r="829">
      <c r="B829" s="18"/>
      <c r="C829" s="18"/>
      <c r="D829" s="18"/>
    </row>
    <row r="830">
      <c r="B830" s="18"/>
      <c r="C830" s="18"/>
      <c r="D830" s="18"/>
    </row>
    <row r="831">
      <c r="B831" s="18"/>
      <c r="C831" s="18"/>
      <c r="D831" s="18"/>
    </row>
    <row r="832">
      <c r="B832" s="18"/>
      <c r="C832" s="18"/>
      <c r="D832" s="18"/>
    </row>
    <row r="833">
      <c r="B833" s="18"/>
      <c r="C833" s="18"/>
      <c r="D833" s="18"/>
    </row>
    <row r="834">
      <c r="B834" s="18"/>
      <c r="C834" s="18"/>
      <c r="D834" s="18"/>
    </row>
    <row r="835">
      <c r="B835" s="18"/>
      <c r="C835" s="18"/>
      <c r="D835" s="18"/>
    </row>
    <row r="836">
      <c r="B836" s="18"/>
      <c r="C836" s="18"/>
      <c r="D836" s="18"/>
    </row>
    <row r="837">
      <c r="B837" s="18"/>
      <c r="C837" s="18"/>
      <c r="D837" s="18"/>
    </row>
    <row r="838">
      <c r="B838" s="18"/>
      <c r="C838" s="18"/>
      <c r="D838" s="18"/>
    </row>
    <row r="839">
      <c r="B839" s="18"/>
      <c r="C839" s="18"/>
      <c r="D839" s="18"/>
    </row>
    <row r="840">
      <c r="B840" s="18"/>
      <c r="C840" s="18"/>
      <c r="D840" s="18"/>
    </row>
    <row r="841">
      <c r="B841" s="18"/>
      <c r="C841" s="18"/>
      <c r="D841" s="18"/>
    </row>
    <row r="842">
      <c r="B842" s="18"/>
      <c r="C842" s="18"/>
      <c r="D842" s="18"/>
    </row>
    <row r="843">
      <c r="B843" s="18"/>
      <c r="C843" s="18"/>
      <c r="D843" s="18"/>
    </row>
    <row r="844">
      <c r="B844" s="18"/>
      <c r="C844" s="18"/>
      <c r="D844" s="18"/>
    </row>
    <row r="845">
      <c r="B845" s="18"/>
      <c r="C845" s="18"/>
      <c r="D845" s="18"/>
    </row>
    <row r="846">
      <c r="B846" s="18"/>
      <c r="C846" s="18"/>
      <c r="D846" s="18"/>
    </row>
    <row r="847">
      <c r="B847" s="18"/>
      <c r="C847" s="18"/>
      <c r="D847" s="18"/>
    </row>
    <row r="848">
      <c r="B848" s="18"/>
      <c r="C848" s="18"/>
      <c r="D848" s="18"/>
    </row>
    <row r="849">
      <c r="B849" s="18"/>
      <c r="C849" s="18"/>
      <c r="D849" s="18"/>
    </row>
    <row r="850">
      <c r="B850" s="18"/>
      <c r="C850" s="18"/>
      <c r="D850" s="18"/>
    </row>
    <row r="851">
      <c r="B851" s="18"/>
      <c r="C851" s="18"/>
      <c r="D851" s="18"/>
    </row>
    <row r="852">
      <c r="B852" s="18"/>
      <c r="C852" s="18"/>
      <c r="D852" s="18"/>
    </row>
    <row r="853">
      <c r="B853" s="18"/>
      <c r="C853" s="18"/>
      <c r="D853" s="18"/>
    </row>
    <row r="854">
      <c r="B854" s="18"/>
      <c r="C854" s="18"/>
      <c r="D854" s="18"/>
    </row>
    <row r="855">
      <c r="B855" s="18"/>
      <c r="C855" s="18"/>
      <c r="D855" s="18"/>
    </row>
    <row r="856">
      <c r="B856" s="18"/>
      <c r="C856" s="18"/>
      <c r="D856" s="18"/>
    </row>
    <row r="857">
      <c r="B857" s="18"/>
      <c r="C857" s="18"/>
      <c r="D857" s="18"/>
    </row>
    <row r="858">
      <c r="B858" s="18"/>
      <c r="C858" s="18"/>
      <c r="D858" s="18"/>
    </row>
    <row r="859">
      <c r="B859" s="18"/>
      <c r="C859" s="18"/>
      <c r="D859" s="18"/>
    </row>
    <row r="860">
      <c r="B860" s="18"/>
      <c r="C860" s="18"/>
      <c r="D860" s="18"/>
    </row>
    <row r="861">
      <c r="B861" s="18"/>
      <c r="C861" s="18"/>
      <c r="D861" s="18"/>
    </row>
    <row r="862">
      <c r="B862" s="18"/>
      <c r="C862" s="18"/>
      <c r="D862" s="18"/>
    </row>
    <row r="863">
      <c r="B863" s="18"/>
      <c r="C863" s="18"/>
      <c r="D863" s="18"/>
    </row>
    <row r="864">
      <c r="B864" s="18"/>
      <c r="C864" s="18"/>
      <c r="D864" s="18"/>
    </row>
    <row r="865">
      <c r="B865" s="18"/>
      <c r="C865" s="18"/>
      <c r="D865" s="18"/>
    </row>
    <row r="866">
      <c r="B866" s="18"/>
      <c r="C866" s="18"/>
      <c r="D866" s="18"/>
    </row>
    <row r="867">
      <c r="B867" s="18"/>
      <c r="C867" s="18"/>
      <c r="D867" s="18"/>
    </row>
    <row r="868">
      <c r="B868" s="18"/>
      <c r="C868" s="18"/>
      <c r="D868" s="18"/>
    </row>
    <row r="869">
      <c r="B869" s="18"/>
      <c r="C869" s="18"/>
      <c r="D869" s="18"/>
    </row>
    <row r="870">
      <c r="B870" s="18"/>
      <c r="C870" s="18"/>
      <c r="D870" s="18"/>
    </row>
    <row r="871">
      <c r="B871" s="18"/>
      <c r="C871" s="18"/>
      <c r="D871" s="18"/>
    </row>
    <row r="872">
      <c r="B872" s="18"/>
      <c r="C872" s="18"/>
      <c r="D872" s="18"/>
    </row>
    <row r="873">
      <c r="B873" s="18"/>
      <c r="C873" s="18"/>
      <c r="D873" s="18"/>
    </row>
    <row r="874">
      <c r="B874" s="18"/>
      <c r="C874" s="18"/>
      <c r="D874" s="18"/>
    </row>
    <row r="875">
      <c r="B875" s="18"/>
      <c r="C875" s="18"/>
      <c r="D875" s="18"/>
    </row>
    <row r="876">
      <c r="B876" s="18"/>
      <c r="C876" s="18"/>
      <c r="D876" s="18"/>
    </row>
    <row r="877">
      <c r="B877" s="18"/>
      <c r="C877" s="18"/>
      <c r="D877" s="18"/>
    </row>
    <row r="878">
      <c r="B878" s="18"/>
      <c r="C878" s="18"/>
      <c r="D878" s="18"/>
    </row>
    <row r="879">
      <c r="B879" s="18"/>
      <c r="C879" s="18"/>
      <c r="D879" s="18"/>
    </row>
    <row r="880">
      <c r="B880" s="18"/>
      <c r="C880" s="18"/>
      <c r="D880" s="18"/>
    </row>
    <row r="881">
      <c r="B881" s="18"/>
      <c r="C881" s="18"/>
      <c r="D881" s="18"/>
    </row>
    <row r="882">
      <c r="B882" s="18"/>
      <c r="C882" s="18"/>
      <c r="D882" s="18"/>
    </row>
    <row r="883">
      <c r="B883" s="18"/>
      <c r="C883" s="18"/>
      <c r="D883" s="18"/>
    </row>
    <row r="884">
      <c r="B884" s="18"/>
      <c r="C884" s="18"/>
      <c r="D884" s="18"/>
    </row>
    <row r="885">
      <c r="B885" s="18"/>
      <c r="C885" s="18"/>
      <c r="D885" s="18"/>
    </row>
    <row r="886">
      <c r="B886" s="18"/>
      <c r="C886" s="18"/>
      <c r="D886" s="18"/>
    </row>
    <row r="887">
      <c r="B887" s="18"/>
      <c r="C887" s="18"/>
      <c r="D887" s="18"/>
    </row>
    <row r="888">
      <c r="B888" s="18"/>
      <c r="C888" s="18"/>
      <c r="D888" s="18"/>
    </row>
    <row r="889">
      <c r="B889" s="18"/>
      <c r="C889" s="18"/>
      <c r="D889" s="18"/>
    </row>
    <row r="890">
      <c r="B890" s="18"/>
      <c r="C890" s="18"/>
      <c r="D890" s="18"/>
    </row>
    <row r="891">
      <c r="B891" s="18"/>
      <c r="C891" s="18"/>
      <c r="D891" s="18"/>
    </row>
    <row r="892">
      <c r="B892" s="18"/>
      <c r="C892" s="18"/>
      <c r="D892" s="18"/>
    </row>
    <row r="893">
      <c r="B893" s="18"/>
      <c r="C893" s="18"/>
      <c r="D893" s="18"/>
    </row>
    <row r="894">
      <c r="B894" s="18"/>
      <c r="C894" s="18"/>
      <c r="D894" s="18"/>
    </row>
    <row r="895">
      <c r="B895" s="18"/>
      <c r="C895" s="18"/>
      <c r="D895" s="18"/>
    </row>
    <row r="896">
      <c r="B896" s="18"/>
      <c r="C896" s="18"/>
      <c r="D896" s="18"/>
    </row>
    <row r="897">
      <c r="B897" s="18"/>
      <c r="C897" s="18"/>
      <c r="D897" s="18"/>
    </row>
    <row r="898">
      <c r="B898" s="18"/>
      <c r="C898" s="18"/>
      <c r="D898" s="18"/>
    </row>
    <row r="899">
      <c r="B899" s="18"/>
      <c r="C899" s="18"/>
      <c r="D899" s="18"/>
    </row>
    <row r="900">
      <c r="B900" s="18"/>
      <c r="C900" s="18"/>
      <c r="D900" s="18"/>
    </row>
    <row r="901">
      <c r="B901" s="18"/>
      <c r="C901" s="18"/>
      <c r="D901" s="18"/>
    </row>
    <row r="902">
      <c r="B902" s="18"/>
      <c r="C902" s="18"/>
      <c r="D902" s="18"/>
    </row>
    <row r="903">
      <c r="B903" s="18"/>
      <c r="C903" s="18"/>
      <c r="D903" s="18"/>
    </row>
    <row r="904">
      <c r="B904" s="18"/>
      <c r="C904" s="18"/>
      <c r="D904" s="18"/>
    </row>
    <row r="905">
      <c r="B905" s="18"/>
      <c r="C905" s="18"/>
      <c r="D905" s="18"/>
    </row>
    <row r="906">
      <c r="B906" s="18"/>
      <c r="C906" s="18"/>
      <c r="D906" s="18"/>
    </row>
    <row r="907">
      <c r="B907" s="18"/>
      <c r="C907" s="18"/>
      <c r="D907" s="18"/>
    </row>
    <row r="908">
      <c r="B908" s="18"/>
      <c r="C908" s="18"/>
      <c r="D908" s="18"/>
    </row>
    <row r="909">
      <c r="B909" s="18"/>
      <c r="C909" s="18"/>
      <c r="D909" s="18"/>
    </row>
    <row r="910">
      <c r="B910" s="18"/>
      <c r="C910" s="18"/>
      <c r="D910" s="18"/>
    </row>
    <row r="911">
      <c r="B911" s="18"/>
      <c r="C911" s="18"/>
      <c r="D911" s="18"/>
    </row>
    <row r="912">
      <c r="B912" s="18"/>
      <c r="C912" s="18"/>
      <c r="D912" s="18"/>
    </row>
    <row r="913">
      <c r="B913" s="18"/>
      <c r="C913" s="18"/>
      <c r="D913" s="18"/>
    </row>
    <row r="914">
      <c r="B914" s="18"/>
      <c r="C914" s="18"/>
      <c r="D914" s="18"/>
    </row>
    <row r="915">
      <c r="B915" s="18"/>
      <c r="C915" s="18"/>
      <c r="D915" s="18"/>
    </row>
    <row r="916">
      <c r="B916" s="18"/>
      <c r="C916" s="18"/>
      <c r="D916" s="18"/>
    </row>
    <row r="917">
      <c r="B917" s="18"/>
      <c r="C917" s="18"/>
      <c r="D917" s="18"/>
    </row>
    <row r="918">
      <c r="B918" s="18"/>
      <c r="C918" s="18"/>
      <c r="D918" s="18"/>
    </row>
    <row r="919">
      <c r="B919" s="18"/>
      <c r="C919" s="18"/>
      <c r="D919" s="18"/>
    </row>
    <row r="920">
      <c r="B920" s="18"/>
      <c r="C920" s="18"/>
      <c r="D920" s="18"/>
    </row>
    <row r="921">
      <c r="B921" s="18"/>
      <c r="C921" s="18"/>
      <c r="D921" s="18"/>
    </row>
    <row r="922">
      <c r="B922" s="18"/>
      <c r="C922" s="18"/>
      <c r="D922" s="18"/>
    </row>
    <row r="923">
      <c r="B923" s="18"/>
      <c r="C923" s="18"/>
      <c r="D923" s="18"/>
    </row>
    <row r="924">
      <c r="B924" s="18"/>
      <c r="C924" s="18"/>
      <c r="D924" s="18"/>
    </row>
    <row r="925">
      <c r="B925" s="18"/>
      <c r="C925" s="18"/>
      <c r="D925" s="18"/>
    </row>
    <row r="926">
      <c r="B926" s="18"/>
      <c r="C926" s="18"/>
      <c r="D926" s="18"/>
    </row>
    <row r="927">
      <c r="B927" s="18"/>
      <c r="C927" s="18"/>
      <c r="D927" s="18"/>
    </row>
    <row r="928">
      <c r="B928" s="18"/>
      <c r="C928" s="18"/>
      <c r="D928" s="18"/>
    </row>
    <row r="929">
      <c r="B929" s="18"/>
      <c r="C929" s="18"/>
      <c r="D929" s="18"/>
    </row>
    <row r="930">
      <c r="B930" s="18"/>
      <c r="C930" s="18"/>
      <c r="D930" s="18"/>
    </row>
    <row r="931">
      <c r="B931" s="18"/>
      <c r="C931" s="18"/>
      <c r="D931" s="18"/>
    </row>
    <row r="932">
      <c r="B932" s="18"/>
      <c r="C932" s="18"/>
      <c r="D932" s="18"/>
    </row>
    <row r="933">
      <c r="B933" s="18"/>
      <c r="C933" s="18"/>
      <c r="D933" s="18"/>
    </row>
    <row r="934">
      <c r="B934" s="18"/>
      <c r="C934" s="18"/>
      <c r="D934" s="18"/>
    </row>
    <row r="935">
      <c r="B935" s="18"/>
      <c r="C935" s="18"/>
      <c r="D935" s="18"/>
    </row>
    <row r="936">
      <c r="B936" s="18"/>
      <c r="C936" s="18"/>
      <c r="D936" s="18"/>
    </row>
    <row r="937">
      <c r="B937" s="18"/>
      <c r="C937" s="18"/>
      <c r="D937" s="18"/>
    </row>
    <row r="938">
      <c r="B938" s="18"/>
      <c r="C938" s="18"/>
      <c r="D938" s="18"/>
    </row>
    <row r="939">
      <c r="B939" s="18"/>
      <c r="C939" s="18"/>
      <c r="D939" s="18"/>
    </row>
    <row r="940">
      <c r="B940" s="18"/>
      <c r="C940" s="18"/>
      <c r="D940" s="18"/>
    </row>
    <row r="941">
      <c r="B941" s="18"/>
      <c r="C941" s="18"/>
      <c r="D941" s="18"/>
    </row>
    <row r="942">
      <c r="B942" s="18"/>
      <c r="C942" s="18"/>
      <c r="D942" s="18"/>
    </row>
    <row r="943">
      <c r="B943" s="18"/>
      <c r="C943" s="18"/>
      <c r="D943" s="18"/>
    </row>
    <row r="944">
      <c r="B944" s="18"/>
      <c r="C944" s="18"/>
      <c r="D944" s="18"/>
    </row>
    <row r="945">
      <c r="B945" s="18"/>
      <c r="C945" s="18"/>
      <c r="D945" s="18"/>
    </row>
    <row r="946">
      <c r="B946" s="18"/>
      <c r="C946" s="18"/>
      <c r="D946" s="18"/>
    </row>
    <row r="947">
      <c r="B947" s="18"/>
      <c r="C947" s="18"/>
      <c r="D947" s="18"/>
    </row>
    <row r="948">
      <c r="B948" s="18"/>
      <c r="C948" s="18"/>
      <c r="D948" s="18"/>
    </row>
    <row r="949">
      <c r="B949" s="18"/>
      <c r="C949" s="18"/>
      <c r="D949" s="18"/>
    </row>
    <row r="950">
      <c r="B950" s="18"/>
      <c r="C950" s="18"/>
      <c r="D950" s="18"/>
    </row>
    <row r="951">
      <c r="B951" s="18"/>
      <c r="C951" s="18"/>
      <c r="D951" s="18"/>
    </row>
    <row r="952">
      <c r="B952" s="18"/>
      <c r="C952" s="18"/>
      <c r="D952" s="18"/>
    </row>
    <row r="953">
      <c r="B953" s="18"/>
      <c r="C953" s="18"/>
      <c r="D953" s="18"/>
    </row>
    <row r="954">
      <c r="B954" s="18"/>
      <c r="C954" s="18"/>
      <c r="D954" s="18"/>
    </row>
    <row r="955">
      <c r="B955" s="18"/>
      <c r="C955" s="18"/>
      <c r="D955" s="18"/>
    </row>
    <row r="956">
      <c r="B956" s="18"/>
      <c r="C956" s="18"/>
      <c r="D956" s="18"/>
    </row>
    <row r="957">
      <c r="B957" s="18"/>
      <c r="C957" s="18"/>
      <c r="D957" s="18"/>
    </row>
    <row r="958">
      <c r="B958" s="18"/>
      <c r="C958" s="18"/>
      <c r="D958" s="18"/>
    </row>
    <row r="959">
      <c r="B959" s="18"/>
      <c r="C959" s="18"/>
      <c r="D959" s="18"/>
    </row>
    <row r="960">
      <c r="B960" s="18"/>
      <c r="C960" s="18"/>
      <c r="D960" s="18"/>
    </row>
    <row r="961">
      <c r="B961" s="18"/>
      <c r="C961" s="18"/>
      <c r="D961" s="18"/>
    </row>
    <row r="962">
      <c r="B962" s="18"/>
      <c r="C962" s="18"/>
      <c r="D962" s="18"/>
    </row>
    <row r="963">
      <c r="B963" s="18"/>
      <c r="C963" s="18"/>
      <c r="D963" s="18"/>
    </row>
    <row r="964">
      <c r="B964" s="18"/>
      <c r="C964" s="18"/>
      <c r="D964" s="18"/>
    </row>
    <row r="965">
      <c r="B965" s="18"/>
      <c r="C965" s="18"/>
      <c r="D965" s="18"/>
    </row>
    <row r="966">
      <c r="B966" s="18"/>
      <c r="C966" s="18"/>
      <c r="D966" s="18"/>
    </row>
    <row r="967">
      <c r="B967" s="18"/>
      <c r="C967" s="18"/>
      <c r="D967" s="18"/>
    </row>
    <row r="968">
      <c r="B968" s="18"/>
      <c r="C968" s="18"/>
      <c r="D968" s="18"/>
    </row>
    <row r="969">
      <c r="B969" s="18"/>
      <c r="C969" s="18"/>
      <c r="D969" s="18"/>
    </row>
    <row r="970">
      <c r="B970" s="18"/>
      <c r="C970" s="18"/>
      <c r="D970" s="18"/>
    </row>
    <row r="971">
      <c r="B971" s="18"/>
      <c r="C971" s="18"/>
      <c r="D971" s="18"/>
    </row>
    <row r="972">
      <c r="B972" s="18"/>
      <c r="C972" s="18"/>
      <c r="D972" s="18"/>
    </row>
    <row r="973">
      <c r="B973" s="18"/>
      <c r="C973" s="18"/>
      <c r="D973" s="18"/>
    </row>
    <row r="974">
      <c r="B974" s="18"/>
      <c r="C974" s="18"/>
      <c r="D974" s="18"/>
    </row>
    <row r="975">
      <c r="B975" s="18"/>
      <c r="C975" s="18"/>
      <c r="D975" s="18"/>
    </row>
    <row r="976">
      <c r="B976" s="18"/>
      <c r="C976" s="18"/>
      <c r="D976" s="18"/>
    </row>
    <row r="977">
      <c r="B977" s="18"/>
      <c r="C977" s="18"/>
      <c r="D977" s="18"/>
    </row>
    <row r="978">
      <c r="B978" s="18"/>
      <c r="C978" s="18"/>
      <c r="D978" s="18"/>
    </row>
    <row r="979">
      <c r="B979" s="18"/>
      <c r="C979" s="18"/>
      <c r="D979" s="18"/>
    </row>
    <row r="980">
      <c r="B980" s="18"/>
      <c r="C980" s="18"/>
      <c r="D980" s="18"/>
    </row>
    <row r="981">
      <c r="B981" s="18"/>
      <c r="C981" s="18"/>
      <c r="D981" s="18"/>
    </row>
    <row r="982">
      <c r="B982" s="18"/>
      <c r="C982" s="18"/>
      <c r="D982" s="18"/>
    </row>
    <row r="983">
      <c r="B983" s="18"/>
      <c r="C983" s="18"/>
      <c r="D983" s="18"/>
    </row>
    <row r="984">
      <c r="B984" s="18"/>
      <c r="C984" s="18"/>
      <c r="D984" s="18"/>
    </row>
    <row r="985">
      <c r="B985" s="18"/>
      <c r="C985" s="18"/>
      <c r="D985" s="18"/>
    </row>
    <row r="986">
      <c r="B986" s="18"/>
      <c r="C986" s="18"/>
      <c r="D986" s="18"/>
    </row>
    <row r="987">
      <c r="B987" s="18"/>
      <c r="C987" s="18"/>
      <c r="D987" s="18"/>
    </row>
    <row r="988">
      <c r="B988" s="18"/>
      <c r="C988" s="18"/>
      <c r="D988" s="18"/>
    </row>
    <row r="989">
      <c r="B989" s="18"/>
      <c r="C989" s="18"/>
      <c r="D989" s="18"/>
    </row>
    <row r="990">
      <c r="B990" s="18"/>
      <c r="C990" s="18"/>
      <c r="D990" s="18"/>
    </row>
    <row r="991">
      <c r="B991" s="18"/>
      <c r="C991" s="18"/>
      <c r="D991" s="18"/>
    </row>
    <row r="992">
      <c r="B992" s="18"/>
      <c r="C992" s="18"/>
      <c r="D992" s="18"/>
    </row>
    <row r="993">
      <c r="B993" s="18"/>
      <c r="C993" s="18"/>
      <c r="D993" s="18"/>
    </row>
    <row r="994">
      <c r="B994" s="18"/>
      <c r="C994" s="18"/>
      <c r="D994" s="18"/>
    </row>
    <row r="995">
      <c r="B995" s="18"/>
      <c r="C995" s="18"/>
      <c r="D995" s="18"/>
    </row>
    <row r="996">
      <c r="B996" s="18"/>
      <c r="C996" s="18"/>
      <c r="D996" s="18"/>
    </row>
    <row r="997">
      <c r="B997" s="18"/>
      <c r="C997" s="18"/>
      <c r="D997" s="18"/>
    </row>
    <row r="998">
      <c r="B998" s="18"/>
      <c r="C998" s="18"/>
      <c r="D998" s="18"/>
    </row>
    <row r="999">
      <c r="B999" s="18"/>
      <c r="C999" s="18"/>
      <c r="D999" s="18"/>
    </row>
    <row r="1000">
      <c r="B1000" s="18"/>
      <c r="C1000" s="18"/>
      <c r="D1000" s="18"/>
    </row>
  </sheetData>
  <mergeCells count="1">
    <mergeCell ref="A1:Q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5" max="6" width="13.5"/>
    <col customWidth="1" min="7" max="7" width="16.13"/>
    <col customWidth="1" min="12" max="12" width="17.13"/>
    <col customWidth="1" min="13" max="13" width="17.88"/>
    <col customWidth="1" min="18" max="18" width="20.0"/>
  </cols>
  <sheetData>
    <row r="1">
      <c r="A1" s="1" t="s">
        <v>4</v>
      </c>
    </row>
    <row r="3">
      <c r="A3" s="20" t="s">
        <v>102</v>
      </c>
      <c r="P3" s="21" t="s">
        <v>103</v>
      </c>
    </row>
    <row r="5">
      <c r="A5" s="22" t="s">
        <v>104</v>
      </c>
      <c r="B5" s="22" t="s">
        <v>105</v>
      </c>
      <c r="C5" s="22" t="s">
        <v>106</v>
      </c>
      <c r="D5" s="22" t="s">
        <v>107</v>
      </c>
      <c r="E5" s="22" t="s">
        <v>108</v>
      </c>
      <c r="F5" s="22" t="s">
        <v>109</v>
      </c>
      <c r="G5" s="22" t="s">
        <v>110</v>
      </c>
      <c r="H5" s="22" t="s">
        <v>111</v>
      </c>
      <c r="I5" s="22" t="s">
        <v>112</v>
      </c>
      <c r="J5" s="22" t="s">
        <v>113</v>
      </c>
      <c r="K5" s="22" t="s">
        <v>114</v>
      </c>
      <c r="L5" s="22" t="s">
        <v>115</v>
      </c>
      <c r="M5" s="22" t="s">
        <v>116</v>
      </c>
      <c r="N5" s="22" t="s">
        <v>117</v>
      </c>
      <c r="P5" s="23" t="s">
        <v>118</v>
      </c>
      <c r="Q5" s="23" t="s">
        <v>107</v>
      </c>
      <c r="R5" s="23" t="s">
        <v>110</v>
      </c>
      <c r="S5" s="23" t="s">
        <v>113</v>
      </c>
      <c r="T5" s="23" t="s">
        <v>114</v>
      </c>
      <c r="U5" s="23" t="s">
        <v>111</v>
      </c>
    </row>
    <row r="6">
      <c r="B6" s="2" t="s">
        <v>119</v>
      </c>
      <c r="C6" s="2" t="s">
        <v>120</v>
      </c>
      <c r="D6" s="24">
        <v>45009.0</v>
      </c>
      <c r="E6" s="2" t="s">
        <v>121</v>
      </c>
      <c r="F6" s="2"/>
      <c r="G6" s="2" t="s">
        <v>122</v>
      </c>
      <c r="H6" s="2" t="s">
        <v>123</v>
      </c>
      <c r="I6" s="25">
        <v>45658.0</v>
      </c>
      <c r="J6" s="2">
        <v>50.0</v>
      </c>
      <c r="K6" s="17">
        <f>26*1.21</f>
        <v>31.46</v>
      </c>
      <c r="L6" s="2"/>
      <c r="M6" s="2"/>
      <c r="N6" s="2"/>
      <c r="P6" s="2" t="s">
        <v>64</v>
      </c>
      <c r="Q6" s="24">
        <v>45015.0</v>
      </c>
      <c r="R6" s="2" t="s">
        <v>122</v>
      </c>
      <c r="S6" s="2">
        <v>40.0</v>
      </c>
      <c r="T6" s="26">
        <f t="shared" ref="T6:T149" si="1">IF(ISBLANK(U6),"",VLOOKUP($U6,$H$6:$K$2000,4,FALSE)/VLOOKUP(U6,$H$6:$K$2000,3,FALSE)*$S6)</f>
        <v>25.168</v>
      </c>
      <c r="U6" s="2" t="s">
        <v>123</v>
      </c>
    </row>
    <row r="7">
      <c r="B7" s="2" t="s">
        <v>119</v>
      </c>
      <c r="C7" s="2" t="s">
        <v>120</v>
      </c>
      <c r="D7" s="24">
        <v>45009.0</v>
      </c>
      <c r="E7" s="2" t="s">
        <v>121</v>
      </c>
      <c r="F7" s="2"/>
      <c r="G7" s="2" t="s">
        <v>124</v>
      </c>
      <c r="H7" s="2" t="s">
        <v>125</v>
      </c>
      <c r="I7" s="25">
        <v>45689.0</v>
      </c>
      <c r="J7" s="2">
        <v>25.0</v>
      </c>
      <c r="K7" s="17">
        <v>25.65</v>
      </c>
      <c r="L7" s="8"/>
      <c r="M7" s="8"/>
      <c r="P7" s="2" t="s">
        <v>65</v>
      </c>
      <c r="Q7" s="24">
        <v>45015.0</v>
      </c>
      <c r="R7" s="2" t="s">
        <v>122</v>
      </c>
      <c r="S7" s="2">
        <v>10.0</v>
      </c>
      <c r="T7" s="26">
        <f t="shared" si="1"/>
        <v>6.292</v>
      </c>
      <c r="U7" s="2" t="s">
        <v>123</v>
      </c>
    </row>
    <row r="8">
      <c r="B8" s="2" t="s">
        <v>119</v>
      </c>
      <c r="C8" s="2" t="s">
        <v>120</v>
      </c>
      <c r="D8" s="24">
        <v>45009.0</v>
      </c>
      <c r="E8" s="2" t="s">
        <v>121</v>
      </c>
      <c r="F8" s="2"/>
      <c r="G8" s="2" t="s">
        <v>124</v>
      </c>
      <c r="H8" s="2" t="s">
        <v>126</v>
      </c>
      <c r="I8" s="25">
        <v>45689.0</v>
      </c>
      <c r="J8" s="2">
        <v>25.0</v>
      </c>
      <c r="K8" s="17">
        <v>25.65</v>
      </c>
      <c r="L8" s="8"/>
      <c r="M8" s="8"/>
      <c r="P8" s="2" t="s">
        <v>64</v>
      </c>
      <c r="Q8" s="24">
        <v>45015.0</v>
      </c>
      <c r="R8" s="2" t="s">
        <v>124</v>
      </c>
      <c r="S8" s="2">
        <v>20.0</v>
      </c>
      <c r="T8" s="26">
        <f t="shared" si="1"/>
        <v>20.52</v>
      </c>
      <c r="U8" s="2" t="s">
        <v>125</v>
      </c>
    </row>
    <row r="9">
      <c r="B9" s="2" t="s">
        <v>119</v>
      </c>
      <c r="C9" s="2" t="s">
        <v>120</v>
      </c>
      <c r="D9" s="24">
        <v>45009.0</v>
      </c>
      <c r="E9" s="2" t="s">
        <v>121</v>
      </c>
      <c r="F9" s="2"/>
      <c r="G9" s="2" t="s">
        <v>127</v>
      </c>
      <c r="H9" s="2" t="s">
        <v>128</v>
      </c>
      <c r="I9" s="25">
        <v>45505.0</v>
      </c>
      <c r="J9" s="2">
        <v>75.0</v>
      </c>
      <c r="K9" s="17">
        <v>78.23</v>
      </c>
      <c r="L9" s="8"/>
      <c r="M9" s="8"/>
      <c r="P9" s="2" t="s">
        <v>65</v>
      </c>
      <c r="Q9" s="24">
        <v>45015.0</v>
      </c>
      <c r="R9" s="2" t="s">
        <v>124</v>
      </c>
      <c r="S9" s="2">
        <v>5.0</v>
      </c>
      <c r="T9" s="26">
        <f t="shared" si="1"/>
        <v>5.13</v>
      </c>
      <c r="U9" s="2" t="s">
        <v>125</v>
      </c>
    </row>
    <row r="10">
      <c r="A10" s="2">
        <v>3.72012518E8</v>
      </c>
      <c r="B10" s="2" t="s">
        <v>129</v>
      </c>
      <c r="C10" s="2" t="s">
        <v>130</v>
      </c>
      <c r="D10" s="24">
        <v>45013.0</v>
      </c>
      <c r="E10" s="2" t="s">
        <v>131</v>
      </c>
      <c r="F10" s="2" t="s">
        <v>132</v>
      </c>
      <c r="G10" s="2" t="s">
        <v>133</v>
      </c>
      <c r="H10" s="2" t="s">
        <v>134</v>
      </c>
      <c r="I10" s="27">
        <v>45552.0</v>
      </c>
      <c r="J10" s="2">
        <v>25.0</v>
      </c>
      <c r="K10" s="17">
        <v>40.55</v>
      </c>
      <c r="L10" s="2" t="s">
        <v>135</v>
      </c>
      <c r="M10" s="2" t="s">
        <v>136</v>
      </c>
      <c r="N10" s="2" t="s">
        <v>137</v>
      </c>
      <c r="P10" s="2" t="s">
        <v>66</v>
      </c>
      <c r="Q10" s="24">
        <v>45020.0</v>
      </c>
      <c r="R10" s="2" t="s">
        <v>124</v>
      </c>
      <c r="S10" s="2">
        <v>9.1</v>
      </c>
      <c r="T10" s="26">
        <f t="shared" si="1"/>
        <v>9.3366</v>
      </c>
      <c r="U10" s="2" t="s">
        <v>126</v>
      </c>
    </row>
    <row r="11">
      <c r="B11" s="2" t="s">
        <v>119</v>
      </c>
      <c r="C11" s="2" t="s">
        <v>120</v>
      </c>
      <c r="D11" s="24">
        <v>45009.0</v>
      </c>
      <c r="E11" s="2" t="s">
        <v>121</v>
      </c>
      <c r="F11" s="28"/>
      <c r="G11" s="2" t="s">
        <v>138</v>
      </c>
      <c r="H11" s="2" t="s">
        <v>139</v>
      </c>
      <c r="I11" s="25">
        <v>45352.0</v>
      </c>
      <c r="J11" s="2">
        <v>25.0</v>
      </c>
      <c r="K11" s="17">
        <v>12.72</v>
      </c>
      <c r="L11" s="8"/>
      <c r="M11" s="8"/>
      <c r="P11" s="2" t="s">
        <v>66</v>
      </c>
      <c r="Q11" s="24">
        <v>45020.0</v>
      </c>
      <c r="R11" s="2" t="s">
        <v>127</v>
      </c>
      <c r="S11" s="2">
        <v>50.0</v>
      </c>
      <c r="T11" s="26">
        <f t="shared" si="1"/>
        <v>52.15333333</v>
      </c>
      <c r="U11" s="2" t="s">
        <v>128</v>
      </c>
    </row>
    <row r="12">
      <c r="A12" s="2">
        <v>3.72012518E8</v>
      </c>
      <c r="B12" s="2" t="s">
        <v>129</v>
      </c>
      <c r="C12" s="2" t="s">
        <v>130</v>
      </c>
      <c r="D12" s="24">
        <v>45013.0</v>
      </c>
      <c r="E12" s="2" t="s">
        <v>131</v>
      </c>
      <c r="F12" s="2" t="s">
        <v>140</v>
      </c>
      <c r="G12" s="2" t="s">
        <v>141</v>
      </c>
      <c r="H12" s="2" t="s">
        <v>142</v>
      </c>
      <c r="I12" s="27">
        <v>45645.0</v>
      </c>
      <c r="J12" s="2">
        <v>25.0</v>
      </c>
      <c r="K12" s="17">
        <v>33.95</v>
      </c>
      <c r="L12" s="8"/>
      <c r="M12" s="8"/>
      <c r="P12" s="2" t="s">
        <v>66</v>
      </c>
      <c r="Q12" s="24">
        <v>45020.0</v>
      </c>
      <c r="R12" s="2" t="s">
        <v>133</v>
      </c>
      <c r="S12" s="2">
        <v>12.5</v>
      </c>
      <c r="T12" s="26">
        <f t="shared" si="1"/>
        <v>20.275</v>
      </c>
      <c r="U12" s="2" t="s">
        <v>134</v>
      </c>
    </row>
    <row r="13">
      <c r="A13" s="2">
        <v>3.72012518E8</v>
      </c>
      <c r="B13" s="2" t="s">
        <v>129</v>
      </c>
      <c r="C13" s="2" t="s">
        <v>130</v>
      </c>
      <c r="D13" s="24">
        <v>45013.0</v>
      </c>
      <c r="E13" s="2" t="s">
        <v>131</v>
      </c>
      <c r="F13" s="2" t="s">
        <v>143</v>
      </c>
      <c r="G13" s="2" t="s">
        <v>144</v>
      </c>
      <c r="H13" s="2" t="s">
        <v>145</v>
      </c>
      <c r="I13" s="27">
        <v>45538.0</v>
      </c>
      <c r="J13" s="2">
        <v>5.0</v>
      </c>
      <c r="K13" s="17">
        <v>13.35</v>
      </c>
      <c r="L13" s="8"/>
      <c r="M13" s="8"/>
      <c r="P13" s="2" t="s">
        <v>66</v>
      </c>
      <c r="Q13" s="24">
        <v>45020.0</v>
      </c>
      <c r="R13" s="2" t="s">
        <v>138</v>
      </c>
      <c r="S13" s="2">
        <v>5.0</v>
      </c>
      <c r="T13" s="26">
        <f t="shared" si="1"/>
        <v>2.544</v>
      </c>
      <c r="U13" s="2" t="s">
        <v>139</v>
      </c>
    </row>
    <row r="14">
      <c r="A14" s="2">
        <v>3.72012518E8</v>
      </c>
      <c r="B14" s="2" t="s">
        <v>129</v>
      </c>
      <c r="C14" s="2" t="s">
        <v>130</v>
      </c>
      <c r="D14" s="24">
        <v>45013.0</v>
      </c>
      <c r="E14" s="2" t="s">
        <v>131</v>
      </c>
      <c r="F14" s="28"/>
      <c r="G14" s="2" t="s">
        <v>146</v>
      </c>
      <c r="H14" s="2" t="s">
        <v>147</v>
      </c>
      <c r="I14" s="27">
        <v>45452.0</v>
      </c>
      <c r="J14" s="2">
        <v>5.0</v>
      </c>
      <c r="K14" s="17">
        <v>11.35</v>
      </c>
      <c r="L14" s="8"/>
      <c r="M14" s="8"/>
      <c r="P14" s="2" t="s">
        <v>66</v>
      </c>
      <c r="Q14" s="24">
        <v>45020.0</v>
      </c>
      <c r="R14" s="2" t="s">
        <v>141</v>
      </c>
      <c r="S14" s="2">
        <v>12.0</v>
      </c>
      <c r="T14" s="26">
        <f t="shared" si="1"/>
        <v>16.296</v>
      </c>
      <c r="U14" s="2" t="s">
        <v>142</v>
      </c>
    </row>
    <row r="15">
      <c r="A15" s="2">
        <v>3.72012518E8</v>
      </c>
      <c r="B15" s="2" t="s">
        <v>129</v>
      </c>
      <c r="C15" s="2" t="s">
        <v>130</v>
      </c>
      <c r="D15" s="24">
        <v>45013.0</v>
      </c>
      <c r="E15" s="2" t="s">
        <v>131</v>
      </c>
      <c r="F15" s="28"/>
      <c r="G15" s="2" t="s">
        <v>146</v>
      </c>
      <c r="H15" s="2" t="s">
        <v>148</v>
      </c>
      <c r="I15" s="29">
        <v>45545.0</v>
      </c>
      <c r="J15" s="2">
        <v>1.0</v>
      </c>
      <c r="K15" s="17">
        <v>6.0</v>
      </c>
      <c r="L15" s="8"/>
      <c r="M15" s="8"/>
      <c r="P15" s="2" t="s">
        <v>64</v>
      </c>
      <c r="Q15" s="24">
        <v>45015.0</v>
      </c>
      <c r="R15" s="2" t="s">
        <v>144</v>
      </c>
      <c r="S15" s="2">
        <v>4.0</v>
      </c>
      <c r="T15" s="26">
        <f t="shared" si="1"/>
        <v>10.68</v>
      </c>
      <c r="U15" s="2" t="s">
        <v>145</v>
      </c>
    </row>
    <row r="16">
      <c r="A16" s="2">
        <v>3.72012518E8</v>
      </c>
      <c r="B16" s="2" t="s">
        <v>129</v>
      </c>
      <c r="C16" s="2" t="s">
        <v>130</v>
      </c>
      <c r="D16" s="24">
        <v>45013.0</v>
      </c>
      <c r="E16" s="2" t="s">
        <v>131</v>
      </c>
      <c r="F16" s="28"/>
      <c r="G16" s="2" t="s">
        <v>149</v>
      </c>
      <c r="H16" s="2" t="s">
        <v>150</v>
      </c>
      <c r="I16" s="27">
        <v>45521.0</v>
      </c>
      <c r="J16" s="2">
        <v>5.0</v>
      </c>
      <c r="K16" s="17">
        <v>14.62</v>
      </c>
      <c r="L16" s="8"/>
      <c r="M16" s="8"/>
      <c r="P16" s="2" t="s">
        <v>65</v>
      </c>
      <c r="Q16" s="24">
        <v>45015.0</v>
      </c>
      <c r="R16" s="2" t="s">
        <v>144</v>
      </c>
      <c r="S16" s="2">
        <v>1.0</v>
      </c>
      <c r="T16" s="26">
        <f t="shared" si="1"/>
        <v>2.67</v>
      </c>
      <c r="U16" s="2" t="s">
        <v>145</v>
      </c>
    </row>
    <row r="17">
      <c r="A17" s="2">
        <v>3.72012518E8</v>
      </c>
      <c r="B17" s="2" t="s">
        <v>129</v>
      </c>
      <c r="C17" s="2" t="s">
        <v>130</v>
      </c>
      <c r="D17" s="24">
        <v>45013.0</v>
      </c>
      <c r="E17" s="2" t="s">
        <v>131</v>
      </c>
      <c r="F17" s="28"/>
      <c r="G17" s="2" t="s">
        <v>149</v>
      </c>
      <c r="H17" s="2" t="s">
        <v>151</v>
      </c>
      <c r="I17" s="29">
        <v>45528.0</v>
      </c>
      <c r="J17" s="2">
        <v>1.0</v>
      </c>
      <c r="K17" s="17">
        <v>3.68</v>
      </c>
      <c r="L17" s="8"/>
      <c r="M17" s="8"/>
      <c r="P17" s="2" t="s">
        <v>66</v>
      </c>
      <c r="Q17" s="24">
        <v>45020.0</v>
      </c>
      <c r="R17" s="2" t="s">
        <v>146</v>
      </c>
      <c r="S17" s="2">
        <v>5.0</v>
      </c>
      <c r="T17" s="26">
        <f t="shared" si="1"/>
        <v>11.35</v>
      </c>
      <c r="U17" s="2" t="s">
        <v>147</v>
      </c>
    </row>
    <row r="18">
      <c r="B18" s="2" t="s">
        <v>152</v>
      </c>
      <c r="C18" s="2" t="s">
        <v>120</v>
      </c>
      <c r="D18" s="24">
        <v>45083.0</v>
      </c>
      <c r="E18" s="2" t="s">
        <v>121</v>
      </c>
      <c r="G18" s="2" t="s">
        <v>122</v>
      </c>
      <c r="H18" s="2" t="s">
        <v>153</v>
      </c>
      <c r="I18" s="25">
        <v>45536.0</v>
      </c>
      <c r="J18" s="2">
        <v>50.0</v>
      </c>
      <c r="K18" s="17">
        <v>48.76</v>
      </c>
      <c r="L18" s="8"/>
      <c r="M18" s="8"/>
      <c r="P18" s="2" t="s">
        <v>66</v>
      </c>
      <c r="Q18" s="24">
        <v>45020.0</v>
      </c>
      <c r="R18" s="2" t="s">
        <v>149</v>
      </c>
      <c r="S18" s="2">
        <v>5.0</v>
      </c>
      <c r="T18" s="26">
        <f t="shared" si="1"/>
        <v>14.62</v>
      </c>
      <c r="U18" s="2" t="s">
        <v>150</v>
      </c>
    </row>
    <row r="19">
      <c r="B19" s="2" t="s">
        <v>154</v>
      </c>
      <c r="C19" s="2" t="s">
        <v>120</v>
      </c>
      <c r="D19" s="24">
        <v>45083.0</v>
      </c>
      <c r="E19" s="2" t="s">
        <v>121</v>
      </c>
      <c r="F19" s="28"/>
      <c r="G19" s="2" t="s">
        <v>155</v>
      </c>
      <c r="H19" s="2" t="s">
        <v>156</v>
      </c>
      <c r="J19" s="2">
        <v>25.0</v>
      </c>
      <c r="K19" s="17">
        <v>12.72</v>
      </c>
      <c r="L19" s="8"/>
      <c r="M19" s="8"/>
      <c r="P19" s="2" t="s">
        <v>67</v>
      </c>
      <c r="Q19" s="24">
        <v>45085.0</v>
      </c>
      <c r="R19" s="2" t="s">
        <v>155</v>
      </c>
      <c r="S19" s="2">
        <v>25.0</v>
      </c>
      <c r="T19" s="26">
        <f t="shared" si="1"/>
        <v>12.72</v>
      </c>
      <c r="U19" s="2" t="s">
        <v>156</v>
      </c>
    </row>
    <row r="20">
      <c r="B20" s="2" t="s">
        <v>157</v>
      </c>
      <c r="C20" s="2" t="s">
        <v>130</v>
      </c>
      <c r="D20" s="29">
        <v>45104.0</v>
      </c>
      <c r="E20" s="2" t="s">
        <v>121</v>
      </c>
      <c r="F20" s="28"/>
      <c r="G20" s="2" t="s">
        <v>122</v>
      </c>
      <c r="H20" s="2" t="s">
        <v>158</v>
      </c>
      <c r="I20" s="25">
        <v>45809.0</v>
      </c>
      <c r="J20" s="2">
        <v>50.0</v>
      </c>
      <c r="K20" s="17">
        <v>48.76</v>
      </c>
      <c r="L20" s="8"/>
      <c r="M20" s="8"/>
      <c r="P20" s="2" t="s">
        <v>67</v>
      </c>
      <c r="Q20" s="24">
        <v>45085.0</v>
      </c>
      <c r="R20" s="2" t="s">
        <v>122</v>
      </c>
      <c r="S20" s="2">
        <v>40.0</v>
      </c>
      <c r="T20" s="26">
        <f t="shared" si="1"/>
        <v>39.008</v>
      </c>
      <c r="U20" s="2" t="s">
        <v>153</v>
      </c>
    </row>
    <row r="21">
      <c r="C21" s="2" t="s">
        <v>130</v>
      </c>
      <c r="D21" s="24">
        <v>45134.0</v>
      </c>
      <c r="E21" s="2" t="s">
        <v>159</v>
      </c>
      <c r="F21" s="28"/>
      <c r="G21" s="2" t="s">
        <v>122</v>
      </c>
      <c r="H21" s="2" t="s">
        <v>153</v>
      </c>
      <c r="I21" s="25">
        <v>45536.0</v>
      </c>
      <c r="J21" s="2">
        <v>25.0</v>
      </c>
      <c r="K21" s="17">
        <v>24.38</v>
      </c>
      <c r="L21" s="8"/>
      <c r="M21" s="8"/>
      <c r="P21" s="2" t="s">
        <v>68</v>
      </c>
      <c r="Q21" s="24">
        <v>45113.0</v>
      </c>
      <c r="R21" s="2" t="s">
        <v>122</v>
      </c>
      <c r="S21" s="2">
        <v>50.0</v>
      </c>
      <c r="T21" s="26">
        <f t="shared" si="1"/>
        <v>48.76</v>
      </c>
      <c r="U21" s="2" t="s">
        <v>158</v>
      </c>
    </row>
    <row r="22">
      <c r="C22" s="2" t="s">
        <v>130</v>
      </c>
      <c r="D22" s="24">
        <v>45134.0</v>
      </c>
      <c r="E22" s="2" t="s">
        <v>159</v>
      </c>
      <c r="F22" s="28"/>
      <c r="G22" s="2" t="s">
        <v>155</v>
      </c>
      <c r="H22" s="2" t="s">
        <v>160</v>
      </c>
      <c r="I22" s="25">
        <v>45536.0</v>
      </c>
      <c r="J22" s="2">
        <v>25.0</v>
      </c>
      <c r="K22" s="17">
        <v>10.81</v>
      </c>
      <c r="L22" s="8"/>
      <c r="M22" s="8"/>
      <c r="P22" s="2" t="s">
        <v>68</v>
      </c>
      <c r="Q22" s="24">
        <v>45113.0</v>
      </c>
      <c r="R22" s="2" t="s">
        <v>149</v>
      </c>
      <c r="S22" s="2">
        <v>1.0</v>
      </c>
      <c r="T22" s="26">
        <f t="shared" si="1"/>
        <v>3.68</v>
      </c>
      <c r="U22" s="2" t="s">
        <v>151</v>
      </c>
    </row>
    <row r="23">
      <c r="B23" s="2" t="s">
        <v>161</v>
      </c>
      <c r="C23" s="2" t="s">
        <v>130</v>
      </c>
      <c r="D23" s="24">
        <v>45136.0</v>
      </c>
      <c r="E23" s="2" t="s">
        <v>162</v>
      </c>
      <c r="F23" s="28"/>
      <c r="G23" s="2" t="s">
        <v>163</v>
      </c>
      <c r="H23" s="2" t="s">
        <v>161</v>
      </c>
      <c r="I23" s="2" t="s">
        <v>161</v>
      </c>
      <c r="J23" s="2">
        <v>10.0</v>
      </c>
      <c r="K23" s="17">
        <v>0.0</v>
      </c>
      <c r="L23" s="8"/>
      <c r="M23" s="8"/>
      <c r="P23" s="2" t="s">
        <v>68</v>
      </c>
      <c r="Q23" s="24">
        <v>45113.0</v>
      </c>
      <c r="R23" s="2" t="s">
        <v>124</v>
      </c>
      <c r="S23" s="2">
        <v>5.0</v>
      </c>
      <c r="T23" s="26">
        <f t="shared" si="1"/>
        <v>5.13</v>
      </c>
      <c r="U23" s="2" t="s">
        <v>126</v>
      </c>
    </row>
    <row r="24">
      <c r="B24" s="2" t="s">
        <v>164</v>
      </c>
      <c r="C24" s="28"/>
      <c r="D24" s="24">
        <v>45162.0</v>
      </c>
      <c r="E24" s="2" t="s">
        <v>159</v>
      </c>
      <c r="F24" s="28"/>
      <c r="G24" s="2" t="s">
        <v>122</v>
      </c>
      <c r="H24" s="2" t="s">
        <v>158</v>
      </c>
      <c r="I24" s="25">
        <v>45778.0</v>
      </c>
      <c r="J24" s="2">
        <v>75.0</v>
      </c>
      <c r="K24" s="17">
        <v>73.14</v>
      </c>
      <c r="L24" s="8"/>
      <c r="M24" s="8"/>
      <c r="P24" s="2" t="s">
        <v>68</v>
      </c>
      <c r="Q24" s="24">
        <v>45113.0</v>
      </c>
      <c r="R24" s="2" t="s">
        <v>133</v>
      </c>
      <c r="S24" s="2">
        <v>12.5</v>
      </c>
      <c r="T24" s="26">
        <f t="shared" si="1"/>
        <v>20.275</v>
      </c>
      <c r="U24" s="2" t="s">
        <v>134</v>
      </c>
    </row>
    <row r="25">
      <c r="B25" s="2" t="s">
        <v>164</v>
      </c>
      <c r="C25" s="28"/>
      <c r="D25" s="24">
        <v>45162.0</v>
      </c>
      <c r="E25" s="2" t="s">
        <v>159</v>
      </c>
      <c r="F25" s="28"/>
      <c r="G25" s="2" t="s">
        <v>124</v>
      </c>
      <c r="H25" s="2" t="s">
        <v>125</v>
      </c>
      <c r="J25" s="2">
        <v>25.0</v>
      </c>
      <c r="K25" s="17">
        <v>25.65</v>
      </c>
      <c r="L25" s="8"/>
      <c r="M25" s="8"/>
      <c r="P25" s="2" t="s">
        <v>68</v>
      </c>
      <c r="Q25" s="24">
        <v>45113.0</v>
      </c>
      <c r="R25" s="2" t="s">
        <v>141</v>
      </c>
      <c r="S25" s="2">
        <v>13.0</v>
      </c>
      <c r="T25" s="26">
        <f t="shared" si="1"/>
        <v>17.654</v>
      </c>
      <c r="U25" s="2" t="s">
        <v>142</v>
      </c>
    </row>
    <row r="26">
      <c r="B26" s="2" t="s">
        <v>164</v>
      </c>
      <c r="C26" s="28"/>
      <c r="D26" s="24">
        <v>45162.0</v>
      </c>
      <c r="E26" s="2" t="s">
        <v>159</v>
      </c>
      <c r="F26" s="28"/>
      <c r="G26" s="2" t="s">
        <v>155</v>
      </c>
      <c r="H26" s="2" t="s">
        <v>160</v>
      </c>
      <c r="I26" s="25">
        <v>45536.0</v>
      </c>
      <c r="J26" s="2">
        <v>25.0</v>
      </c>
      <c r="K26" s="17">
        <v>10.81</v>
      </c>
      <c r="L26" s="8"/>
      <c r="M26" s="8"/>
      <c r="P26" s="2" t="s">
        <v>68</v>
      </c>
      <c r="Q26" s="24">
        <v>45113.0</v>
      </c>
      <c r="R26" s="2" t="s">
        <v>146</v>
      </c>
      <c r="S26" s="2">
        <v>1.0</v>
      </c>
      <c r="T26" s="26">
        <f t="shared" si="1"/>
        <v>6</v>
      </c>
      <c r="U26" s="2" t="s">
        <v>148</v>
      </c>
    </row>
    <row r="27">
      <c r="C27" s="2" t="s">
        <v>130</v>
      </c>
      <c r="D27" s="24">
        <v>45184.0</v>
      </c>
      <c r="E27" s="2" t="s">
        <v>131</v>
      </c>
      <c r="F27" s="28"/>
      <c r="G27" s="2" t="s">
        <v>141</v>
      </c>
      <c r="H27" s="2" t="s">
        <v>165</v>
      </c>
      <c r="I27" s="30">
        <v>45627.0</v>
      </c>
      <c r="J27" s="2">
        <v>5.0</v>
      </c>
      <c r="K27" s="17">
        <v>10.1</v>
      </c>
      <c r="L27" s="8"/>
      <c r="M27" s="8"/>
      <c r="P27" s="2" t="s">
        <v>166</v>
      </c>
      <c r="Q27" s="2" t="s">
        <v>166</v>
      </c>
      <c r="R27" s="2" t="s">
        <v>138</v>
      </c>
      <c r="S27" s="2">
        <v>20.0</v>
      </c>
      <c r="T27" s="26">
        <f t="shared" si="1"/>
        <v>10.176</v>
      </c>
      <c r="U27" s="2" t="s">
        <v>139</v>
      </c>
      <c r="V27" s="2" t="s">
        <v>167</v>
      </c>
    </row>
    <row r="28">
      <c r="C28" s="28"/>
      <c r="D28" s="24">
        <v>45224.0</v>
      </c>
      <c r="E28" s="2" t="s">
        <v>159</v>
      </c>
      <c r="F28" s="28"/>
      <c r="G28" s="2" t="s">
        <v>122</v>
      </c>
      <c r="H28" s="2" t="s">
        <v>168</v>
      </c>
      <c r="I28" s="25">
        <v>45870.0</v>
      </c>
      <c r="J28" s="2">
        <v>50.0</v>
      </c>
      <c r="K28" s="17">
        <f>2*24.38</f>
        <v>48.76</v>
      </c>
      <c r="L28" s="8"/>
      <c r="M28" s="8"/>
      <c r="P28" s="2" t="s">
        <v>69</v>
      </c>
      <c r="Q28" s="29">
        <v>45141.0</v>
      </c>
      <c r="R28" s="2" t="s">
        <v>122</v>
      </c>
      <c r="S28" s="2">
        <v>35.0</v>
      </c>
      <c r="T28" s="26">
        <f t="shared" si="1"/>
        <v>34.132</v>
      </c>
      <c r="U28" s="2" t="s">
        <v>153</v>
      </c>
    </row>
    <row r="29">
      <c r="C29" s="28"/>
      <c r="D29" s="24">
        <v>45224.0</v>
      </c>
      <c r="E29" s="2" t="s">
        <v>159</v>
      </c>
      <c r="F29" s="28"/>
      <c r="G29" s="2" t="s">
        <v>155</v>
      </c>
      <c r="H29" s="2" t="s">
        <v>169</v>
      </c>
      <c r="I29" s="25">
        <v>45870.0</v>
      </c>
      <c r="J29" s="2">
        <v>25.0</v>
      </c>
      <c r="K29" s="17">
        <v>12.72</v>
      </c>
      <c r="L29" s="8"/>
      <c r="M29" s="8"/>
      <c r="P29" s="2" t="s">
        <v>69</v>
      </c>
      <c r="Q29" s="24">
        <v>45141.0</v>
      </c>
      <c r="R29" s="2" t="s">
        <v>155</v>
      </c>
      <c r="S29" s="2">
        <v>20.0</v>
      </c>
      <c r="T29" s="26">
        <f t="shared" si="1"/>
        <v>8.648</v>
      </c>
      <c r="U29" s="2" t="s">
        <v>160</v>
      </c>
    </row>
    <row r="30">
      <c r="C30" s="2" t="s">
        <v>130</v>
      </c>
      <c r="D30" s="24">
        <v>45258.0</v>
      </c>
      <c r="E30" s="2" t="s">
        <v>159</v>
      </c>
      <c r="F30" s="28"/>
      <c r="G30" s="2" t="s">
        <v>122</v>
      </c>
      <c r="H30" s="2" t="s">
        <v>168</v>
      </c>
      <c r="I30" s="25">
        <v>45870.0</v>
      </c>
      <c r="J30" s="2">
        <v>75.0</v>
      </c>
      <c r="K30" s="17">
        <f>3*24.38</f>
        <v>73.14</v>
      </c>
      <c r="L30" s="8"/>
      <c r="M30" s="8"/>
      <c r="P30" s="2" t="s">
        <v>69</v>
      </c>
      <c r="Q30" s="24">
        <v>45141.0</v>
      </c>
      <c r="R30" s="2" t="s">
        <v>124</v>
      </c>
      <c r="S30" s="2">
        <v>10.0</v>
      </c>
      <c r="T30" s="26">
        <f t="shared" si="1"/>
        <v>10.26</v>
      </c>
      <c r="U30" s="2" t="s">
        <v>126</v>
      </c>
    </row>
    <row r="31">
      <c r="C31" s="28"/>
      <c r="D31" s="24">
        <v>45252.0</v>
      </c>
      <c r="E31" s="2" t="s">
        <v>131</v>
      </c>
      <c r="F31" s="28"/>
      <c r="G31" s="2" t="s">
        <v>146</v>
      </c>
      <c r="H31" s="2" t="s">
        <v>170</v>
      </c>
      <c r="I31" s="25">
        <v>45717.0</v>
      </c>
      <c r="J31" s="2">
        <v>10.0</v>
      </c>
      <c r="K31" s="17">
        <v>20.59</v>
      </c>
      <c r="L31" s="8"/>
      <c r="M31" s="8"/>
      <c r="P31" s="2" t="s">
        <v>69</v>
      </c>
      <c r="Q31" s="24">
        <v>45141.0</v>
      </c>
      <c r="R31" s="2" t="s">
        <v>163</v>
      </c>
      <c r="S31" s="2">
        <v>10.0</v>
      </c>
      <c r="T31" s="26">
        <f t="shared" si="1"/>
        <v>0</v>
      </c>
      <c r="U31" s="2" t="s">
        <v>161</v>
      </c>
    </row>
    <row r="32">
      <c r="C32" s="28"/>
      <c r="D32" s="24">
        <v>45252.0</v>
      </c>
      <c r="E32" s="2" t="s">
        <v>131</v>
      </c>
      <c r="F32" s="28"/>
      <c r="G32" s="2" t="s">
        <v>138</v>
      </c>
      <c r="H32" s="2">
        <v>2.0240311E7</v>
      </c>
      <c r="I32" s="25">
        <v>45352.0</v>
      </c>
      <c r="J32" s="2">
        <v>15.0</v>
      </c>
      <c r="K32" s="17">
        <v>23.49</v>
      </c>
      <c r="L32" s="8"/>
      <c r="M32" s="8"/>
      <c r="P32" s="2" t="s">
        <v>70</v>
      </c>
      <c r="Q32" s="24">
        <v>45169.0</v>
      </c>
      <c r="R32" s="2" t="s">
        <v>155</v>
      </c>
      <c r="S32" s="2">
        <v>20.0</v>
      </c>
      <c r="T32" s="26">
        <f t="shared" si="1"/>
        <v>8.648</v>
      </c>
      <c r="U32" s="2" t="s">
        <v>160</v>
      </c>
    </row>
    <row r="33">
      <c r="C33" s="8"/>
      <c r="D33" s="31">
        <v>45303.0</v>
      </c>
      <c r="E33" s="2" t="s">
        <v>131</v>
      </c>
      <c r="G33" s="2" t="s">
        <v>149</v>
      </c>
      <c r="H33" s="2" t="s">
        <v>171</v>
      </c>
      <c r="I33" s="31">
        <v>45792.0</v>
      </c>
      <c r="J33" s="2">
        <v>3.0</v>
      </c>
      <c r="K33" s="17">
        <v>7.75</v>
      </c>
      <c r="L33" s="8"/>
      <c r="M33" s="8"/>
      <c r="P33" s="2" t="s">
        <v>70</v>
      </c>
      <c r="Q33" s="24">
        <v>45169.0</v>
      </c>
      <c r="R33" s="2" t="s">
        <v>122</v>
      </c>
      <c r="S33" s="2">
        <v>50.0</v>
      </c>
      <c r="T33" s="26">
        <f t="shared" si="1"/>
        <v>48.76</v>
      </c>
      <c r="U33" s="2" t="s">
        <v>158</v>
      </c>
    </row>
    <row r="34">
      <c r="C34" s="8"/>
      <c r="D34" s="31">
        <v>45303.0</v>
      </c>
      <c r="E34" s="2" t="s">
        <v>131</v>
      </c>
      <c r="G34" s="2" t="s">
        <v>133</v>
      </c>
      <c r="H34" s="2" t="s">
        <v>172</v>
      </c>
      <c r="I34" s="31">
        <v>45969.0</v>
      </c>
      <c r="J34" s="2">
        <v>10.0</v>
      </c>
      <c r="K34" s="17">
        <v>26.15</v>
      </c>
      <c r="L34" s="8"/>
      <c r="M34" s="8"/>
      <c r="P34" s="2" t="s">
        <v>71</v>
      </c>
      <c r="Q34" s="31">
        <v>45204.0</v>
      </c>
      <c r="R34" s="2" t="s">
        <v>141</v>
      </c>
      <c r="S34" s="2">
        <v>5.0</v>
      </c>
      <c r="T34" s="26">
        <f t="shared" si="1"/>
        <v>10.1</v>
      </c>
      <c r="U34" s="2" t="s">
        <v>165</v>
      </c>
    </row>
    <row r="35">
      <c r="C35" s="8"/>
      <c r="D35" s="31">
        <v>45303.0</v>
      </c>
      <c r="E35" s="2" t="s">
        <v>131</v>
      </c>
      <c r="G35" s="2" t="s">
        <v>146</v>
      </c>
      <c r="H35" s="2" t="s">
        <v>173</v>
      </c>
      <c r="I35" s="31">
        <v>45801.0</v>
      </c>
      <c r="J35" s="2">
        <v>10.0</v>
      </c>
      <c r="K35" s="17">
        <v>20.6</v>
      </c>
      <c r="L35" s="8"/>
      <c r="M35" s="8"/>
      <c r="P35" s="2" t="s">
        <v>71</v>
      </c>
      <c r="Q35" s="31">
        <v>45204.0</v>
      </c>
      <c r="R35" s="2" t="s">
        <v>122</v>
      </c>
      <c r="S35" s="2">
        <v>25.0</v>
      </c>
      <c r="T35" s="26">
        <f t="shared" si="1"/>
        <v>24.38</v>
      </c>
      <c r="U35" s="2" t="s">
        <v>158</v>
      </c>
    </row>
    <row r="36">
      <c r="C36" s="8"/>
      <c r="D36" s="31">
        <v>45296.0</v>
      </c>
      <c r="E36" s="2" t="s">
        <v>159</v>
      </c>
      <c r="G36" s="2" t="s">
        <v>122</v>
      </c>
      <c r="H36" s="2" t="s">
        <v>153</v>
      </c>
      <c r="I36" s="30">
        <v>45536.0</v>
      </c>
      <c r="J36" s="2">
        <v>100.0</v>
      </c>
      <c r="K36" s="17">
        <v>96.0</v>
      </c>
      <c r="L36" s="8"/>
      <c r="M36" s="8"/>
      <c r="P36" s="2" t="s">
        <v>71</v>
      </c>
      <c r="Q36" s="31">
        <v>45204.0</v>
      </c>
      <c r="R36" s="2" t="s">
        <v>124</v>
      </c>
      <c r="S36" s="2">
        <v>25.0</v>
      </c>
      <c r="T36" s="26">
        <f t="shared" si="1"/>
        <v>25.65</v>
      </c>
      <c r="U36" s="2" t="s">
        <v>125</v>
      </c>
    </row>
    <row r="37">
      <c r="C37" s="8"/>
      <c r="D37" s="31">
        <v>45296.0</v>
      </c>
      <c r="E37" s="2" t="s">
        <v>159</v>
      </c>
      <c r="G37" s="2" t="s">
        <v>155</v>
      </c>
      <c r="H37" s="2" t="s">
        <v>169</v>
      </c>
      <c r="I37" s="30">
        <v>45870.0</v>
      </c>
      <c r="J37" s="2">
        <v>25.0</v>
      </c>
      <c r="K37" s="17">
        <v>12.5</v>
      </c>
      <c r="L37" s="8"/>
      <c r="M37" s="8"/>
      <c r="P37" s="2" t="s">
        <v>71</v>
      </c>
      <c r="Q37" s="31">
        <v>45204.0</v>
      </c>
      <c r="R37" s="2" t="s">
        <v>155</v>
      </c>
      <c r="S37" s="2">
        <v>5.0</v>
      </c>
      <c r="T37" s="26">
        <f t="shared" si="1"/>
        <v>2.162</v>
      </c>
      <c r="U37" s="2" t="s">
        <v>160</v>
      </c>
    </row>
    <row r="38">
      <c r="C38" s="8"/>
      <c r="D38" s="31">
        <v>45303.0</v>
      </c>
      <c r="E38" s="2" t="s">
        <v>131</v>
      </c>
      <c r="F38" s="2" t="s">
        <v>174</v>
      </c>
      <c r="G38" s="2" t="s">
        <v>124</v>
      </c>
      <c r="H38" s="2" t="s">
        <v>175</v>
      </c>
      <c r="I38" s="31">
        <v>45963.0</v>
      </c>
      <c r="J38" s="2">
        <v>25.0</v>
      </c>
      <c r="K38" s="17">
        <v>26.35</v>
      </c>
      <c r="L38" s="8"/>
      <c r="M38" s="8"/>
      <c r="P38" s="2" t="s">
        <v>72</v>
      </c>
      <c r="Q38" s="31">
        <v>45231.0</v>
      </c>
      <c r="R38" s="2" t="s">
        <v>155</v>
      </c>
      <c r="S38" s="2">
        <v>25.0</v>
      </c>
      <c r="T38" s="26">
        <f t="shared" si="1"/>
        <v>12.72</v>
      </c>
      <c r="U38" s="2" t="s">
        <v>169</v>
      </c>
    </row>
    <row r="39">
      <c r="C39" s="8"/>
      <c r="D39" s="31">
        <v>45303.0</v>
      </c>
      <c r="E39" s="2" t="s">
        <v>131</v>
      </c>
      <c r="G39" s="2" t="s">
        <v>176</v>
      </c>
      <c r="H39" s="2">
        <v>2402250.0</v>
      </c>
      <c r="I39" s="31">
        <v>46005.0</v>
      </c>
      <c r="J39" s="2">
        <v>25.0</v>
      </c>
      <c r="K39" s="17">
        <v>29.1</v>
      </c>
      <c r="L39" s="8"/>
      <c r="M39" s="8"/>
      <c r="P39" s="2" t="s">
        <v>72</v>
      </c>
      <c r="Q39" s="31">
        <v>45231.0</v>
      </c>
      <c r="R39" s="2" t="s">
        <v>122</v>
      </c>
      <c r="S39" s="2">
        <v>40.0</v>
      </c>
      <c r="T39" s="26">
        <f t="shared" si="1"/>
        <v>39.008</v>
      </c>
      <c r="U39" s="2" t="s">
        <v>168</v>
      </c>
    </row>
    <row r="40">
      <c r="C40" s="8"/>
      <c r="D40" s="31">
        <v>45303.0</v>
      </c>
      <c r="E40" s="2" t="s">
        <v>131</v>
      </c>
      <c r="F40" s="2" t="s">
        <v>132</v>
      </c>
      <c r="G40" s="2" t="s">
        <v>177</v>
      </c>
      <c r="H40" s="2" t="s">
        <v>178</v>
      </c>
      <c r="I40" s="31">
        <v>45737.0</v>
      </c>
      <c r="J40" s="2">
        <v>25.0</v>
      </c>
      <c r="K40" s="17">
        <v>36.65</v>
      </c>
      <c r="L40" s="8"/>
      <c r="M40" s="8"/>
      <c r="P40" s="2" t="s">
        <v>74</v>
      </c>
      <c r="Q40" s="31">
        <v>45259.0</v>
      </c>
      <c r="R40" s="2" t="s">
        <v>122</v>
      </c>
      <c r="S40" s="2">
        <v>64.0</v>
      </c>
      <c r="T40" s="26">
        <f t="shared" si="1"/>
        <v>62.4128</v>
      </c>
      <c r="U40" s="2" t="s">
        <v>168</v>
      </c>
    </row>
    <row r="41">
      <c r="C41" s="8"/>
      <c r="D41" s="24">
        <v>45287.0</v>
      </c>
      <c r="E41" s="2" t="s">
        <v>131</v>
      </c>
      <c r="G41" s="2" t="s">
        <v>179</v>
      </c>
      <c r="H41" s="2" t="s">
        <v>180</v>
      </c>
      <c r="I41" s="31">
        <v>45801.0</v>
      </c>
      <c r="J41" s="2">
        <v>5.0</v>
      </c>
      <c r="K41" s="17">
        <v>10.6</v>
      </c>
      <c r="L41" s="8"/>
      <c r="M41" s="8"/>
      <c r="P41" s="2" t="s">
        <v>74</v>
      </c>
      <c r="Q41" s="31">
        <v>45259.0</v>
      </c>
      <c r="R41" s="2" t="s">
        <v>155</v>
      </c>
      <c r="S41" s="2">
        <v>5.0</v>
      </c>
      <c r="T41" s="26">
        <f t="shared" si="1"/>
        <v>2.544</v>
      </c>
      <c r="U41" s="2" t="s">
        <v>169</v>
      </c>
    </row>
    <row r="42">
      <c r="C42" s="8"/>
      <c r="D42" s="31">
        <v>45336.0</v>
      </c>
      <c r="E42" s="2" t="s">
        <v>159</v>
      </c>
      <c r="G42" s="2" t="s">
        <v>122</v>
      </c>
      <c r="H42" s="2" t="s">
        <v>153</v>
      </c>
      <c r="I42" s="30">
        <v>45536.0</v>
      </c>
      <c r="J42" s="2">
        <v>125.0</v>
      </c>
      <c r="K42" s="18">
        <f>96/4*5</f>
        <v>120</v>
      </c>
      <c r="L42" s="8"/>
      <c r="M42" s="8"/>
      <c r="P42" s="2" t="s">
        <v>74</v>
      </c>
      <c r="Q42" s="31">
        <v>45259.0</v>
      </c>
      <c r="R42" s="2" t="s">
        <v>146</v>
      </c>
      <c r="S42" s="2">
        <v>10.0</v>
      </c>
      <c r="T42" s="26">
        <f t="shared" si="1"/>
        <v>20.59</v>
      </c>
      <c r="U42" s="2" t="s">
        <v>170</v>
      </c>
    </row>
    <row r="43">
      <c r="C43" s="8"/>
      <c r="D43" s="31">
        <v>45336.0</v>
      </c>
      <c r="E43" s="2" t="s">
        <v>159</v>
      </c>
      <c r="G43" s="2" t="s">
        <v>155</v>
      </c>
      <c r="H43" s="2" t="s">
        <v>181</v>
      </c>
      <c r="I43" s="30">
        <v>46054.0</v>
      </c>
      <c r="J43" s="2">
        <v>100.0</v>
      </c>
      <c r="K43" s="18">
        <f>12.5*4</f>
        <v>50</v>
      </c>
      <c r="L43" s="8"/>
      <c r="M43" s="8"/>
      <c r="P43" s="2" t="s">
        <v>74</v>
      </c>
      <c r="Q43" s="31">
        <v>45259.0</v>
      </c>
      <c r="R43" s="2" t="s">
        <v>138</v>
      </c>
      <c r="S43" s="2">
        <v>15.0</v>
      </c>
      <c r="T43" s="26">
        <f t="shared" si="1"/>
        <v>23.49</v>
      </c>
      <c r="U43" s="2">
        <v>2.0240311E7</v>
      </c>
    </row>
    <row r="44">
      <c r="C44" s="8"/>
      <c r="D44" s="31">
        <v>45370.0</v>
      </c>
      <c r="E44" s="2" t="s">
        <v>182</v>
      </c>
      <c r="F44" s="2" t="s">
        <v>183</v>
      </c>
      <c r="G44" s="2" t="s">
        <v>184</v>
      </c>
      <c r="H44" s="2" t="s">
        <v>185</v>
      </c>
      <c r="I44" s="31">
        <v>45595.0</v>
      </c>
      <c r="J44" s="2">
        <v>2.0</v>
      </c>
      <c r="K44" s="17">
        <v>8.5</v>
      </c>
      <c r="L44" s="8"/>
      <c r="M44" s="8"/>
      <c r="P44" s="2" t="s">
        <v>76</v>
      </c>
      <c r="Q44" s="31">
        <v>45315.0</v>
      </c>
      <c r="R44" s="2" t="s">
        <v>122</v>
      </c>
      <c r="S44" s="2">
        <v>50.0</v>
      </c>
      <c r="T44" s="26">
        <f t="shared" si="1"/>
        <v>48.76</v>
      </c>
      <c r="U44" s="2" t="s">
        <v>153</v>
      </c>
    </row>
    <row r="45">
      <c r="C45" s="2" t="s">
        <v>130</v>
      </c>
      <c r="D45" s="31">
        <v>45420.0</v>
      </c>
      <c r="E45" s="2" t="s">
        <v>186</v>
      </c>
      <c r="F45" s="2" t="s">
        <v>187</v>
      </c>
      <c r="G45" s="2" t="s">
        <v>188</v>
      </c>
      <c r="H45" s="2">
        <v>10862.1</v>
      </c>
      <c r="I45" s="31">
        <v>45938.0</v>
      </c>
      <c r="J45" s="2">
        <v>25.0</v>
      </c>
      <c r="K45" s="18">
        <f>25*1.06</f>
        <v>26.5</v>
      </c>
      <c r="L45" s="8"/>
      <c r="M45" s="8"/>
      <c r="P45" s="2" t="s">
        <v>76</v>
      </c>
      <c r="Q45" s="31">
        <v>45315.0</v>
      </c>
      <c r="R45" s="2" t="s">
        <v>124</v>
      </c>
      <c r="S45" s="2">
        <v>12.5</v>
      </c>
      <c r="T45" s="26">
        <f t="shared" si="1"/>
        <v>13.175</v>
      </c>
      <c r="U45" s="2" t="s">
        <v>175</v>
      </c>
    </row>
    <row r="46">
      <c r="C46" s="8"/>
      <c r="D46" s="31">
        <v>45455.0</v>
      </c>
      <c r="E46" s="2" t="s">
        <v>131</v>
      </c>
      <c r="F46" s="2" t="s">
        <v>189</v>
      </c>
      <c r="G46" s="2" t="s">
        <v>122</v>
      </c>
      <c r="H46" s="2" t="s">
        <v>190</v>
      </c>
      <c r="I46" s="30">
        <v>45566.0</v>
      </c>
      <c r="J46" s="2">
        <v>25.0</v>
      </c>
      <c r="K46" s="17">
        <v>23.16</v>
      </c>
      <c r="L46" s="8"/>
      <c r="M46" s="8"/>
      <c r="P46" s="2" t="s">
        <v>76</v>
      </c>
      <c r="Q46" s="31">
        <v>45315.0</v>
      </c>
      <c r="R46" s="2" t="s">
        <v>155</v>
      </c>
      <c r="S46" s="2">
        <v>12.5</v>
      </c>
      <c r="T46" s="26">
        <f t="shared" si="1"/>
        <v>6.36</v>
      </c>
      <c r="U46" s="2" t="s">
        <v>169</v>
      </c>
    </row>
    <row r="47">
      <c r="C47" s="8"/>
      <c r="D47" s="31">
        <v>45455.0</v>
      </c>
      <c r="E47" s="2" t="s">
        <v>131</v>
      </c>
      <c r="F47" s="2" t="s">
        <v>189</v>
      </c>
      <c r="G47" s="2" t="s">
        <v>122</v>
      </c>
      <c r="H47" s="2">
        <v>2.341000972E9</v>
      </c>
      <c r="I47" s="30">
        <v>45870.0</v>
      </c>
      <c r="J47" s="2">
        <v>25.0</v>
      </c>
      <c r="K47" s="17">
        <v>23.98</v>
      </c>
      <c r="L47" s="8"/>
      <c r="M47" s="8"/>
      <c r="N47" s="2" t="s">
        <v>191</v>
      </c>
      <c r="P47" s="2" t="s">
        <v>76</v>
      </c>
      <c r="Q47" s="31">
        <v>45315.0</v>
      </c>
      <c r="R47" s="2" t="s">
        <v>179</v>
      </c>
      <c r="S47" s="2">
        <v>5.0</v>
      </c>
      <c r="T47" s="26">
        <f t="shared" si="1"/>
        <v>10.6</v>
      </c>
      <c r="U47" s="2" t="s">
        <v>180</v>
      </c>
    </row>
    <row r="48">
      <c r="C48" s="8"/>
      <c r="D48" s="31">
        <v>45455.0</v>
      </c>
      <c r="E48" s="2" t="s">
        <v>131</v>
      </c>
      <c r="F48" s="2" t="s">
        <v>192</v>
      </c>
      <c r="G48" s="2" t="s">
        <v>124</v>
      </c>
      <c r="H48" s="2" t="s">
        <v>175</v>
      </c>
      <c r="I48" s="29">
        <v>45963.0</v>
      </c>
      <c r="J48" s="2">
        <v>25.0</v>
      </c>
      <c r="K48" s="17">
        <v>24.28</v>
      </c>
      <c r="L48" s="8"/>
      <c r="M48" s="8"/>
      <c r="P48" s="2" t="s">
        <v>75</v>
      </c>
      <c r="Q48" s="31">
        <v>45287.0</v>
      </c>
      <c r="R48" s="2" t="s">
        <v>122</v>
      </c>
      <c r="S48" s="2">
        <v>45.0</v>
      </c>
      <c r="T48" s="26">
        <f t="shared" si="1"/>
        <v>43.884</v>
      </c>
      <c r="U48" s="2" t="s">
        <v>153</v>
      </c>
    </row>
    <row r="49">
      <c r="C49" s="8"/>
      <c r="D49" s="31">
        <v>45477.0</v>
      </c>
      <c r="E49" s="2" t="s">
        <v>193</v>
      </c>
      <c r="F49" s="2" t="s">
        <v>194</v>
      </c>
      <c r="G49" s="2" t="s">
        <v>195</v>
      </c>
      <c r="H49" s="29">
        <v>46076.0</v>
      </c>
      <c r="I49" s="29">
        <v>46076.0</v>
      </c>
      <c r="J49" s="2">
        <v>10.0</v>
      </c>
      <c r="K49" s="17">
        <v>29.5</v>
      </c>
      <c r="L49" s="8"/>
      <c r="M49" s="8"/>
      <c r="P49" s="2" t="s">
        <v>75</v>
      </c>
      <c r="Q49" s="31">
        <v>45287.0</v>
      </c>
      <c r="R49" s="2" t="s">
        <v>155</v>
      </c>
      <c r="S49" s="2">
        <v>25.0</v>
      </c>
      <c r="T49" s="26">
        <f t="shared" si="1"/>
        <v>12.72</v>
      </c>
      <c r="U49" s="2" t="s">
        <v>169</v>
      </c>
    </row>
    <row r="50">
      <c r="C50" s="8"/>
      <c r="D50" s="31">
        <v>45477.0</v>
      </c>
      <c r="E50" s="2" t="s">
        <v>196</v>
      </c>
      <c r="F50" s="2" t="s">
        <v>194</v>
      </c>
      <c r="G50" s="2" t="s">
        <v>195</v>
      </c>
      <c r="H50" s="29">
        <v>46471.0</v>
      </c>
      <c r="I50" s="29">
        <v>46471.0</v>
      </c>
      <c r="J50" s="2">
        <v>5.0</v>
      </c>
      <c r="K50" s="17">
        <v>14.5</v>
      </c>
      <c r="L50" s="8"/>
      <c r="M50" s="8"/>
      <c r="P50" s="2" t="s">
        <v>78</v>
      </c>
      <c r="Q50" s="31">
        <v>45378.0</v>
      </c>
      <c r="R50" s="2" t="s">
        <v>176</v>
      </c>
      <c r="S50" s="2">
        <v>5.0</v>
      </c>
      <c r="T50" s="26">
        <f t="shared" si="1"/>
        <v>5.82</v>
      </c>
      <c r="U50" s="2">
        <v>2402250.0</v>
      </c>
    </row>
    <row r="51">
      <c r="C51" s="8"/>
      <c r="D51" s="31">
        <v>45483.0</v>
      </c>
      <c r="E51" s="2" t="s">
        <v>159</v>
      </c>
      <c r="G51" s="2" t="s">
        <v>122</v>
      </c>
      <c r="H51" s="2" t="s">
        <v>197</v>
      </c>
      <c r="I51" s="25">
        <v>46113.0</v>
      </c>
      <c r="J51" s="2">
        <v>75.0</v>
      </c>
      <c r="K51" s="17">
        <v>73.14</v>
      </c>
      <c r="L51" s="8"/>
      <c r="M51" s="8"/>
      <c r="P51" s="2" t="s">
        <v>78</v>
      </c>
      <c r="Q51" s="31">
        <v>45378.0</v>
      </c>
      <c r="R51" s="2" t="s">
        <v>122</v>
      </c>
      <c r="S51" s="2">
        <v>50.0</v>
      </c>
      <c r="T51" s="26">
        <f t="shared" si="1"/>
        <v>48.76</v>
      </c>
      <c r="U51" s="2" t="s">
        <v>153</v>
      </c>
    </row>
    <row r="52">
      <c r="C52" s="8"/>
      <c r="D52" s="31">
        <v>45483.0</v>
      </c>
      <c r="E52" s="2" t="s">
        <v>159</v>
      </c>
      <c r="G52" s="2" t="s">
        <v>124</v>
      </c>
      <c r="H52" s="2" t="s">
        <v>198</v>
      </c>
      <c r="I52" s="25">
        <v>46113.0</v>
      </c>
      <c r="J52" s="2">
        <v>25.0</v>
      </c>
      <c r="K52" s="17">
        <v>25.65</v>
      </c>
      <c r="L52" s="8"/>
      <c r="M52" s="8"/>
      <c r="P52" s="2" t="s">
        <v>78</v>
      </c>
      <c r="Q52" s="31">
        <v>45378.0</v>
      </c>
      <c r="R52" s="2" t="s">
        <v>155</v>
      </c>
      <c r="S52" s="2">
        <v>25.0</v>
      </c>
      <c r="T52" s="26">
        <f t="shared" si="1"/>
        <v>12.5</v>
      </c>
      <c r="U52" s="2" t="s">
        <v>181</v>
      </c>
    </row>
    <row r="53">
      <c r="C53" s="8"/>
      <c r="D53" s="29">
        <v>45545.0</v>
      </c>
      <c r="E53" s="2" t="s">
        <v>199</v>
      </c>
      <c r="F53" s="2" t="s">
        <v>199</v>
      </c>
      <c r="G53" s="2" t="s">
        <v>176</v>
      </c>
      <c r="H53" s="2" t="s">
        <v>200</v>
      </c>
      <c r="I53" s="29">
        <v>45848.0</v>
      </c>
      <c r="J53" s="2">
        <v>4.8</v>
      </c>
      <c r="K53" s="17">
        <v>9.3</v>
      </c>
      <c r="L53" s="8"/>
      <c r="M53" s="8"/>
      <c r="P53" s="2" t="s">
        <v>78</v>
      </c>
      <c r="Q53" s="31">
        <v>45378.0</v>
      </c>
      <c r="R53" s="2" t="s">
        <v>177</v>
      </c>
      <c r="S53" s="2">
        <v>5.0</v>
      </c>
      <c r="T53" s="26">
        <f t="shared" si="1"/>
        <v>7.33</v>
      </c>
      <c r="U53" s="2" t="s">
        <v>178</v>
      </c>
    </row>
    <row r="54">
      <c r="C54" s="8"/>
      <c r="D54" s="31">
        <v>45602.0</v>
      </c>
      <c r="E54" s="2" t="s">
        <v>159</v>
      </c>
      <c r="G54" s="2" t="s">
        <v>124</v>
      </c>
      <c r="H54" s="2" t="s">
        <v>201</v>
      </c>
      <c r="I54" s="25">
        <v>46113.0</v>
      </c>
      <c r="J54" s="2">
        <v>75.0</v>
      </c>
      <c r="K54" s="17">
        <v>76.96</v>
      </c>
      <c r="L54" s="8"/>
      <c r="M54" s="8"/>
      <c r="P54" s="2" t="s">
        <v>79</v>
      </c>
      <c r="Q54" s="31">
        <v>45399.0</v>
      </c>
      <c r="R54" s="2" t="s">
        <v>122</v>
      </c>
      <c r="S54" s="2">
        <v>50.0</v>
      </c>
      <c r="T54" s="26">
        <f t="shared" si="1"/>
        <v>48.76</v>
      </c>
      <c r="U54" s="2" t="s">
        <v>153</v>
      </c>
    </row>
    <row r="55">
      <c r="C55" s="8"/>
      <c r="D55" s="31">
        <v>45602.0</v>
      </c>
      <c r="E55" s="2" t="s">
        <v>159</v>
      </c>
      <c r="G55" s="2" t="s">
        <v>155</v>
      </c>
      <c r="H55" s="2" t="s">
        <v>202</v>
      </c>
      <c r="I55" s="25">
        <v>46054.0</v>
      </c>
      <c r="J55" s="2">
        <v>25.0</v>
      </c>
      <c r="K55" s="17">
        <v>12.72</v>
      </c>
      <c r="L55" s="8"/>
      <c r="M55" s="8"/>
      <c r="P55" s="2" t="s">
        <v>79</v>
      </c>
      <c r="Q55" s="31">
        <v>45399.0</v>
      </c>
      <c r="R55" s="2" t="s">
        <v>155</v>
      </c>
      <c r="S55" s="2">
        <v>25.0</v>
      </c>
      <c r="T55" s="26">
        <f t="shared" si="1"/>
        <v>12.5</v>
      </c>
      <c r="U55" s="2" t="s">
        <v>181</v>
      </c>
    </row>
    <row r="56">
      <c r="C56" s="8"/>
      <c r="D56" s="31">
        <v>45602.0</v>
      </c>
      <c r="E56" s="2" t="s">
        <v>159</v>
      </c>
      <c r="G56" s="2" t="s">
        <v>122</v>
      </c>
      <c r="H56" s="2" t="s">
        <v>203</v>
      </c>
      <c r="I56" s="25">
        <v>46204.0</v>
      </c>
      <c r="J56" s="2">
        <v>125.0</v>
      </c>
      <c r="K56" s="17">
        <v>121.9</v>
      </c>
      <c r="L56" s="8"/>
      <c r="M56" s="8"/>
      <c r="P56" s="2" t="s">
        <v>79</v>
      </c>
      <c r="Q56" s="31">
        <v>45399.0</v>
      </c>
      <c r="R56" s="2" t="s">
        <v>176</v>
      </c>
      <c r="S56" s="2">
        <v>5.0</v>
      </c>
      <c r="T56" s="26">
        <f t="shared" si="1"/>
        <v>5.82</v>
      </c>
      <c r="U56" s="2">
        <v>2402250.0</v>
      </c>
    </row>
    <row r="57">
      <c r="C57" s="8"/>
      <c r="D57" s="31">
        <v>45608.0</v>
      </c>
      <c r="E57" s="2" t="s">
        <v>199</v>
      </c>
      <c r="F57" s="2" t="s">
        <v>199</v>
      </c>
      <c r="G57" s="2" t="s">
        <v>176</v>
      </c>
      <c r="H57" s="2">
        <v>1.4282491E7</v>
      </c>
      <c r="I57" s="31">
        <v>45942.0</v>
      </c>
      <c r="J57" s="2">
        <v>3.0</v>
      </c>
      <c r="K57" s="17">
        <v>4.0</v>
      </c>
      <c r="L57" s="8"/>
      <c r="M57" s="8"/>
      <c r="P57" s="2" t="s">
        <v>79</v>
      </c>
      <c r="Q57" s="31">
        <v>45399.0</v>
      </c>
      <c r="R57" s="2" t="s">
        <v>177</v>
      </c>
      <c r="S57" s="2">
        <v>5.0</v>
      </c>
      <c r="T57" s="26">
        <f t="shared" si="1"/>
        <v>7.33</v>
      </c>
      <c r="U57" s="2" t="s">
        <v>178</v>
      </c>
    </row>
    <row r="58">
      <c r="C58" s="8"/>
      <c r="D58" s="31">
        <v>45608.0</v>
      </c>
      <c r="E58" s="2" t="s">
        <v>204</v>
      </c>
      <c r="F58" s="2" t="s">
        <v>205</v>
      </c>
      <c r="G58" s="2" t="s">
        <v>176</v>
      </c>
      <c r="H58" s="2">
        <v>1.4296491E7</v>
      </c>
      <c r="I58" s="31">
        <v>45587.0</v>
      </c>
      <c r="J58" s="2">
        <v>3.0</v>
      </c>
      <c r="K58" s="17">
        <v>4.0</v>
      </c>
      <c r="L58" s="8"/>
      <c r="M58" s="8"/>
      <c r="P58" s="2" t="s">
        <v>79</v>
      </c>
      <c r="Q58" s="29">
        <v>45399.0</v>
      </c>
      <c r="R58" s="2" t="s">
        <v>184</v>
      </c>
      <c r="S58" s="2">
        <v>1.0</v>
      </c>
      <c r="T58" s="26">
        <f t="shared" si="1"/>
        <v>4.25</v>
      </c>
      <c r="U58" s="2" t="s">
        <v>185</v>
      </c>
    </row>
    <row r="59">
      <c r="C59" s="8"/>
      <c r="D59" s="31">
        <v>45644.0</v>
      </c>
      <c r="E59" s="2" t="s">
        <v>159</v>
      </c>
      <c r="G59" s="2" t="s">
        <v>122</v>
      </c>
      <c r="H59" s="32">
        <v>46366.0</v>
      </c>
      <c r="I59" s="32">
        <v>46366.0</v>
      </c>
      <c r="J59" s="2">
        <v>75.0</v>
      </c>
      <c r="K59" s="17">
        <v>73.14</v>
      </c>
      <c r="L59" s="8"/>
      <c r="M59" s="8"/>
      <c r="P59" s="2" t="s">
        <v>80</v>
      </c>
      <c r="Q59" s="31">
        <v>45427.0</v>
      </c>
      <c r="R59" s="2" t="s">
        <v>188</v>
      </c>
      <c r="S59" s="2">
        <v>5.0</v>
      </c>
      <c r="T59" s="26">
        <f t="shared" si="1"/>
        <v>5.3</v>
      </c>
      <c r="U59" s="2">
        <v>10862.1</v>
      </c>
    </row>
    <row r="60">
      <c r="C60" s="8"/>
      <c r="D60" s="31">
        <v>45644.0</v>
      </c>
      <c r="E60" s="2" t="s">
        <v>159</v>
      </c>
      <c r="G60" s="2" t="s">
        <v>124</v>
      </c>
      <c r="H60" s="2" t="s">
        <v>198</v>
      </c>
      <c r="I60" s="25">
        <v>46113.0</v>
      </c>
      <c r="J60" s="2">
        <v>25.0</v>
      </c>
      <c r="K60" s="17">
        <v>25.65</v>
      </c>
      <c r="L60" s="8"/>
      <c r="M60" s="8"/>
      <c r="P60" s="2" t="s">
        <v>80</v>
      </c>
      <c r="Q60" s="31">
        <v>45427.0</v>
      </c>
      <c r="R60" s="2" t="s">
        <v>127</v>
      </c>
      <c r="S60" s="2">
        <v>10.0</v>
      </c>
      <c r="T60" s="26">
        <f t="shared" si="1"/>
        <v>10.43066667</v>
      </c>
      <c r="U60" s="2" t="s">
        <v>128</v>
      </c>
    </row>
    <row r="61">
      <c r="C61" s="8"/>
      <c r="D61" s="31">
        <v>45644.0</v>
      </c>
      <c r="E61" s="2" t="s">
        <v>159</v>
      </c>
      <c r="G61" s="2" t="s">
        <v>206</v>
      </c>
      <c r="H61" s="32">
        <v>46306.0</v>
      </c>
      <c r="I61" s="32">
        <v>46306.0</v>
      </c>
      <c r="J61" s="2">
        <v>20.0</v>
      </c>
      <c r="K61" s="17">
        <v>8.48</v>
      </c>
      <c r="L61" s="8"/>
      <c r="M61" s="8"/>
      <c r="P61" s="2" t="s">
        <v>80</v>
      </c>
      <c r="Q61" s="31">
        <v>45427.0</v>
      </c>
      <c r="R61" s="2" t="s">
        <v>122</v>
      </c>
      <c r="S61" s="2">
        <v>41.2</v>
      </c>
      <c r="T61" s="26">
        <f t="shared" si="1"/>
        <v>40.17824</v>
      </c>
      <c r="U61" s="2" t="s">
        <v>153</v>
      </c>
    </row>
    <row r="62">
      <c r="C62" s="8"/>
      <c r="D62" s="31">
        <v>45707.0</v>
      </c>
      <c r="E62" s="2" t="s">
        <v>159</v>
      </c>
      <c r="G62" s="2" t="s">
        <v>122</v>
      </c>
      <c r="H62" s="32">
        <v>46384.0</v>
      </c>
      <c r="I62" s="32">
        <v>46384.0</v>
      </c>
      <c r="J62" s="2">
        <v>150.0</v>
      </c>
      <c r="K62" s="17">
        <v>150.0</v>
      </c>
      <c r="L62" s="8"/>
      <c r="M62" s="8"/>
      <c r="P62" s="2" t="s">
        <v>80</v>
      </c>
      <c r="Q62" s="31">
        <v>45427.0</v>
      </c>
      <c r="R62" s="2" t="s">
        <v>124</v>
      </c>
      <c r="S62" s="2">
        <v>4.0</v>
      </c>
      <c r="T62" s="26">
        <f t="shared" si="1"/>
        <v>4.216</v>
      </c>
      <c r="U62" s="2" t="s">
        <v>175</v>
      </c>
    </row>
    <row r="63">
      <c r="C63" s="8"/>
      <c r="D63" s="29">
        <v>45708.0</v>
      </c>
      <c r="E63" s="2" t="s">
        <v>131</v>
      </c>
      <c r="F63" s="2" t="s">
        <v>207</v>
      </c>
      <c r="G63" s="2" t="s">
        <v>176</v>
      </c>
      <c r="H63" s="2" t="s">
        <v>208</v>
      </c>
      <c r="I63" s="31">
        <v>45874.0</v>
      </c>
      <c r="J63" s="2">
        <v>25.0</v>
      </c>
      <c r="K63" s="17">
        <v>30.0</v>
      </c>
      <c r="L63" s="8"/>
      <c r="M63" s="8"/>
      <c r="P63" s="2" t="s">
        <v>80</v>
      </c>
      <c r="Q63" s="31">
        <v>45427.0</v>
      </c>
      <c r="R63" s="2" t="s">
        <v>155</v>
      </c>
      <c r="S63" s="2">
        <v>20.0</v>
      </c>
      <c r="T63" s="26">
        <f t="shared" si="1"/>
        <v>10</v>
      </c>
      <c r="U63" s="2" t="s">
        <v>181</v>
      </c>
    </row>
    <row r="64">
      <c r="C64" s="8"/>
      <c r="D64" s="29">
        <v>45708.0</v>
      </c>
      <c r="E64" s="2" t="s">
        <v>131</v>
      </c>
      <c r="F64" s="2" t="s">
        <v>192</v>
      </c>
      <c r="G64" s="2" t="s">
        <v>146</v>
      </c>
      <c r="H64" s="2" t="s">
        <v>209</v>
      </c>
      <c r="I64" s="31">
        <v>46302.0</v>
      </c>
      <c r="J64" s="2">
        <v>25.0</v>
      </c>
      <c r="K64" s="17">
        <v>33.0</v>
      </c>
      <c r="L64" s="8"/>
      <c r="M64" s="8"/>
      <c r="P64" s="2" t="s">
        <v>81</v>
      </c>
      <c r="Q64" s="31">
        <v>45461.0</v>
      </c>
      <c r="R64" s="2" t="s">
        <v>122</v>
      </c>
      <c r="S64" s="2">
        <v>25.0</v>
      </c>
      <c r="T64" s="26">
        <f t="shared" si="1"/>
        <v>23.16</v>
      </c>
      <c r="U64" s="2" t="s">
        <v>190</v>
      </c>
    </row>
    <row r="65">
      <c r="C65" s="8"/>
      <c r="D65" s="29">
        <v>45791.0</v>
      </c>
      <c r="E65" s="2" t="s">
        <v>159</v>
      </c>
      <c r="G65" s="2" t="s">
        <v>124</v>
      </c>
      <c r="H65" s="2" t="s">
        <v>198</v>
      </c>
      <c r="I65" s="25">
        <v>46113.0</v>
      </c>
      <c r="J65" s="2">
        <v>25.0</v>
      </c>
      <c r="K65" s="17">
        <v>25.0</v>
      </c>
      <c r="L65" s="8"/>
      <c r="M65" s="8"/>
      <c r="P65" s="2" t="s">
        <v>81</v>
      </c>
      <c r="Q65" s="31">
        <v>45461.0</v>
      </c>
      <c r="R65" s="2" t="s">
        <v>122</v>
      </c>
      <c r="S65" s="2">
        <v>25.0</v>
      </c>
      <c r="T65" s="26">
        <f t="shared" si="1"/>
        <v>23.98</v>
      </c>
      <c r="U65" s="2">
        <v>2.341000972E9</v>
      </c>
    </row>
    <row r="66">
      <c r="C66" s="8"/>
      <c r="D66" s="29">
        <v>45791.0</v>
      </c>
      <c r="E66" s="2" t="s">
        <v>159</v>
      </c>
      <c r="G66" s="2" t="s">
        <v>122</v>
      </c>
      <c r="H66" s="32">
        <v>46384.0</v>
      </c>
      <c r="I66" s="32">
        <v>46384.0</v>
      </c>
      <c r="J66" s="2">
        <v>50.0</v>
      </c>
      <c r="K66" s="17">
        <v>48.0</v>
      </c>
      <c r="L66" s="8"/>
      <c r="M66" s="8"/>
      <c r="P66" s="2" t="s">
        <v>81</v>
      </c>
      <c r="Q66" s="31">
        <v>45461.0</v>
      </c>
      <c r="R66" s="2" t="s">
        <v>124</v>
      </c>
      <c r="S66" s="2">
        <v>10.0</v>
      </c>
      <c r="T66" s="26">
        <f t="shared" si="1"/>
        <v>10.54</v>
      </c>
      <c r="U66" s="2" t="s">
        <v>175</v>
      </c>
    </row>
    <row r="67">
      <c r="C67" s="8"/>
      <c r="D67" s="29">
        <v>45796.0</v>
      </c>
      <c r="E67" s="2" t="s">
        <v>131</v>
      </c>
      <c r="F67" s="2" t="s">
        <v>210</v>
      </c>
      <c r="G67" s="2" t="s">
        <v>211</v>
      </c>
      <c r="H67" s="2">
        <v>4.61002642E8</v>
      </c>
      <c r="I67" s="2" t="s">
        <v>212</v>
      </c>
      <c r="J67" s="2">
        <v>1.0</v>
      </c>
      <c r="K67" s="17">
        <v>10.0</v>
      </c>
      <c r="L67" s="8"/>
      <c r="M67" s="8"/>
      <c r="P67" s="2" t="s">
        <v>81</v>
      </c>
      <c r="Q67" s="31">
        <v>45461.0</v>
      </c>
      <c r="R67" s="2" t="s">
        <v>127</v>
      </c>
      <c r="S67" s="2">
        <v>10.0</v>
      </c>
      <c r="T67" s="26">
        <f t="shared" si="1"/>
        <v>10.43066667</v>
      </c>
      <c r="U67" s="2" t="s">
        <v>128</v>
      </c>
    </row>
    <row r="68">
      <c r="C68" s="8"/>
      <c r="D68" s="29">
        <v>45829.0</v>
      </c>
      <c r="E68" s="2" t="s">
        <v>131</v>
      </c>
      <c r="F68" s="2" t="s">
        <v>210</v>
      </c>
      <c r="G68" s="2" t="s">
        <v>211</v>
      </c>
      <c r="H68" s="2" t="s">
        <v>213</v>
      </c>
      <c r="I68" s="25">
        <v>46143.0</v>
      </c>
      <c r="J68" s="2">
        <v>20.0</v>
      </c>
      <c r="K68" s="17">
        <v>14.0</v>
      </c>
      <c r="L68" s="8"/>
      <c r="M68" s="8"/>
      <c r="P68" s="2" t="s">
        <v>81</v>
      </c>
      <c r="Q68" s="31">
        <v>45461.0</v>
      </c>
      <c r="R68" s="2" t="s">
        <v>149</v>
      </c>
      <c r="S68" s="2">
        <v>3.0</v>
      </c>
      <c r="T68" s="26">
        <f t="shared" si="1"/>
        <v>7.75</v>
      </c>
      <c r="U68" s="2" t="s">
        <v>171</v>
      </c>
    </row>
    <row r="69">
      <c r="C69" s="8"/>
      <c r="D69" s="29">
        <v>45829.0</v>
      </c>
      <c r="E69" s="2" t="s">
        <v>131</v>
      </c>
      <c r="F69" s="2" t="s">
        <v>207</v>
      </c>
      <c r="G69" s="2" t="s">
        <v>176</v>
      </c>
      <c r="H69" s="2">
        <v>2.50522042224E12</v>
      </c>
      <c r="I69" s="31">
        <v>45982.0</v>
      </c>
      <c r="J69" s="2">
        <v>25.0</v>
      </c>
      <c r="K69" s="17">
        <v>27.54</v>
      </c>
      <c r="L69" s="8"/>
      <c r="M69" s="8"/>
      <c r="P69" s="2" t="s">
        <v>81</v>
      </c>
      <c r="Q69" s="31">
        <v>45461.0</v>
      </c>
      <c r="R69" s="2" t="s">
        <v>133</v>
      </c>
      <c r="S69" s="2">
        <v>5.0</v>
      </c>
      <c r="T69" s="26">
        <f t="shared" si="1"/>
        <v>13.075</v>
      </c>
      <c r="U69" s="2" t="s">
        <v>172</v>
      </c>
    </row>
    <row r="70">
      <c r="C70" s="8"/>
      <c r="D70" s="29">
        <v>45829.0</v>
      </c>
      <c r="E70" s="2" t="s">
        <v>159</v>
      </c>
      <c r="G70" s="2" t="s">
        <v>124</v>
      </c>
      <c r="H70" s="2" t="s">
        <v>198</v>
      </c>
      <c r="I70" s="25">
        <v>46113.0</v>
      </c>
      <c r="J70" s="2">
        <v>50.0</v>
      </c>
      <c r="K70" s="17">
        <v>50.0</v>
      </c>
      <c r="L70" s="8"/>
      <c r="M70" s="8"/>
      <c r="P70" s="2" t="s">
        <v>81</v>
      </c>
      <c r="Q70" s="31">
        <v>45461.0</v>
      </c>
      <c r="R70" s="2" t="s">
        <v>146</v>
      </c>
      <c r="S70" s="2">
        <v>10.0</v>
      </c>
      <c r="T70" s="26">
        <f t="shared" si="1"/>
        <v>20.6</v>
      </c>
      <c r="U70" s="2" t="s">
        <v>173</v>
      </c>
    </row>
    <row r="71">
      <c r="C71" s="8"/>
      <c r="D71" s="29">
        <v>45829.0</v>
      </c>
      <c r="E71" s="2" t="s">
        <v>159</v>
      </c>
      <c r="G71" s="2" t="s">
        <v>155</v>
      </c>
      <c r="H71" s="2" t="s">
        <v>202</v>
      </c>
      <c r="I71" s="30">
        <v>45992.0</v>
      </c>
      <c r="J71" s="2">
        <v>25.0</v>
      </c>
      <c r="K71" s="17">
        <v>12.0</v>
      </c>
      <c r="L71" s="8"/>
      <c r="M71" s="8"/>
      <c r="P71" s="2" t="s">
        <v>81</v>
      </c>
      <c r="Q71" s="31">
        <v>45461.0</v>
      </c>
      <c r="R71" s="2" t="s">
        <v>176</v>
      </c>
      <c r="S71" s="2">
        <v>10.0</v>
      </c>
      <c r="T71" s="26">
        <f t="shared" si="1"/>
        <v>11.64</v>
      </c>
      <c r="U71" s="2">
        <v>2402250.0</v>
      </c>
    </row>
    <row r="72">
      <c r="C72" s="8"/>
      <c r="D72" s="29">
        <v>45829.0</v>
      </c>
      <c r="E72" s="2" t="s">
        <v>159</v>
      </c>
      <c r="G72" s="2" t="s">
        <v>122</v>
      </c>
      <c r="H72" s="32">
        <v>46384.0</v>
      </c>
      <c r="I72" s="32">
        <v>46384.0</v>
      </c>
      <c r="J72" s="2">
        <v>75.0</v>
      </c>
      <c r="K72" s="17">
        <v>72.0</v>
      </c>
      <c r="L72" s="8"/>
      <c r="M72" s="8"/>
      <c r="P72" s="2" t="s">
        <v>81</v>
      </c>
      <c r="Q72" s="31">
        <v>45461.0</v>
      </c>
      <c r="R72" s="2" t="s">
        <v>188</v>
      </c>
      <c r="S72" s="2">
        <v>10.0</v>
      </c>
      <c r="T72" s="26">
        <f t="shared" si="1"/>
        <v>10.6</v>
      </c>
      <c r="U72" s="2">
        <v>10862.1</v>
      </c>
    </row>
    <row r="73">
      <c r="C73" s="8"/>
      <c r="D73" s="29">
        <v>45928.0</v>
      </c>
      <c r="E73" s="2" t="s">
        <v>159</v>
      </c>
      <c r="F73" s="2" t="s">
        <v>159</v>
      </c>
      <c r="G73" s="2" t="s">
        <v>122</v>
      </c>
      <c r="H73" s="32">
        <v>46384.0</v>
      </c>
      <c r="I73" s="32">
        <v>46384.0</v>
      </c>
      <c r="J73" s="2">
        <v>100.0</v>
      </c>
      <c r="K73" s="17">
        <v>96.0</v>
      </c>
      <c r="L73" s="8"/>
      <c r="M73" s="8"/>
      <c r="P73" s="2" t="s">
        <v>82</v>
      </c>
      <c r="Q73" s="31">
        <v>45491.0</v>
      </c>
      <c r="R73" s="2" t="s">
        <v>122</v>
      </c>
      <c r="S73" s="2">
        <v>40.0</v>
      </c>
      <c r="T73" s="26">
        <f t="shared" si="1"/>
        <v>39.008</v>
      </c>
      <c r="U73" s="2" t="s">
        <v>197</v>
      </c>
    </row>
    <row r="74">
      <c r="C74" s="8"/>
      <c r="D74" s="29">
        <v>45928.0</v>
      </c>
      <c r="E74" s="2" t="s">
        <v>159</v>
      </c>
      <c r="F74" s="2" t="s">
        <v>159</v>
      </c>
      <c r="G74" s="2" t="s">
        <v>124</v>
      </c>
      <c r="H74" s="29">
        <v>46275.0</v>
      </c>
      <c r="I74" s="29">
        <v>46275.0</v>
      </c>
      <c r="J74" s="2">
        <v>50.0</v>
      </c>
      <c r="K74" s="17">
        <v>48.0</v>
      </c>
      <c r="L74" s="8"/>
      <c r="M74" s="8"/>
      <c r="P74" s="2" t="s">
        <v>82</v>
      </c>
      <c r="Q74" s="31">
        <v>45491.0</v>
      </c>
      <c r="R74" s="2" t="s">
        <v>195</v>
      </c>
      <c r="S74" s="2">
        <v>10.0</v>
      </c>
      <c r="T74" s="26">
        <f t="shared" si="1"/>
        <v>29.5</v>
      </c>
      <c r="U74" s="29">
        <v>46076.0</v>
      </c>
    </row>
    <row r="75">
      <c r="C75" s="8"/>
      <c r="D75" s="29">
        <v>45928.0</v>
      </c>
      <c r="E75" s="2" t="s">
        <v>159</v>
      </c>
      <c r="F75" s="2" t="s">
        <v>159</v>
      </c>
      <c r="G75" s="2" t="s">
        <v>155</v>
      </c>
      <c r="H75" s="31">
        <v>46314.0</v>
      </c>
      <c r="I75" s="31">
        <v>46314.0</v>
      </c>
      <c r="J75" s="2">
        <v>25.0</v>
      </c>
      <c r="K75" s="17">
        <v>12.0</v>
      </c>
      <c r="L75" s="8"/>
      <c r="M75" s="8"/>
      <c r="P75" s="2" t="s">
        <v>82</v>
      </c>
      <c r="Q75" s="31">
        <v>45491.0</v>
      </c>
      <c r="R75" s="2" t="s">
        <v>195</v>
      </c>
      <c r="S75" s="2">
        <v>5.0</v>
      </c>
      <c r="T75" s="26">
        <f t="shared" si="1"/>
        <v>14.5</v>
      </c>
      <c r="U75" s="29">
        <v>46471.0</v>
      </c>
    </row>
    <row r="76">
      <c r="C76" s="8"/>
      <c r="D76" s="29">
        <v>45929.0</v>
      </c>
      <c r="E76" s="2" t="s">
        <v>131</v>
      </c>
      <c r="F76" s="2" t="s">
        <v>207</v>
      </c>
      <c r="G76" s="2" t="s">
        <v>176</v>
      </c>
      <c r="H76" s="2" t="s">
        <v>214</v>
      </c>
      <c r="I76" s="29">
        <v>46165.0</v>
      </c>
      <c r="J76" s="2">
        <v>25.0</v>
      </c>
      <c r="K76" s="17">
        <v>27.5</v>
      </c>
      <c r="L76" s="8"/>
      <c r="M76" s="8"/>
      <c r="P76" s="2" t="s">
        <v>83</v>
      </c>
      <c r="Q76" s="29">
        <v>45553.0</v>
      </c>
      <c r="R76" s="2" t="s">
        <v>122</v>
      </c>
      <c r="S76" s="2">
        <v>25.0</v>
      </c>
      <c r="T76" s="26">
        <f t="shared" si="1"/>
        <v>24.38</v>
      </c>
      <c r="U76" s="2" t="s">
        <v>197</v>
      </c>
    </row>
    <row r="77">
      <c r="C77" s="8"/>
      <c r="D77" s="31">
        <v>45952.0</v>
      </c>
      <c r="E77" s="2" t="s">
        <v>159</v>
      </c>
      <c r="F77" s="2" t="s">
        <v>159</v>
      </c>
      <c r="G77" s="2" t="s">
        <v>122</v>
      </c>
      <c r="H77" s="32">
        <v>46384.0</v>
      </c>
      <c r="I77" s="32">
        <v>46384.0</v>
      </c>
      <c r="J77" s="2">
        <v>125.0</v>
      </c>
      <c r="K77" s="17">
        <v>121.9</v>
      </c>
      <c r="L77" s="8"/>
      <c r="M77" s="8"/>
      <c r="P77" s="2" t="s">
        <v>83</v>
      </c>
      <c r="Q77" s="29">
        <v>45553.0</v>
      </c>
      <c r="R77" s="2" t="s">
        <v>124</v>
      </c>
      <c r="S77" s="2">
        <v>12.5</v>
      </c>
      <c r="T77" s="26">
        <f t="shared" si="1"/>
        <v>13.175</v>
      </c>
      <c r="U77" s="2" t="s">
        <v>175</v>
      </c>
    </row>
    <row r="78">
      <c r="C78" s="8"/>
      <c r="D78" s="31">
        <v>45953.0</v>
      </c>
      <c r="E78" s="2" t="s">
        <v>131</v>
      </c>
      <c r="G78" s="2" t="s">
        <v>215</v>
      </c>
      <c r="H78" s="2" t="s">
        <v>216</v>
      </c>
      <c r="I78" s="29">
        <v>46446.0</v>
      </c>
      <c r="J78" s="2">
        <v>5.0</v>
      </c>
      <c r="K78" s="17">
        <v>13.29</v>
      </c>
      <c r="L78" s="8"/>
      <c r="M78" s="8"/>
      <c r="P78" s="2" t="s">
        <v>83</v>
      </c>
      <c r="Q78" s="29">
        <v>45553.0</v>
      </c>
      <c r="R78" s="2" t="s">
        <v>176</v>
      </c>
      <c r="S78" s="2">
        <v>4.8</v>
      </c>
      <c r="T78" s="26">
        <f t="shared" si="1"/>
        <v>9.3</v>
      </c>
      <c r="U78" s="2" t="s">
        <v>200</v>
      </c>
    </row>
    <row r="79">
      <c r="C79" s="8"/>
      <c r="D79" s="29">
        <v>45669.0</v>
      </c>
      <c r="E79" s="2" t="s">
        <v>23</v>
      </c>
      <c r="G79" s="2" t="s">
        <v>122</v>
      </c>
      <c r="H79" s="32">
        <v>46384.0</v>
      </c>
      <c r="I79" s="32">
        <v>46384.0</v>
      </c>
      <c r="J79" s="2">
        <v>125.0</v>
      </c>
      <c r="K79" s="17">
        <v>115.0</v>
      </c>
      <c r="L79" s="8"/>
      <c r="M79" s="8"/>
      <c r="P79" s="2" t="s">
        <v>83</v>
      </c>
      <c r="Q79" s="29">
        <v>45553.0</v>
      </c>
      <c r="R79" s="2" t="s">
        <v>188</v>
      </c>
      <c r="S79" s="2">
        <v>2.0</v>
      </c>
      <c r="T79" s="26">
        <f t="shared" si="1"/>
        <v>2.12</v>
      </c>
      <c r="U79" s="2">
        <v>10862.1</v>
      </c>
    </row>
    <row r="80">
      <c r="C80" s="8"/>
      <c r="D80" s="29">
        <v>45669.0</v>
      </c>
      <c r="E80" s="2" t="s">
        <v>23</v>
      </c>
      <c r="G80" s="2" t="s">
        <v>124</v>
      </c>
      <c r="H80" s="31">
        <v>46314.0</v>
      </c>
      <c r="I80" s="31">
        <v>46314.0</v>
      </c>
      <c r="J80" s="2">
        <v>75.0</v>
      </c>
      <c r="K80" s="17">
        <v>72.6</v>
      </c>
      <c r="L80" s="8"/>
      <c r="M80" s="8"/>
      <c r="P80" s="2" t="s">
        <v>84</v>
      </c>
      <c r="Q80" s="31">
        <v>45609.0</v>
      </c>
      <c r="R80" s="2" t="s">
        <v>122</v>
      </c>
      <c r="S80" s="2">
        <v>50.0</v>
      </c>
      <c r="T80" s="26">
        <f t="shared" si="1"/>
        <v>48.76</v>
      </c>
      <c r="U80" s="2" t="s">
        <v>203</v>
      </c>
    </row>
    <row r="81">
      <c r="C81" s="8"/>
      <c r="E81" s="8"/>
      <c r="G81" s="2"/>
      <c r="K81" s="18"/>
      <c r="L81" s="8"/>
      <c r="M81" s="8"/>
      <c r="P81" s="2" t="s">
        <v>84</v>
      </c>
      <c r="Q81" s="31">
        <v>45609.0</v>
      </c>
      <c r="R81" s="2" t="s">
        <v>124</v>
      </c>
      <c r="S81" s="2">
        <v>30.0</v>
      </c>
      <c r="T81" s="26">
        <f t="shared" si="1"/>
        <v>30.784</v>
      </c>
      <c r="U81" s="2" t="s">
        <v>201</v>
      </c>
    </row>
    <row r="82">
      <c r="C82" s="8"/>
      <c r="E82" s="8"/>
      <c r="G82" s="2"/>
      <c r="K82" s="18"/>
      <c r="L82" s="8"/>
      <c r="M82" s="8"/>
      <c r="P82" s="2" t="s">
        <v>84</v>
      </c>
      <c r="Q82" s="31">
        <v>45609.0</v>
      </c>
      <c r="R82" s="2" t="s">
        <v>188</v>
      </c>
      <c r="S82" s="2">
        <v>5.0</v>
      </c>
      <c r="T82" s="26">
        <f t="shared" si="1"/>
        <v>5.3</v>
      </c>
      <c r="U82" s="2">
        <v>10862.1</v>
      </c>
    </row>
    <row r="83">
      <c r="C83" s="8"/>
      <c r="E83" s="8"/>
      <c r="G83" s="2"/>
      <c r="K83" s="18"/>
      <c r="L83" s="8"/>
      <c r="M83" s="8"/>
      <c r="P83" s="2" t="s">
        <v>84</v>
      </c>
      <c r="Q83" s="31">
        <v>45609.0</v>
      </c>
      <c r="R83" s="2" t="s">
        <v>176</v>
      </c>
      <c r="S83" s="2">
        <v>3.0</v>
      </c>
      <c r="T83" s="26">
        <f t="shared" si="1"/>
        <v>4</v>
      </c>
      <c r="U83" s="2">
        <v>1.4282491E7</v>
      </c>
    </row>
    <row r="84">
      <c r="C84" s="8"/>
      <c r="E84" s="8"/>
      <c r="G84" s="2"/>
      <c r="K84" s="18"/>
      <c r="L84" s="8"/>
      <c r="M84" s="8"/>
      <c r="P84" s="2" t="s">
        <v>84</v>
      </c>
      <c r="Q84" s="31">
        <v>45609.0</v>
      </c>
      <c r="R84" s="2" t="s">
        <v>176</v>
      </c>
      <c r="S84" s="2">
        <v>3.0</v>
      </c>
      <c r="T84" s="26">
        <f t="shared" si="1"/>
        <v>4</v>
      </c>
      <c r="U84" s="2">
        <v>1.4296491E7</v>
      </c>
    </row>
    <row r="85">
      <c r="C85" s="8"/>
      <c r="E85" s="8"/>
      <c r="G85" s="2"/>
      <c r="K85" s="18"/>
      <c r="L85" s="8"/>
      <c r="M85" s="8"/>
      <c r="P85" s="2" t="s">
        <v>85</v>
      </c>
      <c r="Q85" s="31">
        <v>45630.0</v>
      </c>
      <c r="R85" s="2" t="s">
        <v>124</v>
      </c>
      <c r="S85" s="2">
        <v>20.0</v>
      </c>
      <c r="T85" s="26">
        <f t="shared" si="1"/>
        <v>20.52266667</v>
      </c>
      <c r="U85" s="2" t="s">
        <v>201</v>
      </c>
    </row>
    <row r="86">
      <c r="C86" s="8"/>
      <c r="E86" s="8"/>
      <c r="G86" s="2"/>
      <c r="K86" s="18"/>
      <c r="L86" s="8"/>
      <c r="M86" s="8"/>
      <c r="P86" s="2" t="s">
        <v>85</v>
      </c>
      <c r="Q86" s="31">
        <v>45630.0</v>
      </c>
      <c r="R86" s="2" t="s">
        <v>122</v>
      </c>
      <c r="S86" s="2">
        <v>35.0</v>
      </c>
      <c r="T86" s="26">
        <f t="shared" si="1"/>
        <v>34.132</v>
      </c>
      <c r="U86" s="2" t="s">
        <v>203</v>
      </c>
    </row>
    <row r="87">
      <c r="C87" s="8"/>
      <c r="E87" s="8"/>
      <c r="G87" s="2"/>
      <c r="K87" s="18"/>
      <c r="L87" s="8"/>
      <c r="M87" s="8"/>
      <c r="P87" s="2" t="s">
        <v>86</v>
      </c>
      <c r="Q87" s="31">
        <v>45653.0</v>
      </c>
      <c r="R87" s="2" t="s">
        <v>122</v>
      </c>
      <c r="S87" s="2">
        <v>50.0</v>
      </c>
      <c r="T87" s="26">
        <f t="shared" si="1"/>
        <v>48.76</v>
      </c>
      <c r="U87" s="2" t="s">
        <v>203</v>
      </c>
    </row>
    <row r="88">
      <c r="C88" s="8"/>
      <c r="E88" s="8"/>
      <c r="G88" s="2"/>
      <c r="K88" s="18"/>
      <c r="L88" s="8"/>
      <c r="M88" s="8"/>
      <c r="P88" s="2" t="s">
        <v>86</v>
      </c>
      <c r="Q88" s="31">
        <v>45653.0</v>
      </c>
      <c r="R88" s="2" t="s">
        <v>124</v>
      </c>
      <c r="S88" s="2">
        <v>12.5</v>
      </c>
      <c r="T88" s="26">
        <f t="shared" si="1"/>
        <v>12.82666667</v>
      </c>
      <c r="U88" s="2" t="s">
        <v>201</v>
      </c>
    </row>
    <row r="89">
      <c r="C89" s="8"/>
      <c r="E89" s="8"/>
      <c r="G89" s="2"/>
      <c r="K89" s="18"/>
      <c r="L89" s="8"/>
      <c r="M89" s="8"/>
      <c r="P89" s="2" t="s">
        <v>86</v>
      </c>
      <c r="Q89" s="31">
        <v>45653.0</v>
      </c>
      <c r="R89" s="2" t="s">
        <v>155</v>
      </c>
      <c r="S89" s="2">
        <v>12.5</v>
      </c>
      <c r="T89" s="26">
        <f t="shared" si="1"/>
        <v>6.36</v>
      </c>
      <c r="U89" s="2" t="s">
        <v>202</v>
      </c>
    </row>
    <row r="90">
      <c r="C90" s="8"/>
      <c r="E90" s="8"/>
      <c r="G90" s="2"/>
      <c r="K90" s="18"/>
      <c r="L90" s="8"/>
      <c r="M90" s="8"/>
      <c r="P90" s="2" t="s">
        <v>86</v>
      </c>
      <c r="Q90" s="31">
        <v>45653.0</v>
      </c>
      <c r="R90" s="2" t="s">
        <v>177</v>
      </c>
      <c r="S90" s="2">
        <v>5.0</v>
      </c>
      <c r="T90" s="26">
        <f t="shared" si="1"/>
        <v>7.33</v>
      </c>
      <c r="U90" s="2" t="s">
        <v>178</v>
      </c>
    </row>
    <row r="91">
      <c r="C91" s="8"/>
      <c r="E91" s="8"/>
      <c r="G91" s="2"/>
      <c r="K91" s="18"/>
      <c r="L91" s="8"/>
      <c r="M91" s="8"/>
      <c r="P91" s="2" t="s">
        <v>217</v>
      </c>
      <c r="Q91" s="29">
        <v>45672.0</v>
      </c>
      <c r="R91" s="2" t="s">
        <v>124</v>
      </c>
      <c r="S91" s="2">
        <v>25.0</v>
      </c>
      <c r="T91" s="26">
        <f t="shared" si="1"/>
        <v>25.65</v>
      </c>
      <c r="U91" s="2" t="s">
        <v>198</v>
      </c>
    </row>
    <row r="92">
      <c r="C92" s="8"/>
      <c r="E92" s="8"/>
      <c r="G92" s="2"/>
      <c r="K92" s="18"/>
      <c r="L92" s="8"/>
      <c r="M92" s="8"/>
      <c r="P92" s="2" t="s">
        <v>217</v>
      </c>
      <c r="Q92" s="29">
        <v>45672.0</v>
      </c>
      <c r="R92" s="2" t="s">
        <v>122</v>
      </c>
      <c r="S92" s="2">
        <v>34.8</v>
      </c>
      <c r="T92" s="26">
        <f t="shared" si="1"/>
        <v>33.93696</v>
      </c>
      <c r="U92" s="32">
        <v>46366.0</v>
      </c>
    </row>
    <row r="93">
      <c r="C93" s="8"/>
      <c r="E93" s="8"/>
      <c r="G93" s="2"/>
      <c r="K93" s="18"/>
      <c r="L93" s="8"/>
      <c r="M93" s="8"/>
      <c r="P93" s="2" t="s">
        <v>218</v>
      </c>
      <c r="Q93" s="29">
        <v>45672.0</v>
      </c>
      <c r="R93" s="2" t="s">
        <v>127</v>
      </c>
      <c r="S93" s="2">
        <v>5.0</v>
      </c>
      <c r="T93" s="26">
        <f t="shared" si="1"/>
        <v>5.215333333</v>
      </c>
      <c r="U93" s="2" t="s">
        <v>128</v>
      </c>
    </row>
    <row r="94">
      <c r="C94" s="8"/>
      <c r="E94" s="8"/>
      <c r="G94" s="2"/>
      <c r="K94" s="18"/>
      <c r="L94" s="8"/>
      <c r="M94" s="8"/>
      <c r="P94" s="2" t="s">
        <v>217</v>
      </c>
      <c r="Q94" s="29">
        <v>45672.0</v>
      </c>
      <c r="R94" s="2" t="s">
        <v>188</v>
      </c>
      <c r="S94" s="2">
        <v>3.0</v>
      </c>
      <c r="T94" s="26">
        <f t="shared" si="1"/>
        <v>3.18</v>
      </c>
      <c r="U94" s="2">
        <v>10862.1</v>
      </c>
    </row>
    <row r="95">
      <c r="C95" s="8"/>
      <c r="E95" s="8"/>
      <c r="G95" s="2"/>
      <c r="K95" s="18"/>
      <c r="L95" s="8"/>
      <c r="M95" s="8"/>
      <c r="P95" s="2" t="s">
        <v>217</v>
      </c>
      <c r="Q95" s="29">
        <v>45672.0</v>
      </c>
      <c r="R95" s="2" t="s">
        <v>176</v>
      </c>
      <c r="S95" s="2">
        <v>5.0</v>
      </c>
      <c r="T95" s="26">
        <f t="shared" si="1"/>
        <v>5.82</v>
      </c>
      <c r="U95" s="2">
        <v>2402250.0</v>
      </c>
    </row>
    <row r="96">
      <c r="C96" s="8"/>
      <c r="E96" s="8"/>
      <c r="G96" s="2"/>
      <c r="K96" s="18"/>
      <c r="L96" s="8"/>
      <c r="M96" s="8"/>
      <c r="P96" s="2" t="s">
        <v>88</v>
      </c>
      <c r="Q96" s="29">
        <v>45679.0</v>
      </c>
      <c r="R96" s="2" t="s">
        <v>122</v>
      </c>
      <c r="S96" s="2">
        <v>30.0</v>
      </c>
      <c r="T96" s="26">
        <f t="shared" si="1"/>
        <v>29.256</v>
      </c>
      <c r="U96" s="32">
        <v>46366.0</v>
      </c>
    </row>
    <row r="97">
      <c r="C97" s="8"/>
      <c r="E97" s="8"/>
      <c r="G97" s="2"/>
      <c r="K97" s="18"/>
      <c r="L97" s="8"/>
      <c r="M97" s="8"/>
      <c r="P97" s="2" t="s">
        <v>88</v>
      </c>
      <c r="Q97" s="29">
        <v>45679.0</v>
      </c>
      <c r="R97" s="2" t="s">
        <v>124</v>
      </c>
      <c r="S97" s="2">
        <v>10.0</v>
      </c>
      <c r="T97" s="26">
        <f t="shared" si="1"/>
        <v>10.26</v>
      </c>
      <c r="U97" s="2" t="s">
        <v>198</v>
      </c>
    </row>
    <row r="98">
      <c r="C98" s="8"/>
      <c r="E98" s="8"/>
      <c r="G98" s="2"/>
      <c r="K98" s="18"/>
      <c r="L98" s="8"/>
      <c r="M98" s="8"/>
      <c r="P98" s="2" t="s">
        <v>88</v>
      </c>
      <c r="Q98" s="29">
        <v>45679.0</v>
      </c>
      <c r="R98" s="2" t="s">
        <v>155</v>
      </c>
      <c r="S98" s="2">
        <v>20.0</v>
      </c>
      <c r="T98" s="26">
        <f t="shared" si="1"/>
        <v>10.176</v>
      </c>
      <c r="U98" s="2" t="s">
        <v>202</v>
      </c>
    </row>
    <row r="99">
      <c r="C99" s="8"/>
      <c r="E99" s="8"/>
      <c r="G99" s="2"/>
      <c r="K99" s="18"/>
      <c r="L99" s="8"/>
      <c r="M99" s="8"/>
      <c r="P99" s="2" t="s">
        <v>89</v>
      </c>
      <c r="Q99" s="31">
        <v>45714.0</v>
      </c>
      <c r="R99" s="2" t="s">
        <v>122</v>
      </c>
      <c r="S99" s="2">
        <v>70.0</v>
      </c>
      <c r="T99" s="26">
        <f t="shared" si="1"/>
        <v>70</v>
      </c>
      <c r="U99" s="32">
        <v>46384.0</v>
      </c>
    </row>
    <row r="100">
      <c r="C100" s="8"/>
      <c r="E100" s="8"/>
      <c r="G100" s="2"/>
      <c r="K100" s="18"/>
      <c r="L100" s="8"/>
      <c r="M100" s="8"/>
      <c r="P100" s="2" t="s">
        <v>89</v>
      </c>
      <c r="Q100" s="31">
        <v>45714.0</v>
      </c>
      <c r="R100" s="2" t="s">
        <v>176</v>
      </c>
      <c r="S100" s="2">
        <v>10.0</v>
      </c>
      <c r="T100" s="26">
        <f t="shared" si="1"/>
        <v>12</v>
      </c>
      <c r="U100" s="2" t="s">
        <v>208</v>
      </c>
    </row>
    <row r="101">
      <c r="C101" s="8"/>
      <c r="E101" s="8"/>
      <c r="G101" s="2"/>
      <c r="K101" s="18"/>
      <c r="L101" s="8"/>
      <c r="M101" s="8"/>
      <c r="P101" s="2" t="s">
        <v>89</v>
      </c>
      <c r="Q101" s="31">
        <v>45714.0</v>
      </c>
      <c r="R101" s="2" t="s">
        <v>146</v>
      </c>
      <c r="S101" s="2">
        <v>5.0</v>
      </c>
      <c r="T101" s="26">
        <f t="shared" si="1"/>
        <v>6.6</v>
      </c>
      <c r="U101" s="2" t="s">
        <v>209</v>
      </c>
    </row>
    <row r="102">
      <c r="C102" s="8"/>
      <c r="E102" s="8"/>
      <c r="G102" s="2"/>
      <c r="K102" s="18"/>
      <c r="L102" s="8"/>
      <c r="M102" s="8"/>
      <c r="P102" s="2" t="s">
        <v>89</v>
      </c>
      <c r="Q102" s="31">
        <v>45714.0</v>
      </c>
      <c r="R102" s="2" t="s">
        <v>124</v>
      </c>
      <c r="S102" s="2">
        <v>10.0</v>
      </c>
      <c r="T102" s="26">
        <f t="shared" si="1"/>
        <v>10.26</v>
      </c>
      <c r="U102" s="2" t="s">
        <v>198</v>
      </c>
    </row>
    <row r="103">
      <c r="C103" s="8"/>
      <c r="E103" s="8"/>
      <c r="G103" s="2"/>
      <c r="K103" s="18"/>
      <c r="L103" s="8"/>
      <c r="M103" s="8"/>
      <c r="P103" s="2" t="s">
        <v>90</v>
      </c>
      <c r="Q103" s="31">
        <v>45749.0</v>
      </c>
      <c r="R103" s="2" t="s">
        <v>122</v>
      </c>
      <c r="S103" s="2">
        <v>40.0</v>
      </c>
      <c r="T103" s="26">
        <f t="shared" si="1"/>
        <v>40</v>
      </c>
      <c r="U103" s="32">
        <v>46384.0</v>
      </c>
    </row>
    <row r="104">
      <c r="C104" s="8"/>
      <c r="E104" s="8"/>
      <c r="G104" s="2"/>
      <c r="K104" s="18"/>
      <c r="L104" s="8"/>
      <c r="M104" s="8"/>
      <c r="P104" s="2" t="s">
        <v>90</v>
      </c>
      <c r="Q104" s="31">
        <v>45749.0</v>
      </c>
      <c r="R104" s="2" t="s">
        <v>124</v>
      </c>
      <c r="S104" s="2">
        <v>15.0</v>
      </c>
      <c r="T104" s="26">
        <f t="shared" si="1"/>
        <v>15.39</v>
      </c>
      <c r="U104" s="2" t="s">
        <v>198</v>
      </c>
    </row>
    <row r="105">
      <c r="C105" s="8"/>
      <c r="E105" s="8"/>
      <c r="G105" s="2"/>
      <c r="K105" s="18"/>
      <c r="L105" s="8"/>
      <c r="M105" s="8"/>
      <c r="P105" s="2" t="s">
        <v>90</v>
      </c>
      <c r="Q105" s="31">
        <v>45749.0</v>
      </c>
      <c r="R105" s="2" t="s">
        <v>155</v>
      </c>
      <c r="S105" s="2">
        <v>10.0</v>
      </c>
      <c r="T105" s="26">
        <f t="shared" si="1"/>
        <v>5.088</v>
      </c>
      <c r="U105" s="2" t="s">
        <v>202</v>
      </c>
    </row>
    <row r="106">
      <c r="C106" s="8"/>
      <c r="E106" s="8"/>
      <c r="G106" s="2"/>
      <c r="K106" s="18"/>
      <c r="L106" s="8"/>
      <c r="M106" s="8"/>
      <c r="P106" s="2" t="s">
        <v>91</v>
      </c>
      <c r="Q106" s="31">
        <v>45763.0</v>
      </c>
      <c r="R106" s="2" t="s">
        <v>122</v>
      </c>
      <c r="S106" s="2">
        <v>55.0</v>
      </c>
      <c r="T106" s="26">
        <f t="shared" si="1"/>
        <v>55</v>
      </c>
      <c r="U106" s="32">
        <v>46384.0</v>
      </c>
    </row>
    <row r="107">
      <c r="C107" s="8"/>
      <c r="E107" s="8"/>
      <c r="G107" s="2"/>
      <c r="K107" s="18"/>
      <c r="L107" s="8"/>
      <c r="M107" s="8"/>
      <c r="P107" s="2" t="s">
        <v>91</v>
      </c>
      <c r="Q107" s="31">
        <v>45763.0</v>
      </c>
      <c r="R107" s="2" t="s">
        <v>124</v>
      </c>
      <c r="S107" s="2">
        <v>10.0</v>
      </c>
      <c r="T107" s="26">
        <f t="shared" si="1"/>
        <v>10.26</v>
      </c>
      <c r="U107" s="2" t="s">
        <v>198</v>
      </c>
    </row>
    <row r="108">
      <c r="C108" s="8"/>
      <c r="E108" s="8"/>
      <c r="G108" s="2"/>
      <c r="K108" s="18"/>
      <c r="L108" s="8"/>
      <c r="M108" s="8"/>
      <c r="P108" s="2" t="s">
        <v>91</v>
      </c>
      <c r="Q108" s="31">
        <v>45763.0</v>
      </c>
      <c r="R108" s="2" t="s">
        <v>177</v>
      </c>
      <c r="S108" s="2">
        <v>5.0</v>
      </c>
      <c r="T108" s="26">
        <f t="shared" si="1"/>
        <v>7.33</v>
      </c>
      <c r="U108" s="2" t="s">
        <v>178</v>
      </c>
    </row>
    <row r="109">
      <c r="C109" s="8"/>
      <c r="E109" s="8"/>
      <c r="G109" s="2"/>
      <c r="K109" s="18"/>
      <c r="L109" s="8"/>
      <c r="M109" s="8"/>
      <c r="P109" s="2" t="s">
        <v>91</v>
      </c>
      <c r="Q109" s="31">
        <v>45763.0</v>
      </c>
      <c r="R109" s="2" t="s">
        <v>176</v>
      </c>
      <c r="S109" s="2">
        <v>10.0</v>
      </c>
      <c r="T109" s="26">
        <f t="shared" si="1"/>
        <v>12</v>
      </c>
      <c r="U109" s="2" t="s">
        <v>208</v>
      </c>
    </row>
    <row r="110">
      <c r="C110" s="8"/>
      <c r="E110" s="8"/>
      <c r="G110" s="2"/>
      <c r="K110" s="18"/>
      <c r="L110" s="8"/>
      <c r="M110" s="8"/>
      <c r="P110" s="2" t="s">
        <v>92</v>
      </c>
      <c r="Q110" s="29">
        <v>45798.0</v>
      </c>
      <c r="R110" s="2" t="s">
        <v>122</v>
      </c>
      <c r="S110" s="2">
        <v>5.0</v>
      </c>
      <c r="T110" s="26">
        <f t="shared" si="1"/>
        <v>5</v>
      </c>
      <c r="U110" s="32">
        <v>46384.0</v>
      </c>
    </row>
    <row r="111">
      <c r="C111" s="8"/>
      <c r="E111" s="8"/>
      <c r="G111" s="2"/>
      <c r="K111" s="18"/>
      <c r="L111" s="8"/>
      <c r="M111" s="8"/>
      <c r="P111" s="2" t="s">
        <v>92</v>
      </c>
      <c r="Q111" s="29">
        <v>45798.0</v>
      </c>
      <c r="R111" s="2" t="s">
        <v>122</v>
      </c>
      <c r="S111" s="2">
        <v>25.0</v>
      </c>
      <c r="T111" s="26">
        <f t="shared" si="1"/>
        <v>25</v>
      </c>
      <c r="U111" s="32">
        <v>46384.0</v>
      </c>
    </row>
    <row r="112">
      <c r="C112" s="8"/>
      <c r="E112" s="8"/>
      <c r="G112" s="2"/>
      <c r="K112" s="18"/>
      <c r="L112" s="8"/>
      <c r="M112" s="8"/>
      <c r="P112" s="2" t="s">
        <v>92</v>
      </c>
      <c r="Q112" s="29">
        <v>45798.0</v>
      </c>
      <c r="R112" s="2" t="s">
        <v>124</v>
      </c>
      <c r="S112" s="2">
        <v>15.0</v>
      </c>
      <c r="T112" s="26">
        <f t="shared" si="1"/>
        <v>15.39</v>
      </c>
      <c r="U112" s="2" t="s">
        <v>198</v>
      </c>
    </row>
    <row r="113">
      <c r="C113" s="8"/>
      <c r="E113" s="8"/>
      <c r="G113" s="2"/>
      <c r="K113" s="18"/>
      <c r="L113" s="8"/>
      <c r="M113" s="8"/>
      <c r="P113" s="2" t="s">
        <v>92</v>
      </c>
      <c r="Q113" s="29">
        <v>45798.0</v>
      </c>
      <c r="R113" s="2" t="s">
        <v>176</v>
      </c>
      <c r="S113" s="2">
        <v>5.0</v>
      </c>
      <c r="T113" s="26">
        <f t="shared" si="1"/>
        <v>6</v>
      </c>
      <c r="U113" s="2" t="s">
        <v>208</v>
      </c>
    </row>
    <row r="114">
      <c r="C114" s="8"/>
      <c r="E114" s="8"/>
      <c r="G114" s="2"/>
      <c r="K114" s="18"/>
      <c r="L114" s="8"/>
      <c r="M114" s="8"/>
      <c r="P114" s="2" t="s">
        <v>92</v>
      </c>
      <c r="Q114" s="29">
        <v>45798.0</v>
      </c>
      <c r="R114" s="2" t="s">
        <v>177</v>
      </c>
      <c r="S114" s="2">
        <v>5.0</v>
      </c>
      <c r="T114" s="26">
        <f t="shared" si="1"/>
        <v>7.33</v>
      </c>
      <c r="U114" s="2" t="s">
        <v>178</v>
      </c>
    </row>
    <row r="115">
      <c r="C115" s="8"/>
      <c r="E115" s="8"/>
      <c r="G115" s="2"/>
      <c r="K115" s="18"/>
      <c r="L115" s="8"/>
      <c r="M115" s="8"/>
      <c r="P115" s="2" t="s">
        <v>92</v>
      </c>
      <c r="Q115" s="29">
        <v>45798.0</v>
      </c>
      <c r="R115" s="2" t="s">
        <v>211</v>
      </c>
      <c r="S115" s="2">
        <v>1.0</v>
      </c>
      <c r="T115" s="26">
        <f t="shared" si="1"/>
        <v>10</v>
      </c>
      <c r="U115" s="2">
        <v>4.61002642E8</v>
      </c>
    </row>
    <row r="116">
      <c r="C116" s="8"/>
      <c r="E116" s="8"/>
      <c r="G116" s="2"/>
      <c r="K116" s="18"/>
      <c r="L116" s="8"/>
      <c r="M116" s="8"/>
      <c r="P116" s="2" t="s">
        <v>93</v>
      </c>
      <c r="Q116" s="31">
        <v>45833.0</v>
      </c>
      <c r="R116" s="2" t="s">
        <v>122</v>
      </c>
      <c r="S116" s="2">
        <v>40.0</v>
      </c>
      <c r="T116" s="26">
        <f t="shared" si="1"/>
        <v>40</v>
      </c>
      <c r="U116" s="32">
        <v>46384.0</v>
      </c>
    </row>
    <row r="117">
      <c r="C117" s="8"/>
      <c r="E117" s="8"/>
      <c r="G117" s="2"/>
      <c r="K117" s="18"/>
      <c r="L117" s="8"/>
      <c r="M117" s="8"/>
      <c r="P117" s="2" t="s">
        <v>93</v>
      </c>
      <c r="Q117" s="31">
        <v>45833.0</v>
      </c>
      <c r="R117" s="2" t="s">
        <v>124</v>
      </c>
      <c r="S117" s="2">
        <v>14.4</v>
      </c>
      <c r="T117" s="26">
        <f t="shared" si="1"/>
        <v>14.7744</v>
      </c>
      <c r="U117" s="2" t="s">
        <v>198</v>
      </c>
    </row>
    <row r="118">
      <c r="C118" s="8"/>
      <c r="E118" s="8"/>
      <c r="G118" s="2"/>
      <c r="K118" s="18"/>
      <c r="L118" s="8"/>
      <c r="M118" s="8"/>
      <c r="P118" s="2" t="s">
        <v>93</v>
      </c>
      <c r="Q118" s="31">
        <v>45833.0</v>
      </c>
      <c r="R118" s="2" t="s">
        <v>155</v>
      </c>
      <c r="S118" s="2">
        <v>6.0</v>
      </c>
      <c r="T118" s="26">
        <f t="shared" si="1"/>
        <v>3.0528</v>
      </c>
      <c r="U118" s="2" t="s">
        <v>202</v>
      </c>
    </row>
    <row r="119">
      <c r="C119" s="8"/>
      <c r="E119" s="8"/>
      <c r="G119" s="2"/>
      <c r="K119" s="18"/>
      <c r="L119" s="8"/>
      <c r="M119" s="8"/>
      <c r="P119" s="2" t="s">
        <v>93</v>
      </c>
      <c r="Q119" s="31">
        <v>45833.0</v>
      </c>
      <c r="R119" s="2" t="s">
        <v>146</v>
      </c>
      <c r="S119" s="2">
        <v>5.0</v>
      </c>
      <c r="T119" s="26">
        <f t="shared" si="1"/>
        <v>6.6</v>
      </c>
      <c r="U119" s="2" t="s">
        <v>209</v>
      </c>
    </row>
    <row r="120">
      <c r="C120" s="8"/>
      <c r="E120" s="8"/>
      <c r="G120" s="2"/>
      <c r="K120" s="18"/>
      <c r="L120" s="8"/>
      <c r="M120" s="8"/>
      <c r="P120" s="2" t="s">
        <v>93</v>
      </c>
      <c r="Q120" s="31">
        <v>45833.0</v>
      </c>
      <c r="R120" s="2" t="s">
        <v>176</v>
      </c>
      <c r="S120" s="2">
        <v>5.0</v>
      </c>
      <c r="T120" s="26">
        <f t="shared" si="1"/>
        <v>5.508</v>
      </c>
      <c r="U120" s="2">
        <v>2.50522042224E12</v>
      </c>
    </row>
    <row r="121">
      <c r="C121" s="8"/>
      <c r="E121" s="8"/>
      <c r="G121" s="2"/>
      <c r="K121" s="18"/>
      <c r="L121" s="8"/>
      <c r="M121" s="8"/>
      <c r="P121" s="2" t="s">
        <v>93</v>
      </c>
      <c r="Q121" s="31">
        <v>45833.0</v>
      </c>
      <c r="R121" s="2" t="s">
        <v>211</v>
      </c>
      <c r="S121" s="2">
        <v>1.5</v>
      </c>
      <c r="T121" s="26">
        <f t="shared" si="1"/>
        <v>1.05</v>
      </c>
      <c r="U121" s="2" t="s">
        <v>213</v>
      </c>
    </row>
    <row r="122">
      <c r="C122" s="8"/>
      <c r="E122" s="8"/>
      <c r="G122" s="2"/>
      <c r="K122" s="18"/>
      <c r="L122" s="8"/>
      <c r="M122" s="8"/>
      <c r="P122" s="2" t="s">
        <v>94</v>
      </c>
      <c r="Q122" s="31">
        <v>45903.0</v>
      </c>
      <c r="R122" s="2" t="s">
        <v>122</v>
      </c>
      <c r="S122" s="2">
        <v>25.0</v>
      </c>
      <c r="T122" s="26">
        <f t="shared" si="1"/>
        <v>25</v>
      </c>
      <c r="U122" s="32">
        <v>46384.0</v>
      </c>
    </row>
    <row r="123">
      <c r="C123" s="8"/>
      <c r="G123" s="2"/>
      <c r="K123" s="18"/>
      <c r="L123" s="8"/>
      <c r="M123" s="8"/>
      <c r="P123" s="2" t="s">
        <v>94</v>
      </c>
      <c r="Q123" s="31">
        <v>45903.0</v>
      </c>
      <c r="R123" s="2" t="s">
        <v>124</v>
      </c>
      <c r="S123" s="2">
        <v>10.0</v>
      </c>
      <c r="T123" s="26">
        <f t="shared" si="1"/>
        <v>10.26</v>
      </c>
      <c r="U123" s="2" t="s">
        <v>198</v>
      </c>
    </row>
    <row r="124">
      <c r="C124" s="8"/>
      <c r="G124" s="2"/>
      <c r="K124" s="18"/>
      <c r="L124" s="8"/>
      <c r="M124" s="8"/>
      <c r="P124" s="2" t="s">
        <v>94</v>
      </c>
      <c r="Q124" s="31">
        <v>45903.0</v>
      </c>
      <c r="R124" s="2" t="s">
        <v>155</v>
      </c>
      <c r="S124" s="2">
        <v>5.0</v>
      </c>
      <c r="T124" s="26">
        <f t="shared" si="1"/>
        <v>2.544</v>
      </c>
      <c r="U124" s="2" t="s">
        <v>202</v>
      </c>
    </row>
    <row r="125">
      <c r="C125" s="8"/>
      <c r="G125" s="8"/>
      <c r="K125" s="18"/>
      <c r="L125" s="8"/>
      <c r="M125" s="8"/>
      <c r="P125" s="2" t="s">
        <v>94</v>
      </c>
      <c r="Q125" s="31">
        <v>45903.0</v>
      </c>
      <c r="R125" s="2" t="s">
        <v>176</v>
      </c>
      <c r="S125" s="2">
        <v>2.0</v>
      </c>
      <c r="T125" s="26">
        <f t="shared" si="1"/>
        <v>2.2032</v>
      </c>
      <c r="U125" s="2">
        <v>2.50522042224E12</v>
      </c>
    </row>
    <row r="126">
      <c r="C126" s="8"/>
      <c r="G126" s="8"/>
      <c r="K126" s="18"/>
      <c r="L126" s="8"/>
      <c r="M126" s="8"/>
      <c r="P126" s="2" t="s">
        <v>94</v>
      </c>
      <c r="Q126" s="31">
        <v>45903.0</v>
      </c>
      <c r="R126" s="2" t="s">
        <v>211</v>
      </c>
      <c r="S126" s="2">
        <v>0.5</v>
      </c>
      <c r="T126" s="26">
        <f t="shared" si="1"/>
        <v>0.35</v>
      </c>
      <c r="U126" s="2" t="s">
        <v>213</v>
      </c>
    </row>
    <row r="127">
      <c r="C127" s="8"/>
      <c r="G127" s="8"/>
      <c r="K127" s="18"/>
      <c r="L127" s="8"/>
      <c r="M127" s="8"/>
      <c r="P127" s="2" t="s">
        <v>95</v>
      </c>
      <c r="Q127" s="31">
        <v>45924.0</v>
      </c>
      <c r="R127" s="2" t="s">
        <v>122</v>
      </c>
      <c r="S127" s="2">
        <v>35.0</v>
      </c>
      <c r="T127" s="26">
        <f t="shared" si="1"/>
        <v>35</v>
      </c>
      <c r="U127" s="32">
        <v>46384.0</v>
      </c>
    </row>
    <row r="128">
      <c r="C128" s="8"/>
      <c r="G128" s="8"/>
      <c r="K128" s="18"/>
      <c r="L128" s="8"/>
      <c r="M128" s="8"/>
      <c r="P128" s="2" t="s">
        <v>95</v>
      </c>
      <c r="Q128" s="31">
        <v>45924.0</v>
      </c>
      <c r="R128" s="2" t="s">
        <v>124</v>
      </c>
      <c r="S128" s="2">
        <v>20.0</v>
      </c>
      <c r="T128" s="26">
        <f t="shared" si="1"/>
        <v>20.52</v>
      </c>
      <c r="U128" s="2" t="s">
        <v>198</v>
      </c>
    </row>
    <row r="129">
      <c r="C129" s="8"/>
      <c r="G129" s="8"/>
      <c r="K129" s="18"/>
      <c r="L129" s="8"/>
      <c r="M129" s="8"/>
      <c r="P129" s="2" t="s">
        <v>95</v>
      </c>
      <c r="Q129" s="31">
        <v>45924.0</v>
      </c>
      <c r="R129" s="2" t="s">
        <v>155</v>
      </c>
      <c r="S129" s="2">
        <v>5.0</v>
      </c>
      <c r="T129" s="26">
        <f t="shared" si="1"/>
        <v>2.544</v>
      </c>
      <c r="U129" s="2" t="s">
        <v>202</v>
      </c>
    </row>
    <row r="130">
      <c r="C130" s="8"/>
      <c r="G130" s="8"/>
      <c r="K130" s="18"/>
      <c r="L130" s="8"/>
      <c r="M130" s="8"/>
      <c r="P130" s="2" t="s">
        <v>95</v>
      </c>
      <c r="Q130" s="31">
        <v>45924.0</v>
      </c>
      <c r="R130" s="2" t="s">
        <v>146</v>
      </c>
      <c r="S130" s="2">
        <v>5.0</v>
      </c>
      <c r="T130" s="26">
        <f t="shared" si="1"/>
        <v>6.6</v>
      </c>
      <c r="U130" s="2" t="s">
        <v>209</v>
      </c>
    </row>
    <row r="131">
      <c r="C131" s="8"/>
      <c r="G131" s="8"/>
      <c r="K131" s="18"/>
      <c r="L131" s="8"/>
      <c r="M131" s="8"/>
      <c r="P131" s="2" t="s">
        <v>95</v>
      </c>
      <c r="Q131" s="31">
        <v>45924.0</v>
      </c>
      <c r="R131" s="2" t="s">
        <v>176</v>
      </c>
      <c r="S131" s="2">
        <v>5.0</v>
      </c>
      <c r="T131" s="26">
        <f t="shared" si="1"/>
        <v>5.508</v>
      </c>
      <c r="U131" s="2">
        <v>2.50522042224E12</v>
      </c>
    </row>
    <row r="132">
      <c r="C132" s="8"/>
      <c r="G132" s="8"/>
      <c r="K132" s="18"/>
      <c r="L132" s="8"/>
      <c r="M132" s="8"/>
      <c r="P132" s="2" t="s">
        <v>95</v>
      </c>
      <c r="Q132" s="31">
        <v>45924.0</v>
      </c>
      <c r="R132" s="2" t="s">
        <v>211</v>
      </c>
      <c r="S132" s="2">
        <v>4.0</v>
      </c>
      <c r="T132" s="26">
        <f t="shared" si="1"/>
        <v>2.8</v>
      </c>
      <c r="U132" s="2" t="s">
        <v>213</v>
      </c>
    </row>
    <row r="133">
      <c r="C133" s="8"/>
      <c r="G133" s="8"/>
      <c r="K133" s="18"/>
      <c r="L133" s="8"/>
      <c r="M133" s="8"/>
      <c r="P133" s="2" t="s">
        <v>96</v>
      </c>
      <c r="Q133" s="31">
        <v>45931.0</v>
      </c>
      <c r="R133" s="2" t="s">
        <v>122</v>
      </c>
      <c r="S133" s="2">
        <v>100.0</v>
      </c>
      <c r="T133" s="26">
        <f t="shared" si="1"/>
        <v>100</v>
      </c>
      <c r="U133" s="32">
        <v>46384.0</v>
      </c>
    </row>
    <row r="134">
      <c r="C134" s="8"/>
      <c r="G134" s="8"/>
      <c r="K134" s="18"/>
      <c r="L134" s="8"/>
      <c r="M134" s="8"/>
      <c r="P134" s="2" t="s">
        <v>96</v>
      </c>
      <c r="Q134" s="31">
        <v>45931.0</v>
      </c>
      <c r="R134" s="2" t="s">
        <v>124</v>
      </c>
      <c r="S134" s="2">
        <v>20.0</v>
      </c>
      <c r="T134" s="26">
        <f t="shared" si="1"/>
        <v>19.2</v>
      </c>
      <c r="U134" s="29">
        <v>46275.0</v>
      </c>
    </row>
    <row r="135">
      <c r="C135" s="8"/>
      <c r="G135" s="8"/>
      <c r="K135" s="18"/>
      <c r="L135" s="8"/>
      <c r="M135" s="8"/>
      <c r="P135" s="2" t="s">
        <v>96</v>
      </c>
      <c r="Q135" s="31">
        <v>45931.0</v>
      </c>
      <c r="R135" s="2" t="s">
        <v>155</v>
      </c>
      <c r="S135" s="2">
        <v>5.0</v>
      </c>
      <c r="T135" s="26">
        <f t="shared" si="1"/>
        <v>2.4</v>
      </c>
      <c r="U135" s="31">
        <v>46314.0</v>
      </c>
    </row>
    <row r="136">
      <c r="C136" s="8"/>
      <c r="G136" s="8"/>
      <c r="K136" s="18"/>
      <c r="L136" s="8"/>
      <c r="M136" s="8"/>
      <c r="P136" s="2" t="s">
        <v>96</v>
      </c>
      <c r="Q136" s="31">
        <v>45931.0</v>
      </c>
      <c r="R136" s="2" t="s">
        <v>176</v>
      </c>
      <c r="S136" s="2">
        <v>25.0</v>
      </c>
      <c r="T136" s="26">
        <f t="shared" si="1"/>
        <v>27.5</v>
      </c>
      <c r="U136" s="2" t="s">
        <v>214</v>
      </c>
    </row>
    <row r="137">
      <c r="C137" s="8"/>
      <c r="G137" s="8"/>
      <c r="K137" s="18"/>
      <c r="L137" s="8"/>
      <c r="M137" s="8"/>
      <c r="P137" s="2" t="s">
        <v>96</v>
      </c>
      <c r="Q137" s="31">
        <v>45931.0</v>
      </c>
      <c r="R137" s="2" t="s">
        <v>146</v>
      </c>
      <c r="S137" s="2">
        <v>5.0</v>
      </c>
      <c r="T137" s="26">
        <f t="shared" si="1"/>
        <v>6.6</v>
      </c>
      <c r="U137" s="2" t="s">
        <v>209</v>
      </c>
    </row>
    <row r="138">
      <c r="C138" s="8"/>
      <c r="G138" s="8"/>
      <c r="K138" s="18"/>
      <c r="L138" s="8"/>
      <c r="M138" s="8"/>
      <c r="P138" s="2" t="s">
        <v>96</v>
      </c>
      <c r="Q138" s="31">
        <v>45931.0</v>
      </c>
      <c r="R138" s="2" t="s">
        <v>211</v>
      </c>
      <c r="S138" s="2">
        <v>7.0</v>
      </c>
      <c r="T138" s="26">
        <f t="shared" si="1"/>
        <v>4.9</v>
      </c>
      <c r="U138" s="2" t="s">
        <v>213</v>
      </c>
    </row>
    <row r="139">
      <c r="C139" s="8"/>
      <c r="G139" s="8"/>
      <c r="K139" s="18"/>
      <c r="L139" s="8"/>
      <c r="M139" s="8"/>
      <c r="P139" s="2" t="s">
        <v>97</v>
      </c>
      <c r="Q139" s="31">
        <v>45959.0</v>
      </c>
      <c r="R139" s="2" t="s">
        <v>122</v>
      </c>
      <c r="S139" s="2">
        <v>40.0</v>
      </c>
      <c r="T139" s="26">
        <f t="shared" si="1"/>
        <v>40</v>
      </c>
      <c r="U139" s="32">
        <v>46384.0</v>
      </c>
    </row>
    <row r="140">
      <c r="C140" s="8"/>
      <c r="G140" s="8"/>
      <c r="K140" s="18"/>
      <c r="L140" s="8"/>
      <c r="M140" s="8"/>
      <c r="P140" s="2" t="s">
        <v>97</v>
      </c>
      <c r="Q140" s="31">
        <v>45959.0</v>
      </c>
      <c r="R140" s="2" t="s">
        <v>124</v>
      </c>
      <c r="S140" s="2">
        <v>5.0</v>
      </c>
      <c r="T140" s="26">
        <f t="shared" si="1"/>
        <v>4.8</v>
      </c>
      <c r="U140" s="29">
        <v>46275.0</v>
      </c>
    </row>
    <row r="141">
      <c r="C141" s="8"/>
      <c r="G141" s="8"/>
      <c r="K141" s="18"/>
      <c r="L141" s="8"/>
      <c r="M141" s="8"/>
      <c r="P141" s="2" t="s">
        <v>97</v>
      </c>
      <c r="Q141" s="31">
        <v>45959.0</v>
      </c>
      <c r="R141" s="2" t="s">
        <v>133</v>
      </c>
      <c r="S141" s="2">
        <v>5.0</v>
      </c>
      <c r="T141" s="26">
        <f t="shared" si="1"/>
        <v>13.075</v>
      </c>
      <c r="U141" s="2" t="s">
        <v>172</v>
      </c>
    </row>
    <row r="142">
      <c r="C142" s="8"/>
      <c r="G142" s="8"/>
      <c r="K142" s="18"/>
      <c r="L142" s="8"/>
      <c r="M142" s="8"/>
      <c r="P142" s="2" t="s">
        <v>97</v>
      </c>
      <c r="Q142" s="31">
        <v>45959.0</v>
      </c>
      <c r="R142" s="2" t="s">
        <v>146</v>
      </c>
      <c r="S142" s="2">
        <v>5.0</v>
      </c>
      <c r="T142" s="26">
        <f t="shared" si="1"/>
        <v>6.6</v>
      </c>
      <c r="U142" s="2" t="s">
        <v>209</v>
      </c>
    </row>
    <row r="143">
      <c r="C143" s="8"/>
      <c r="G143" s="8"/>
      <c r="K143" s="18"/>
      <c r="L143" s="8"/>
      <c r="M143" s="8"/>
      <c r="P143" s="2" t="s">
        <v>97</v>
      </c>
      <c r="Q143" s="31">
        <v>45959.0</v>
      </c>
      <c r="R143" s="2" t="s">
        <v>176</v>
      </c>
      <c r="S143" s="2">
        <v>5.0</v>
      </c>
      <c r="T143" s="26">
        <f t="shared" si="1"/>
        <v>5.5</v>
      </c>
      <c r="U143" s="2" t="s">
        <v>214</v>
      </c>
    </row>
    <row r="144">
      <c r="C144" s="8"/>
      <c r="G144" s="8"/>
      <c r="K144" s="18"/>
      <c r="L144" s="8"/>
      <c r="M144" s="8"/>
      <c r="P144" s="2" t="s">
        <v>97</v>
      </c>
      <c r="Q144" s="31">
        <v>45959.0</v>
      </c>
      <c r="R144" s="2" t="s">
        <v>215</v>
      </c>
      <c r="S144" s="2">
        <v>2.5</v>
      </c>
      <c r="T144" s="26">
        <f t="shared" si="1"/>
        <v>6.645</v>
      </c>
      <c r="U144" s="2" t="s">
        <v>216</v>
      </c>
    </row>
    <row r="145">
      <c r="C145" s="8"/>
      <c r="G145" s="8"/>
      <c r="K145" s="18"/>
      <c r="L145" s="8"/>
      <c r="M145" s="8"/>
      <c r="P145" s="2" t="s">
        <v>98</v>
      </c>
      <c r="Q145" s="31">
        <v>46020.0</v>
      </c>
      <c r="R145" s="2" t="s">
        <v>122</v>
      </c>
      <c r="S145" s="2">
        <v>50.0</v>
      </c>
      <c r="T145" s="26">
        <f t="shared" si="1"/>
        <v>50</v>
      </c>
      <c r="U145" s="32">
        <v>46384.0</v>
      </c>
    </row>
    <row r="146">
      <c r="C146" s="8"/>
      <c r="G146" s="8"/>
      <c r="K146" s="18"/>
      <c r="L146" s="8"/>
      <c r="M146" s="8"/>
      <c r="P146" s="2" t="s">
        <v>98</v>
      </c>
      <c r="Q146" s="31">
        <v>46020.0</v>
      </c>
      <c r="R146" s="2" t="s">
        <v>124</v>
      </c>
      <c r="S146" s="2">
        <v>15.0</v>
      </c>
      <c r="T146" s="26">
        <f t="shared" si="1"/>
        <v>14.4</v>
      </c>
      <c r="U146" s="29">
        <v>46275.0</v>
      </c>
    </row>
    <row r="147">
      <c r="C147" s="8"/>
      <c r="G147" s="8"/>
      <c r="K147" s="18"/>
      <c r="L147" s="8"/>
      <c r="M147" s="8"/>
      <c r="P147" s="2" t="s">
        <v>98</v>
      </c>
      <c r="Q147" s="31">
        <v>46020.0</v>
      </c>
      <c r="R147" s="2" t="s">
        <v>155</v>
      </c>
      <c r="S147" s="2">
        <v>10.0</v>
      </c>
      <c r="T147" s="26">
        <f t="shared" si="1"/>
        <v>4.8</v>
      </c>
      <c r="U147" s="31">
        <v>46314.0</v>
      </c>
    </row>
    <row r="148">
      <c r="C148" s="8"/>
      <c r="G148" s="8"/>
      <c r="K148" s="18"/>
      <c r="L148" s="8"/>
      <c r="M148" s="8"/>
      <c r="P148" s="2" t="s">
        <v>219</v>
      </c>
      <c r="Q148" s="29">
        <v>46043.0</v>
      </c>
      <c r="R148" s="2" t="s">
        <v>122</v>
      </c>
      <c r="S148" s="2">
        <v>60.0</v>
      </c>
      <c r="T148" s="26">
        <f t="shared" si="1"/>
        <v>60</v>
      </c>
      <c r="U148" s="32">
        <v>46384.0</v>
      </c>
    </row>
    <row r="149">
      <c r="C149" s="8"/>
      <c r="G149" s="8"/>
      <c r="K149" s="18"/>
      <c r="L149" s="8"/>
      <c r="M149" s="8"/>
      <c r="P149" s="2" t="s">
        <v>219</v>
      </c>
      <c r="Q149" s="29">
        <v>46043.0</v>
      </c>
      <c r="R149" s="2" t="s">
        <v>124</v>
      </c>
      <c r="S149" s="2">
        <v>10.0</v>
      </c>
      <c r="T149" s="26">
        <f t="shared" si="1"/>
        <v>9.6</v>
      </c>
      <c r="U149" s="29">
        <v>46275.0</v>
      </c>
    </row>
    <row r="150">
      <c r="C150" s="8"/>
      <c r="G150" s="8"/>
      <c r="K150" s="18"/>
      <c r="L150" s="8"/>
      <c r="M150" s="8"/>
      <c r="P150" s="2" t="s">
        <v>220</v>
      </c>
      <c r="Q150" s="29">
        <v>46078.0</v>
      </c>
      <c r="R150" s="2" t="s">
        <v>122</v>
      </c>
      <c r="S150" s="2">
        <v>50.0</v>
      </c>
      <c r="T150" s="26">
        <f>IFERROR(__xludf.DUMMYFUNCTION("IF(
  ISBLANK(U150),
  """",
  INDEX(FILTER($K$6:$K$2000,$H$6:$H$2000=U150),COUNTA(FILTER($H$6:$H$2000,$H$6:$H$2000=U150))) /
  INDEX(FILTER($J$6:$J$2000,$H$6:$H$2000=U150),COUNTA(FILTER($H$6:$H$2000,$H$6:$H$2000=U150))) *
  $S150
)"),46.0)</f>
        <v>46</v>
      </c>
      <c r="U150" s="32">
        <v>46384.0</v>
      </c>
    </row>
    <row r="151">
      <c r="C151" s="8"/>
      <c r="G151" s="8"/>
      <c r="K151" s="18"/>
      <c r="L151" s="8"/>
      <c r="M151" s="8"/>
      <c r="P151" s="2" t="s">
        <v>220</v>
      </c>
      <c r="Q151" s="29">
        <v>46078.0</v>
      </c>
      <c r="R151" s="2" t="s">
        <v>124</v>
      </c>
      <c r="S151" s="2">
        <v>15.0</v>
      </c>
      <c r="T151" s="26">
        <f>IFERROR(__xludf.DUMMYFUNCTION("IF(
  ISBLANK(U151),
  """",
  INDEX(FILTER($K$6:$K$2000,$H$6:$H$2000=U151),COUNTA(FILTER($H$6:$H$2000,$H$6:$H$2000=U151))) /
  INDEX(FILTER($J$6:$J$2000,$H$6:$H$2000=U151),COUNTA(FILTER($H$6:$H$2000,$H$6:$H$2000=U151))) *
  $S151
)"),14.52)</f>
        <v>14.52</v>
      </c>
      <c r="U151" s="31">
        <v>46314.0</v>
      </c>
    </row>
    <row r="152">
      <c r="C152" s="8"/>
      <c r="G152" s="8"/>
      <c r="K152" s="18"/>
      <c r="L152" s="8"/>
      <c r="M152" s="8"/>
      <c r="P152" s="2" t="s">
        <v>220</v>
      </c>
      <c r="Q152" s="29">
        <v>46078.0</v>
      </c>
      <c r="R152" s="2" t="s">
        <v>155</v>
      </c>
      <c r="S152" s="2">
        <v>5.0</v>
      </c>
      <c r="T152" s="26">
        <f>IFERROR(__xludf.DUMMYFUNCTION("IF(
  ISBLANK(U152),
  """",
  INDEX(FILTER($K$6:$K$2000,$H$6:$H$2000=U152),COUNTA(FILTER($H$6:$H$2000,$H$6:$H$2000=U152))) /
  INDEX(FILTER($J$6:$J$2000,$H$6:$H$2000=U152),COUNTA(FILTER($H$6:$H$2000,$H$6:$H$2000=U152))) *
  $S152
)"),4.84)</f>
        <v>4.84</v>
      </c>
      <c r="U152" s="31">
        <v>46314.0</v>
      </c>
    </row>
    <row r="153">
      <c r="C153" s="8"/>
      <c r="G153" s="8"/>
      <c r="K153" s="18"/>
      <c r="L153" s="8"/>
      <c r="M153" s="8"/>
      <c r="P153" s="2" t="s">
        <v>220</v>
      </c>
      <c r="Q153" s="29">
        <v>46078.0</v>
      </c>
      <c r="R153" s="2" t="s">
        <v>176</v>
      </c>
      <c r="S153" s="2">
        <v>2.5</v>
      </c>
      <c r="T153" s="26">
        <f>IFERROR(__xludf.DUMMYFUNCTION("IF(
  ISBLANK(U153),
  """",
  INDEX(FILTER($K$6:$K$2000,$H$6:$H$2000=U153),COUNTA(FILTER($H$6:$H$2000,$H$6:$H$2000=U153))) /
  INDEX(FILTER($J$6:$J$2000,$H$6:$H$2000=U153),COUNTA(FILTER($H$6:$H$2000,$H$6:$H$2000=U153))) *
  $S153
)"),2.75)</f>
        <v>2.75</v>
      </c>
      <c r="U153" s="2" t="s">
        <v>214</v>
      </c>
    </row>
    <row r="154">
      <c r="C154" s="8"/>
      <c r="G154" s="8"/>
      <c r="K154" s="18"/>
      <c r="L154" s="8"/>
      <c r="M154" s="8"/>
      <c r="R154" s="8"/>
      <c r="T154" s="26" t="str">
        <f>IFERROR(__xludf.DUMMYFUNCTION("IF(
  ISBLANK(U154),
  """",
  INDEX(FILTER($K$6:$K$2000,$H$6:$H$2000=U154),COUNTA(FILTER($H$6:$H$2000,$H$6:$H$2000=U154))) /
  INDEX(FILTER($J$6:$J$2000,$H$6:$H$2000=U154),COUNTA(FILTER($H$6:$H$2000,$H$6:$H$2000=U154))) *
  $S154
)"),"")</f>
        <v/>
      </c>
    </row>
    <row r="155">
      <c r="C155" s="8"/>
      <c r="G155" s="8"/>
      <c r="K155" s="18"/>
      <c r="L155" s="8"/>
      <c r="M155" s="8"/>
      <c r="R155" s="8"/>
      <c r="T155" s="26" t="str">
        <f>IFERROR(__xludf.DUMMYFUNCTION("IF(
  ISBLANK(U155),
  """",
  INDEX(FILTER($K$6:$K$2000,$H$6:$H$2000=U155),COUNTA(FILTER($H$6:$H$2000,$H$6:$H$2000=U155))) /
  INDEX(FILTER($J$6:$J$2000,$H$6:$H$2000=U155),COUNTA(FILTER($H$6:$H$2000,$H$6:$H$2000=U155))) *
  $S155
)"),"")</f>
        <v/>
      </c>
    </row>
    <row r="156">
      <c r="C156" s="8"/>
      <c r="G156" s="8"/>
      <c r="K156" s="18"/>
      <c r="L156" s="8"/>
      <c r="M156" s="8"/>
      <c r="R156" s="8"/>
      <c r="T156" s="26" t="str">
        <f>IFERROR(__xludf.DUMMYFUNCTION("IF(
  ISBLANK(U156),
  """",
  INDEX(FILTER($K$6:$K$2000,$H$6:$H$2000=U156),COUNTA(FILTER($H$6:$H$2000,$H$6:$H$2000=U156))) /
  INDEX(FILTER($J$6:$J$2000,$H$6:$H$2000=U156),COUNTA(FILTER($H$6:$H$2000,$H$6:$H$2000=U156))) *
  $S156
)"),"")</f>
        <v/>
      </c>
    </row>
    <row r="157">
      <c r="C157" s="8"/>
      <c r="G157" s="8"/>
      <c r="K157" s="18"/>
      <c r="L157" s="8"/>
      <c r="M157" s="8"/>
      <c r="R157" s="8"/>
      <c r="T157" s="26" t="str">
        <f>IFERROR(__xludf.DUMMYFUNCTION("IF(
  ISBLANK(U157),
  """",
  INDEX(FILTER($K$6:$K$2000,$H$6:$H$2000=U157),COUNTA(FILTER($H$6:$H$2000,$H$6:$H$2000=U157))) /
  INDEX(FILTER($J$6:$J$2000,$H$6:$H$2000=U157),COUNTA(FILTER($H$6:$H$2000,$H$6:$H$2000=U157))) *
  $S157
)"),"")</f>
        <v/>
      </c>
    </row>
    <row r="158">
      <c r="C158" s="8"/>
      <c r="G158" s="8"/>
      <c r="K158" s="18"/>
      <c r="L158" s="8"/>
      <c r="M158" s="8"/>
      <c r="R158" s="8"/>
      <c r="T158" s="26" t="str">
        <f>IFERROR(__xludf.DUMMYFUNCTION("IF(
  ISBLANK(U158),
  """",
  INDEX(FILTER($K$6:$K$2000,$H$6:$H$2000=U158),COUNTA(FILTER($H$6:$H$2000,$H$6:$H$2000=U158))) /
  INDEX(FILTER($J$6:$J$2000,$H$6:$H$2000=U158),COUNTA(FILTER($H$6:$H$2000,$H$6:$H$2000=U158))) *
  $S158
)"),"")</f>
        <v/>
      </c>
    </row>
    <row r="159">
      <c r="C159" s="8"/>
      <c r="G159" s="8"/>
      <c r="K159" s="18"/>
      <c r="L159" s="8"/>
      <c r="M159" s="8"/>
      <c r="R159" s="8"/>
      <c r="T159" s="26" t="str">
        <f>IFERROR(__xludf.DUMMYFUNCTION("IF(
  ISBLANK(U159),
  """",
  INDEX(FILTER($K$6:$K$2000,$H$6:$H$2000=U159),COUNTA(FILTER($H$6:$H$2000,$H$6:$H$2000=U159))) /
  INDEX(FILTER($J$6:$J$2000,$H$6:$H$2000=U159),COUNTA(FILTER($H$6:$H$2000,$H$6:$H$2000=U159))) *
  $S159
)"),"")</f>
        <v/>
      </c>
    </row>
    <row r="160">
      <c r="C160" s="8"/>
      <c r="G160" s="8"/>
      <c r="K160" s="18"/>
      <c r="L160" s="8"/>
      <c r="M160" s="8"/>
      <c r="R160" s="8"/>
      <c r="T160" s="26" t="str">
        <f>IFERROR(__xludf.DUMMYFUNCTION("IF(
  ISBLANK(U160),
  """",
  INDEX(FILTER($K$6:$K$2000,$H$6:$H$2000=U160),COUNTA(FILTER($H$6:$H$2000,$H$6:$H$2000=U160))) /
  INDEX(FILTER($J$6:$J$2000,$H$6:$H$2000=U160),COUNTA(FILTER($H$6:$H$2000,$H$6:$H$2000=U160))) *
  $S160
)"),"")</f>
        <v/>
      </c>
    </row>
    <row r="161">
      <c r="C161" s="8"/>
      <c r="G161" s="8"/>
      <c r="K161" s="18"/>
      <c r="L161" s="8"/>
      <c r="M161" s="8"/>
      <c r="R161" s="8"/>
      <c r="T161" s="26" t="str">
        <f>IFERROR(__xludf.DUMMYFUNCTION("IF(
  ISBLANK(U161),
  """",
  INDEX(FILTER($K$6:$K$2000,$H$6:$H$2000=U161),COUNTA(FILTER($H$6:$H$2000,$H$6:$H$2000=U161))) /
  INDEX(FILTER($J$6:$J$2000,$H$6:$H$2000=U161),COUNTA(FILTER($H$6:$H$2000,$H$6:$H$2000=U161))) *
  $S161
)"),"")</f>
        <v/>
      </c>
    </row>
    <row r="162">
      <c r="C162" s="8"/>
      <c r="G162" s="8"/>
      <c r="K162" s="18"/>
      <c r="L162" s="8"/>
      <c r="M162" s="8"/>
      <c r="R162" s="8"/>
      <c r="T162" s="26" t="str">
        <f>IFERROR(__xludf.DUMMYFUNCTION("IF(
  ISBLANK(U162),
  """",
  INDEX(FILTER($K$6:$K$2000,$H$6:$H$2000=U162),COUNTA(FILTER($H$6:$H$2000,$H$6:$H$2000=U162))) /
  INDEX(FILTER($J$6:$J$2000,$H$6:$H$2000=U162),COUNTA(FILTER($H$6:$H$2000,$H$6:$H$2000=U162))) *
  $S162
)"),"")</f>
        <v/>
      </c>
    </row>
    <row r="163">
      <c r="C163" s="8"/>
      <c r="G163" s="8"/>
      <c r="K163" s="18"/>
      <c r="L163" s="8"/>
      <c r="M163" s="8"/>
      <c r="R163" s="8"/>
      <c r="T163" s="26" t="str">
        <f>IFERROR(__xludf.DUMMYFUNCTION("IF(
  ISBLANK(U163),
  """",
  INDEX(FILTER($K$6:$K$2000,$H$6:$H$2000=U163),COUNTA(FILTER($H$6:$H$2000,$H$6:$H$2000=U163))) /
  INDEX(FILTER($J$6:$J$2000,$H$6:$H$2000=U163),COUNTA(FILTER($H$6:$H$2000,$H$6:$H$2000=U163))) *
  $S163
)"),"")</f>
        <v/>
      </c>
    </row>
    <row r="164">
      <c r="C164" s="8"/>
      <c r="G164" s="8"/>
      <c r="K164" s="18"/>
      <c r="L164" s="8"/>
      <c r="M164" s="8"/>
      <c r="R164" s="8"/>
      <c r="T164" s="26" t="str">
        <f>IFERROR(__xludf.DUMMYFUNCTION("IF(
  ISBLANK(U164),
  """",
  INDEX(FILTER($K$6:$K$2000,$H$6:$H$2000=U164),COUNTA(FILTER($H$6:$H$2000,$H$6:$H$2000=U164))) /
  INDEX(FILTER($J$6:$J$2000,$H$6:$H$2000=U164),COUNTA(FILTER($H$6:$H$2000,$H$6:$H$2000=U164))) *
  $S164
)"),"")</f>
        <v/>
      </c>
    </row>
    <row r="165">
      <c r="C165" s="8"/>
      <c r="G165" s="8"/>
      <c r="K165" s="18"/>
      <c r="L165" s="8"/>
      <c r="M165" s="8"/>
      <c r="R165" s="8"/>
      <c r="T165" s="26" t="str">
        <f>IFERROR(__xludf.DUMMYFUNCTION("IF(
  ISBLANK(U165),
  """",
  INDEX(FILTER($K$6:$K$2000,$H$6:$H$2000=U165),COUNTA(FILTER($H$6:$H$2000,$H$6:$H$2000=U165))) /
  INDEX(FILTER($J$6:$J$2000,$H$6:$H$2000=U165),COUNTA(FILTER($H$6:$H$2000,$H$6:$H$2000=U165))) *
  $S165
)"),"")</f>
        <v/>
      </c>
    </row>
    <row r="166">
      <c r="C166" s="8"/>
      <c r="G166" s="8"/>
      <c r="K166" s="18"/>
      <c r="L166" s="8"/>
      <c r="M166" s="8"/>
      <c r="R166" s="8"/>
      <c r="T166" s="26" t="str">
        <f>IFERROR(__xludf.DUMMYFUNCTION("IF(
  ISBLANK(U166),
  """",
  INDEX(FILTER($K$6:$K$2000,$H$6:$H$2000=U166),COUNTA(FILTER($H$6:$H$2000,$H$6:$H$2000=U166))) /
  INDEX(FILTER($J$6:$J$2000,$H$6:$H$2000=U166),COUNTA(FILTER($H$6:$H$2000,$H$6:$H$2000=U166))) *
  $S166
)"),"")</f>
        <v/>
      </c>
    </row>
    <row r="167">
      <c r="C167" s="8"/>
      <c r="G167" s="8"/>
      <c r="K167" s="18"/>
      <c r="L167" s="8"/>
      <c r="M167" s="8"/>
      <c r="R167" s="8"/>
      <c r="T167" s="26" t="str">
        <f>IFERROR(__xludf.DUMMYFUNCTION("IF(
  ISBLANK(U167),
  """",
  INDEX(FILTER($K$6:$K$2000,$H$6:$H$2000=U167),COUNTA(FILTER($H$6:$H$2000,$H$6:$H$2000=U167))) /
  INDEX(FILTER($J$6:$J$2000,$H$6:$H$2000=U167),COUNTA(FILTER($H$6:$H$2000,$H$6:$H$2000=U167))) *
  $S167
)"),"")</f>
        <v/>
      </c>
    </row>
    <row r="168">
      <c r="C168" s="8"/>
      <c r="G168" s="8"/>
      <c r="K168" s="18"/>
      <c r="L168" s="8"/>
      <c r="M168" s="8"/>
      <c r="R168" s="8"/>
      <c r="T168" s="26" t="str">
        <f>IFERROR(__xludf.DUMMYFUNCTION("IF(
  ISBLANK(U168),
  """",
  INDEX(FILTER($K$6:$K$2000,$H$6:$H$2000=U168),COUNTA(FILTER($H$6:$H$2000,$H$6:$H$2000=U168))) /
  INDEX(FILTER($J$6:$J$2000,$H$6:$H$2000=U168),COUNTA(FILTER($H$6:$H$2000,$H$6:$H$2000=U168))) *
  $S168
)"),"")</f>
        <v/>
      </c>
    </row>
    <row r="169">
      <c r="C169" s="8"/>
      <c r="G169" s="8"/>
      <c r="K169" s="18"/>
      <c r="L169" s="8"/>
      <c r="M169" s="8"/>
      <c r="R169" s="8"/>
      <c r="T169" s="26" t="str">
        <f>IFERROR(__xludf.DUMMYFUNCTION("IF(
  ISBLANK(U169),
  """",
  INDEX(FILTER($K$6:$K$2000,$H$6:$H$2000=U169),COUNTA(FILTER($H$6:$H$2000,$H$6:$H$2000=U169))) /
  INDEX(FILTER($J$6:$J$2000,$H$6:$H$2000=U169),COUNTA(FILTER($H$6:$H$2000,$H$6:$H$2000=U169))) *
  $S169
)"),"")</f>
        <v/>
      </c>
    </row>
    <row r="170">
      <c r="C170" s="8"/>
      <c r="G170" s="8"/>
      <c r="K170" s="18"/>
      <c r="L170" s="8"/>
      <c r="M170" s="8"/>
      <c r="R170" s="8"/>
      <c r="T170" s="26" t="str">
        <f>IFERROR(__xludf.DUMMYFUNCTION("IF(
  ISBLANK(U170),
  """",
  INDEX(FILTER($K$6:$K$2000,$H$6:$H$2000=U170),COUNTA(FILTER($H$6:$H$2000,$H$6:$H$2000=U170))) /
  INDEX(FILTER($J$6:$J$2000,$H$6:$H$2000=U170),COUNTA(FILTER($H$6:$H$2000,$H$6:$H$2000=U170))) *
  $S170
)"),"")</f>
        <v/>
      </c>
    </row>
    <row r="171">
      <c r="C171" s="8"/>
      <c r="G171" s="8"/>
      <c r="K171" s="18"/>
      <c r="L171" s="8"/>
      <c r="M171" s="8"/>
      <c r="R171" s="8"/>
      <c r="T171" s="26" t="str">
        <f>IFERROR(__xludf.DUMMYFUNCTION("IF(
  ISBLANK(U171),
  """",
  INDEX(FILTER($K$6:$K$2000,$H$6:$H$2000=U171),COUNTA(FILTER($H$6:$H$2000,$H$6:$H$2000=U171))) /
  INDEX(FILTER($J$6:$J$2000,$H$6:$H$2000=U171),COUNTA(FILTER($H$6:$H$2000,$H$6:$H$2000=U171))) *
  $S171
)"),"")</f>
        <v/>
      </c>
    </row>
    <row r="172">
      <c r="C172" s="8"/>
      <c r="G172" s="8"/>
      <c r="K172" s="18"/>
      <c r="L172" s="8"/>
      <c r="M172" s="8"/>
      <c r="R172" s="8"/>
      <c r="T172" s="26" t="str">
        <f>IFERROR(__xludf.DUMMYFUNCTION("IF(
  ISBLANK(U172),
  """",
  INDEX(FILTER($K$6:$K$2000,$H$6:$H$2000=U172),COUNTA(FILTER($H$6:$H$2000,$H$6:$H$2000=U172))) /
  INDEX(FILTER($J$6:$J$2000,$H$6:$H$2000=U172),COUNTA(FILTER($H$6:$H$2000,$H$6:$H$2000=U172))) *
  $S172
)"),"")</f>
        <v/>
      </c>
    </row>
    <row r="173">
      <c r="C173" s="8"/>
      <c r="G173" s="8"/>
      <c r="K173" s="18"/>
      <c r="L173" s="8"/>
      <c r="M173" s="8"/>
      <c r="R173" s="8"/>
      <c r="T173" s="26" t="str">
        <f>IFERROR(__xludf.DUMMYFUNCTION("IF(
  ISBLANK(U173),
  """",
  INDEX(FILTER($K$6:$K$2000,$H$6:$H$2000=U173),COUNTA(FILTER($H$6:$H$2000,$H$6:$H$2000=U173))) /
  INDEX(FILTER($J$6:$J$2000,$H$6:$H$2000=U173),COUNTA(FILTER($H$6:$H$2000,$H$6:$H$2000=U173))) *
  $S173
)"),"")</f>
        <v/>
      </c>
    </row>
    <row r="174">
      <c r="C174" s="8"/>
      <c r="G174" s="8"/>
      <c r="K174" s="18"/>
      <c r="L174" s="8"/>
      <c r="M174" s="8"/>
      <c r="R174" s="8"/>
      <c r="T174" s="26" t="str">
        <f>IFERROR(__xludf.DUMMYFUNCTION("IF(
  ISBLANK(U174),
  """",
  INDEX(FILTER($K$6:$K$2000,$H$6:$H$2000=U174),COUNTA(FILTER($H$6:$H$2000,$H$6:$H$2000=U174))) /
  INDEX(FILTER($J$6:$J$2000,$H$6:$H$2000=U174),COUNTA(FILTER($H$6:$H$2000,$H$6:$H$2000=U174))) *
  $S174
)"),"")</f>
        <v/>
      </c>
    </row>
    <row r="175">
      <c r="C175" s="8"/>
      <c r="G175" s="8"/>
      <c r="K175" s="18"/>
      <c r="L175" s="8"/>
      <c r="M175" s="8"/>
      <c r="R175" s="8"/>
      <c r="T175" s="26" t="str">
        <f>IFERROR(__xludf.DUMMYFUNCTION("IF(
  ISBLANK(U175),
  """",
  INDEX(FILTER($K$6:$K$2000,$H$6:$H$2000=U175),COUNTA(FILTER($H$6:$H$2000,$H$6:$H$2000=U175))) /
  INDEX(FILTER($J$6:$J$2000,$H$6:$H$2000=U175),COUNTA(FILTER($H$6:$H$2000,$H$6:$H$2000=U175))) *
  $S175
)"),"")</f>
        <v/>
      </c>
    </row>
    <row r="176">
      <c r="C176" s="8"/>
      <c r="G176" s="8"/>
      <c r="K176" s="18"/>
      <c r="L176" s="8"/>
      <c r="M176" s="8"/>
      <c r="R176" s="8"/>
      <c r="T176" s="26" t="str">
        <f>IFERROR(__xludf.DUMMYFUNCTION("IF(
  ISBLANK(U176),
  """",
  INDEX(FILTER($K$6:$K$2000,$H$6:$H$2000=U176),COUNTA(FILTER($H$6:$H$2000,$H$6:$H$2000=U176))) /
  INDEX(FILTER($J$6:$J$2000,$H$6:$H$2000=U176),COUNTA(FILTER($H$6:$H$2000,$H$6:$H$2000=U176))) *
  $S176
)"),"")</f>
        <v/>
      </c>
    </row>
    <row r="177">
      <c r="C177" s="8"/>
      <c r="G177" s="8"/>
      <c r="K177" s="18"/>
      <c r="L177" s="8"/>
      <c r="M177" s="8"/>
      <c r="R177" s="8"/>
      <c r="T177" s="26" t="str">
        <f>IFERROR(__xludf.DUMMYFUNCTION("IF(
  ISBLANK(U177),
  """",
  INDEX(FILTER($K$6:$K$2000,$H$6:$H$2000=U177),COUNTA(FILTER($H$6:$H$2000,$H$6:$H$2000=U177))) /
  INDEX(FILTER($J$6:$J$2000,$H$6:$H$2000=U177),COUNTA(FILTER($H$6:$H$2000,$H$6:$H$2000=U177))) *
  $S177
)"),"")</f>
        <v/>
      </c>
    </row>
    <row r="178">
      <c r="C178" s="8"/>
      <c r="G178" s="8"/>
      <c r="K178" s="18"/>
      <c r="L178" s="8"/>
      <c r="M178" s="8"/>
      <c r="R178" s="8"/>
      <c r="T178" s="26" t="str">
        <f>IFERROR(__xludf.DUMMYFUNCTION("IF(
  ISBLANK(U178),
  """",
  INDEX(FILTER($K$6:$K$2000,$H$6:$H$2000=U178),COUNTA(FILTER($H$6:$H$2000,$H$6:$H$2000=U178))) /
  INDEX(FILTER($J$6:$J$2000,$H$6:$H$2000=U178),COUNTA(FILTER($H$6:$H$2000,$H$6:$H$2000=U178))) *
  $S178
)"),"")</f>
        <v/>
      </c>
    </row>
    <row r="179">
      <c r="C179" s="8"/>
      <c r="G179" s="8"/>
      <c r="K179" s="18"/>
      <c r="L179" s="8"/>
      <c r="M179" s="8"/>
      <c r="R179" s="8"/>
      <c r="T179" s="26" t="str">
        <f>IFERROR(__xludf.DUMMYFUNCTION("IF(
  ISBLANK(U179),
  """",
  INDEX(FILTER($K$6:$K$2000,$H$6:$H$2000=U179),COUNTA(FILTER($H$6:$H$2000,$H$6:$H$2000=U179))) /
  INDEX(FILTER($J$6:$J$2000,$H$6:$H$2000=U179),COUNTA(FILTER($H$6:$H$2000,$H$6:$H$2000=U179))) *
  $S179
)"),"")</f>
        <v/>
      </c>
    </row>
    <row r="180">
      <c r="C180" s="8"/>
      <c r="G180" s="8"/>
      <c r="K180" s="18"/>
      <c r="L180" s="8"/>
      <c r="M180" s="8"/>
      <c r="R180" s="8"/>
      <c r="T180" s="26" t="str">
        <f>IFERROR(__xludf.DUMMYFUNCTION("IF(
  ISBLANK(U180),
  """",
  INDEX(FILTER($K$6:$K$2000,$H$6:$H$2000=U180),COUNTA(FILTER($H$6:$H$2000,$H$6:$H$2000=U180))) /
  INDEX(FILTER($J$6:$J$2000,$H$6:$H$2000=U180),COUNTA(FILTER($H$6:$H$2000,$H$6:$H$2000=U180))) *
  $S180
)"),"")</f>
        <v/>
      </c>
    </row>
    <row r="181">
      <c r="C181" s="8"/>
      <c r="G181" s="8"/>
      <c r="K181" s="18"/>
      <c r="L181" s="8"/>
      <c r="M181" s="8"/>
      <c r="R181" s="8"/>
      <c r="T181" s="26" t="str">
        <f>IFERROR(__xludf.DUMMYFUNCTION("IF(
  ISBLANK(U181),
  """",
  INDEX(FILTER($K$6:$K$2000,$H$6:$H$2000=U181),COUNTA(FILTER($H$6:$H$2000,$H$6:$H$2000=U181))) /
  INDEX(FILTER($J$6:$J$2000,$H$6:$H$2000=U181),COUNTA(FILTER($H$6:$H$2000,$H$6:$H$2000=U181))) *
  $S181
)"),"")</f>
        <v/>
      </c>
    </row>
    <row r="182">
      <c r="C182" s="8"/>
      <c r="G182" s="8"/>
      <c r="K182" s="18"/>
      <c r="L182" s="8"/>
      <c r="M182" s="8"/>
      <c r="R182" s="8"/>
      <c r="T182" s="26" t="str">
        <f>IFERROR(__xludf.DUMMYFUNCTION("IF(
  ISBLANK(U182),
  """",
  INDEX(FILTER($K$6:$K$2000,$H$6:$H$2000=U182),COUNTA(FILTER($H$6:$H$2000,$H$6:$H$2000=U182))) /
  INDEX(FILTER($J$6:$J$2000,$H$6:$H$2000=U182),COUNTA(FILTER($H$6:$H$2000,$H$6:$H$2000=U182))) *
  $S182
)"),"")</f>
        <v/>
      </c>
    </row>
    <row r="183">
      <c r="C183" s="8"/>
      <c r="G183" s="8"/>
      <c r="K183" s="18"/>
      <c r="L183" s="8"/>
      <c r="M183" s="8"/>
      <c r="R183" s="8"/>
      <c r="T183" s="26" t="str">
        <f>IFERROR(__xludf.DUMMYFUNCTION("IF(
  ISBLANK(U183),
  """",
  INDEX(FILTER($K$6:$K$2000,$H$6:$H$2000=U183),COUNTA(FILTER($H$6:$H$2000,$H$6:$H$2000=U183))) /
  INDEX(FILTER($J$6:$J$2000,$H$6:$H$2000=U183),COUNTA(FILTER($H$6:$H$2000,$H$6:$H$2000=U183))) *
  $S183
)"),"")</f>
        <v/>
      </c>
    </row>
    <row r="184">
      <c r="C184" s="8"/>
      <c r="G184" s="8"/>
      <c r="K184" s="18"/>
      <c r="L184" s="8"/>
      <c r="M184" s="8"/>
      <c r="R184" s="8"/>
      <c r="T184" s="26" t="str">
        <f>IFERROR(__xludf.DUMMYFUNCTION("IF(
  ISBLANK(U184),
  """",
  INDEX(FILTER($K$6:$K$2000,$H$6:$H$2000=U184),COUNTA(FILTER($H$6:$H$2000,$H$6:$H$2000=U184))) /
  INDEX(FILTER($J$6:$J$2000,$H$6:$H$2000=U184),COUNTA(FILTER($H$6:$H$2000,$H$6:$H$2000=U184))) *
  $S184
)"),"")</f>
        <v/>
      </c>
    </row>
    <row r="185">
      <c r="C185" s="8"/>
      <c r="G185" s="8"/>
      <c r="K185" s="18"/>
      <c r="L185" s="8"/>
      <c r="M185" s="8"/>
      <c r="R185" s="8"/>
      <c r="T185" s="26" t="str">
        <f>IFERROR(__xludf.DUMMYFUNCTION("IF(
  ISBLANK(U185),
  """",
  INDEX(FILTER($K$6:$K$2000,$H$6:$H$2000=U185),COUNTA(FILTER($H$6:$H$2000,$H$6:$H$2000=U185))) /
  INDEX(FILTER($J$6:$J$2000,$H$6:$H$2000=U185),COUNTA(FILTER($H$6:$H$2000,$H$6:$H$2000=U185))) *
  $S185
)"),"")</f>
        <v/>
      </c>
    </row>
    <row r="186">
      <c r="C186" s="8"/>
      <c r="G186" s="8"/>
      <c r="K186" s="18"/>
      <c r="L186" s="8"/>
      <c r="M186" s="8"/>
      <c r="R186" s="8"/>
      <c r="T186" s="26" t="str">
        <f>IFERROR(__xludf.DUMMYFUNCTION("IF(
  ISBLANK(U186),
  """",
  INDEX(FILTER($K$6:$K$2000,$H$6:$H$2000=U186),COUNTA(FILTER($H$6:$H$2000,$H$6:$H$2000=U186))) /
  INDEX(FILTER($J$6:$J$2000,$H$6:$H$2000=U186),COUNTA(FILTER($H$6:$H$2000,$H$6:$H$2000=U186))) *
  $S186
)"),"")</f>
        <v/>
      </c>
    </row>
    <row r="187">
      <c r="C187" s="8"/>
      <c r="G187" s="8"/>
      <c r="K187" s="18"/>
      <c r="L187" s="8"/>
      <c r="M187" s="8"/>
      <c r="R187" s="8"/>
      <c r="T187" s="26" t="str">
        <f>IFERROR(__xludf.DUMMYFUNCTION("IF(
  ISBLANK(U187),
  """",
  INDEX(FILTER($K$6:$K$2000,$H$6:$H$2000=U187),COUNTA(FILTER($H$6:$H$2000,$H$6:$H$2000=U187))) /
  INDEX(FILTER($J$6:$J$2000,$H$6:$H$2000=U187),COUNTA(FILTER($H$6:$H$2000,$H$6:$H$2000=U187))) *
  $S187
)"),"")</f>
        <v/>
      </c>
    </row>
    <row r="188">
      <c r="C188" s="8"/>
      <c r="G188" s="8"/>
      <c r="K188" s="18"/>
      <c r="L188" s="8"/>
      <c r="M188" s="8"/>
      <c r="R188" s="8"/>
      <c r="T188" s="26" t="str">
        <f>IFERROR(__xludf.DUMMYFUNCTION("IF(
  ISBLANK(U188),
  """",
  INDEX(FILTER($K$6:$K$2000,$H$6:$H$2000=U188),COUNTA(FILTER($H$6:$H$2000,$H$6:$H$2000=U188))) /
  INDEX(FILTER($J$6:$J$2000,$H$6:$H$2000=U188),COUNTA(FILTER($H$6:$H$2000,$H$6:$H$2000=U188))) *
  $S188
)"),"")</f>
        <v/>
      </c>
    </row>
    <row r="189">
      <c r="C189" s="8"/>
      <c r="G189" s="8"/>
      <c r="K189" s="18"/>
      <c r="L189" s="8"/>
      <c r="M189" s="8"/>
      <c r="R189" s="8"/>
      <c r="T189" s="26" t="str">
        <f>IFERROR(__xludf.DUMMYFUNCTION("IF(
  ISBLANK(U189),
  """",
  INDEX(FILTER($K$6:$K$2000,$H$6:$H$2000=U189),COUNTA(FILTER($H$6:$H$2000,$H$6:$H$2000=U189))) /
  INDEX(FILTER($J$6:$J$2000,$H$6:$H$2000=U189),COUNTA(FILTER($H$6:$H$2000,$H$6:$H$2000=U189))) *
  $S189
)"),"")</f>
        <v/>
      </c>
    </row>
    <row r="190">
      <c r="C190" s="8"/>
      <c r="G190" s="8"/>
      <c r="K190" s="18"/>
      <c r="L190" s="8"/>
      <c r="M190" s="8"/>
      <c r="R190" s="8"/>
      <c r="T190" s="26" t="str">
        <f>IFERROR(__xludf.DUMMYFUNCTION("IF(
  ISBLANK(U190),
  """",
  INDEX(FILTER($K$6:$K$2000,$H$6:$H$2000=U190),COUNTA(FILTER($H$6:$H$2000,$H$6:$H$2000=U190))) /
  INDEX(FILTER($J$6:$J$2000,$H$6:$H$2000=U190),COUNTA(FILTER($H$6:$H$2000,$H$6:$H$2000=U190))) *
  $S190
)"),"")</f>
        <v/>
      </c>
    </row>
    <row r="191">
      <c r="C191" s="8"/>
      <c r="G191" s="8"/>
      <c r="K191" s="18"/>
      <c r="L191" s="8"/>
      <c r="M191" s="8"/>
      <c r="R191" s="8"/>
      <c r="T191" s="26" t="str">
        <f>IFERROR(__xludf.DUMMYFUNCTION("IF(
  ISBLANK(U191),
  """",
  INDEX(FILTER($K$6:$K$2000,$H$6:$H$2000=U191),COUNTA(FILTER($H$6:$H$2000,$H$6:$H$2000=U191))) /
  INDEX(FILTER($J$6:$J$2000,$H$6:$H$2000=U191),COUNTA(FILTER($H$6:$H$2000,$H$6:$H$2000=U191))) *
  $S191
)"),"")</f>
        <v/>
      </c>
    </row>
    <row r="192">
      <c r="C192" s="8"/>
      <c r="G192" s="8"/>
      <c r="K192" s="18"/>
      <c r="L192" s="8"/>
      <c r="M192" s="8"/>
      <c r="R192" s="8"/>
      <c r="T192" s="26" t="str">
        <f>IFERROR(__xludf.DUMMYFUNCTION("IF(
  ISBLANK(U192),
  """",
  INDEX(FILTER($K$6:$K$2000,$H$6:$H$2000=U192),COUNTA(FILTER($H$6:$H$2000,$H$6:$H$2000=U192))) /
  INDEX(FILTER($J$6:$J$2000,$H$6:$H$2000=U192),COUNTA(FILTER($H$6:$H$2000,$H$6:$H$2000=U192))) *
  $S192
)"),"")</f>
        <v/>
      </c>
    </row>
    <row r="193">
      <c r="C193" s="8"/>
      <c r="G193" s="8"/>
      <c r="K193" s="18"/>
      <c r="L193" s="8"/>
      <c r="M193" s="8"/>
      <c r="R193" s="8"/>
      <c r="T193" s="26" t="str">
        <f>IFERROR(__xludf.DUMMYFUNCTION("IF(
  ISBLANK(U193),
  """",
  INDEX(FILTER($K$6:$K$2000,$H$6:$H$2000=U193),COUNTA(FILTER($H$6:$H$2000,$H$6:$H$2000=U193))) /
  INDEX(FILTER($J$6:$J$2000,$H$6:$H$2000=U193),COUNTA(FILTER($H$6:$H$2000,$H$6:$H$2000=U193))) *
  $S193
)"),"")</f>
        <v/>
      </c>
    </row>
    <row r="194">
      <c r="C194" s="8"/>
      <c r="G194" s="8"/>
      <c r="K194" s="18"/>
      <c r="L194" s="8"/>
      <c r="M194" s="8"/>
      <c r="R194" s="8"/>
      <c r="T194" s="26" t="str">
        <f>IFERROR(__xludf.DUMMYFUNCTION("IF(
  ISBLANK(U194),
  """",
  INDEX(FILTER($K$6:$K$2000,$H$6:$H$2000=U194),COUNTA(FILTER($H$6:$H$2000,$H$6:$H$2000=U194))) /
  INDEX(FILTER($J$6:$J$2000,$H$6:$H$2000=U194),COUNTA(FILTER($H$6:$H$2000,$H$6:$H$2000=U194))) *
  $S194
)"),"")</f>
        <v/>
      </c>
    </row>
    <row r="195">
      <c r="C195" s="8"/>
      <c r="G195" s="8"/>
      <c r="K195" s="18"/>
      <c r="L195" s="8"/>
      <c r="M195" s="8"/>
      <c r="R195" s="8"/>
      <c r="T195" s="26" t="str">
        <f>IFERROR(__xludf.DUMMYFUNCTION("IF(
  ISBLANK(U195),
  """",
  INDEX(FILTER($K$6:$K$2000,$H$6:$H$2000=U195),COUNTA(FILTER($H$6:$H$2000,$H$6:$H$2000=U195))) /
  INDEX(FILTER($J$6:$J$2000,$H$6:$H$2000=U195),COUNTA(FILTER($H$6:$H$2000,$H$6:$H$2000=U195))) *
  $S195
)"),"")</f>
        <v/>
      </c>
    </row>
    <row r="196">
      <c r="C196" s="8"/>
      <c r="G196" s="8"/>
      <c r="K196" s="18"/>
      <c r="L196" s="8"/>
      <c r="M196" s="8"/>
      <c r="R196" s="8"/>
      <c r="T196" s="26" t="str">
        <f>IFERROR(__xludf.DUMMYFUNCTION("IF(
  ISBLANK(U196),
  """",
  INDEX(FILTER($K$6:$K$2000,$H$6:$H$2000=U196),COUNTA(FILTER($H$6:$H$2000,$H$6:$H$2000=U196))) /
  INDEX(FILTER($J$6:$J$2000,$H$6:$H$2000=U196),COUNTA(FILTER($H$6:$H$2000,$H$6:$H$2000=U196))) *
  $S196
)"),"")</f>
        <v/>
      </c>
    </row>
    <row r="197">
      <c r="C197" s="8"/>
      <c r="G197" s="8"/>
      <c r="K197" s="18"/>
      <c r="L197" s="8"/>
      <c r="M197" s="8"/>
      <c r="R197" s="8"/>
      <c r="T197" s="26" t="str">
        <f>IFERROR(__xludf.DUMMYFUNCTION("IF(
  ISBLANK(U197),
  """",
  INDEX(FILTER($K$6:$K$2000,$H$6:$H$2000=U197),COUNTA(FILTER($H$6:$H$2000,$H$6:$H$2000=U197))) /
  INDEX(FILTER($J$6:$J$2000,$H$6:$H$2000=U197),COUNTA(FILTER($H$6:$H$2000,$H$6:$H$2000=U197))) *
  $S197
)"),"")</f>
        <v/>
      </c>
    </row>
    <row r="198">
      <c r="C198" s="8"/>
      <c r="G198" s="8"/>
      <c r="K198" s="18"/>
      <c r="L198" s="8"/>
      <c r="M198" s="8"/>
      <c r="R198" s="8"/>
      <c r="T198" s="26" t="str">
        <f>IFERROR(__xludf.DUMMYFUNCTION("IF(
  ISBLANK(U198),
  """",
  INDEX(FILTER($K$6:$K$2000,$H$6:$H$2000=U198),COUNTA(FILTER($H$6:$H$2000,$H$6:$H$2000=U198))) /
  INDEX(FILTER($J$6:$J$2000,$H$6:$H$2000=U198),COUNTA(FILTER($H$6:$H$2000,$H$6:$H$2000=U198))) *
  $S198
)"),"")</f>
        <v/>
      </c>
    </row>
    <row r="199">
      <c r="C199" s="8"/>
      <c r="G199" s="8"/>
      <c r="K199" s="18"/>
      <c r="L199" s="8"/>
      <c r="M199" s="8"/>
      <c r="R199" s="8"/>
      <c r="T199" s="26" t="str">
        <f>IFERROR(__xludf.DUMMYFUNCTION("IF(
  ISBLANK(U199),
  """",
  INDEX(FILTER($K$6:$K$2000,$H$6:$H$2000=U199),COUNTA(FILTER($H$6:$H$2000,$H$6:$H$2000=U199))) /
  INDEX(FILTER($J$6:$J$2000,$H$6:$H$2000=U199),COUNTA(FILTER($H$6:$H$2000,$H$6:$H$2000=U199))) *
  $S199
)"),"")</f>
        <v/>
      </c>
    </row>
    <row r="200">
      <c r="C200" s="8"/>
      <c r="G200" s="8"/>
      <c r="K200" s="18"/>
      <c r="L200" s="8"/>
      <c r="M200" s="8"/>
      <c r="R200" s="8"/>
      <c r="T200" s="26" t="str">
        <f>IFERROR(__xludf.DUMMYFUNCTION("IF(
  ISBLANK(U200),
  """",
  INDEX(FILTER($K$6:$K$2000,$H$6:$H$2000=U200),COUNTA(FILTER($H$6:$H$2000,$H$6:$H$2000=U200))) /
  INDEX(FILTER($J$6:$J$2000,$H$6:$H$2000=U200),COUNTA(FILTER($H$6:$H$2000,$H$6:$H$2000=U200))) *
  $S200
)"),"")</f>
        <v/>
      </c>
    </row>
    <row r="201">
      <c r="C201" s="8"/>
      <c r="G201" s="8"/>
      <c r="K201" s="18"/>
      <c r="L201" s="8"/>
      <c r="M201" s="8"/>
      <c r="R201" s="8"/>
      <c r="T201" s="26" t="str">
        <f>IFERROR(__xludf.DUMMYFUNCTION("IF(
  ISBLANK(U201),
  """",
  INDEX(FILTER($K$6:$K$2000,$H$6:$H$2000=U201),COUNTA(FILTER($H$6:$H$2000,$H$6:$H$2000=U201))) /
  INDEX(FILTER($J$6:$J$2000,$H$6:$H$2000=U201),COUNTA(FILTER($H$6:$H$2000,$H$6:$H$2000=U201))) *
  $S201
)"),"")</f>
        <v/>
      </c>
    </row>
    <row r="202">
      <c r="C202" s="8"/>
      <c r="G202" s="8"/>
      <c r="K202" s="18"/>
      <c r="L202" s="8"/>
      <c r="M202" s="8"/>
      <c r="R202" s="8"/>
      <c r="T202" s="26" t="str">
        <f>IFERROR(__xludf.DUMMYFUNCTION("IF(
  ISBLANK(U202),
  """",
  INDEX(FILTER($K$6:$K$2000,$H$6:$H$2000=U202),COUNTA(FILTER($H$6:$H$2000,$H$6:$H$2000=U202))) /
  INDEX(FILTER($J$6:$J$2000,$H$6:$H$2000=U202),COUNTA(FILTER($H$6:$H$2000,$H$6:$H$2000=U202))) *
  $S202
)"),"")</f>
        <v/>
      </c>
    </row>
    <row r="203">
      <c r="C203" s="8"/>
      <c r="G203" s="8"/>
      <c r="K203" s="18"/>
      <c r="L203" s="8"/>
      <c r="M203" s="8"/>
      <c r="R203" s="8"/>
      <c r="T203" s="26" t="str">
        <f>IFERROR(__xludf.DUMMYFUNCTION("IF(
  ISBLANK(U203),
  """",
  INDEX(FILTER($K$6:$K$2000,$H$6:$H$2000=U203),COUNTA(FILTER($H$6:$H$2000,$H$6:$H$2000=U203))) /
  INDEX(FILTER($J$6:$J$2000,$H$6:$H$2000=U203),COUNTA(FILTER($H$6:$H$2000,$H$6:$H$2000=U203))) *
  $S203
)"),"")</f>
        <v/>
      </c>
    </row>
    <row r="204">
      <c r="C204" s="8"/>
      <c r="G204" s="8"/>
      <c r="K204" s="18"/>
      <c r="L204" s="8"/>
      <c r="M204" s="8"/>
      <c r="R204" s="8"/>
      <c r="T204" s="26" t="str">
        <f>IFERROR(__xludf.DUMMYFUNCTION("IF(
  ISBLANK(U204),
  """",
  INDEX(FILTER($K$6:$K$2000,$H$6:$H$2000=U204),COUNTA(FILTER($H$6:$H$2000,$H$6:$H$2000=U204))) /
  INDEX(FILTER($J$6:$J$2000,$H$6:$H$2000=U204),COUNTA(FILTER($H$6:$H$2000,$H$6:$H$2000=U204))) *
  $S204
)"),"")</f>
        <v/>
      </c>
    </row>
    <row r="205">
      <c r="C205" s="8"/>
      <c r="G205" s="8"/>
      <c r="K205" s="18"/>
      <c r="L205" s="8"/>
      <c r="M205" s="8"/>
      <c r="R205" s="8"/>
      <c r="T205" s="26" t="str">
        <f>IFERROR(__xludf.DUMMYFUNCTION("IF(
  ISBLANK(U205),
  """",
  INDEX(FILTER($K$6:$K$2000,$H$6:$H$2000=U205),COUNTA(FILTER($H$6:$H$2000,$H$6:$H$2000=U205))) /
  INDEX(FILTER($J$6:$J$2000,$H$6:$H$2000=U205),COUNTA(FILTER($H$6:$H$2000,$H$6:$H$2000=U205))) *
  $S205
)"),"")</f>
        <v/>
      </c>
    </row>
    <row r="206">
      <c r="C206" s="8"/>
      <c r="G206" s="8"/>
      <c r="K206" s="18"/>
      <c r="L206" s="8"/>
      <c r="M206" s="8"/>
      <c r="R206" s="8"/>
      <c r="T206" s="26" t="str">
        <f>IFERROR(__xludf.DUMMYFUNCTION("IF(
  ISBLANK(U206),
  """",
  INDEX(FILTER($K$6:$K$2000,$H$6:$H$2000=U206),COUNTA(FILTER($H$6:$H$2000,$H$6:$H$2000=U206))) /
  INDEX(FILTER($J$6:$J$2000,$H$6:$H$2000=U206),COUNTA(FILTER($H$6:$H$2000,$H$6:$H$2000=U206))) *
  $S206
)"),"")</f>
        <v/>
      </c>
    </row>
    <row r="207">
      <c r="C207" s="8"/>
      <c r="G207" s="8"/>
      <c r="K207" s="18"/>
      <c r="L207" s="8"/>
      <c r="M207" s="8"/>
      <c r="R207" s="8"/>
      <c r="T207" s="26" t="str">
        <f>IFERROR(__xludf.DUMMYFUNCTION("IF(
  ISBLANK(U207),
  """",
  INDEX(FILTER($K$6:$K$2000,$H$6:$H$2000=U207),COUNTA(FILTER($H$6:$H$2000,$H$6:$H$2000=U207))) /
  INDEX(FILTER($J$6:$J$2000,$H$6:$H$2000=U207),COUNTA(FILTER($H$6:$H$2000,$H$6:$H$2000=U207))) *
  $S207
)"),"")</f>
        <v/>
      </c>
    </row>
    <row r="208">
      <c r="C208" s="8"/>
      <c r="G208" s="8"/>
      <c r="K208" s="18"/>
      <c r="L208" s="8"/>
      <c r="M208" s="8"/>
      <c r="R208" s="8"/>
      <c r="T208" s="26" t="str">
        <f>IFERROR(__xludf.DUMMYFUNCTION("IF(
  ISBLANK(U208),
  """",
  INDEX(FILTER($K$6:$K$2000,$H$6:$H$2000=U208),COUNTA(FILTER($H$6:$H$2000,$H$6:$H$2000=U208))) /
  INDEX(FILTER($J$6:$J$2000,$H$6:$H$2000=U208),COUNTA(FILTER($H$6:$H$2000,$H$6:$H$2000=U208))) *
  $S208
)"),"")</f>
        <v/>
      </c>
    </row>
    <row r="209">
      <c r="C209" s="8"/>
      <c r="G209" s="8"/>
      <c r="K209" s="18"/>
      <c r="L209" s="8"/>
      <c r="M209" s="8"/>
      <c r="R209" s="8"/>
      <c r="T209" s="26" t="str">
        <f>IFERROR(__xludf.DUMMYFUNCTION("IF(
  ISBLANK(U209),
  """",
  INDEX(FILTER($K$6:$K$2000,$H$6:$H$2000=U209),COUNTA(FILTER($H$6:$H$2000,$H$6:$H$2000=U209))) /
  INDEX(FILTER($J$6:$J$2000,$H$6:$H$2000=U209),COUNTA(FILTER($H$6:$H$2000,$H$6:$H$2000=U209))) *
  $S209
)"),"")</f>
        <v/>
      </c>
    </row>
    <row r="210">
      <c r="C210" s="8"/>
      <c r="G210" s="8"/>
      <c r="K210" s="18"/>
      <c r="L210" s="8"/>
      <c r="M210" s="8"/>
      <c r="R210" s="8"/>
      <c r="T210" s="26" t="str">
        <f>IFERROR(__xludf.DUMMYFUNCTION("IF(
  ISBLANK(U210),
  """",
  INDEX(FILTER($K$6:$K$2000,$H$6:$H$2000=U210),COUNTA(FILTER($H$6:$H$2000,$H$6:$H$2000=U210))) /
  INDEX(FILTER($J$6:$J$2000,$H$6:$H$2000=U210),COUNTA(FILTER($H$6:$H$2000,$H$6:$H$2000=U210))) *
  $S210
)"),"")</f>
        <v/>
      </c>
    </row>
    <row r="211">
      <c r="C211" s="8"/>
      <c r="G211" s="8"/>
      <c r="K211" s="18"/>
      <c r="L211" s="8"/>
      <c r="M211" s="8"/>
      <c r="R211" s="8"/>
      <c r="T211" s="26" t="str">
        <f>IFERROR(__xludf.DUMMYFUNCTION("IF(
  ISBLANK(U211),
  """",
  INDEX(FILTER($K$6:$K$2000,$H$6:$H$2000=U211),COUNTA(FILTER($H$6:$H$2000,$H$6:$H$2000=U211))) /
  INDEX(FILTER($J$6:$J$2000,$H$6:$H$2000=U211),COUNTA(FILTER($H$6:$H$2000,$H$6:$H$2000=U211))) *
  $S211
)"),"")</f>
        <v/>
      </c>
    </row>
    <row r="212">
      <c r="C212" s="8"/>
      <c r="G212" s="8"/>
      <c r="K212" s="18"/>
      <c r="L212" s="8"/>
      <c r="M212" s="8"/>
      <c r="R212" s="8"/>
      <c r="T212" s="26" t="str">
        <f>IFERROR(__xludf.DUMMYFUNCTION("IF(
  ISBLANK(U212),
  """",
  INDEX(FILTER($K$6:$K$2000,$H$6:$H$2000=U212),COUNTA(FILTER($H$6:$H$2000,$H$6:$H$2000=U212))) /
  INDEX(FILTER($J$6:$J$2000,$H$6:$H$2000=U212),COUNTA(FILTER($H$6:$H$2000,$H$6:$H$2000=U212))) *
  $S212
)"),"")</f>
        <v/>
      </c>
    </row>
    <row r="213">
      <c r="C213" s="8"/>
      <c r="G213" s="8"/>
      <c r="K213" s="18"/>
      <c r="L213" s="8"/>
      <c r="M213" s="8"/>
      <c r="R213" s="8"/>
      <c r="T213" s="26" t="str">
        <f>IFERROR(__xludf.DUMMYFUNCTION("IF(
  ISBLANK(U213),
  """",
  INDEX(FILTER($K$6:$K$2000,$H$6:$H$2000=U213),COUNTA(FILTER($H$6:$H$2000,$H$6:$H$2000=U213))) /
  INDEX(FILTER($J$6:$J$2000,$H$6:$H$2000=U213),COUNTA(FILTER($H$6:$H$2000,$H$6:$H$2000=U213))) *
  $S213
)"),"")</f>
        <v/>
      </c>
    </row>
    <row r="214">
      <c r="C214" s="8"/>
      <c r="G214" s="8"/>
      <c r="K214" s="18"/>
      <c r="L214" s="8"/>
      <c r="M214" s="8"/>
      <c r="R214" s="8"/>
      <c r="T214" s="26" t="str">
        <f>IFERROR(__xludf.DUMMYFUNCTION("IF(
  ISBLANK(U214),
  """",
  INDEX(FILTER($K$6:$K$2000,$H$6:$H$2000=U214),COUNTA(FILTER($H$6:$H$2000,$H$6:$H$2000=U214))) /
  INDEX(FILTER($J$6:$J$2000,$H$6:$H$2000=U214),COUNTA(FILTER($H$6:$H$2000,$H$6:$H$2000=U214))) *
  $S214
)"),"")</f>
        <v/>
      </c>
    </row>
    <row r="215">
      <c r="C215" s="8"/>
      <c r="G215" s="8"/>
      <c r="K215" s="18"/>
      <c r="L215" s="8"/>
      <c r="M215" s="8"/>
      <c r="R215" s="8"/>
      <c r="T215" s="26" t="str">
        <f>IFERROR(__xludf.DUMMYFUNCTION("IF(
  ISBLANK(U215),
  """",
  INDEX(FILTER($K$6:$K$2000,$H$6:$H$2000=U215),COUNTA(FILTER($H$6:$H$2000,$H$6:$H$2000=U215))) /
  INDEX(FILTER($J$6:$J$2000,$H$6:$H$2000=U215),COUNTA(FILTER($H$6:$H$2000,$H$6:$H$2000=U215))) *
  $S215
)"),"")</f>
        <v/>
      </c>
    </row>
    <row r="216">
      <c r="C216" s="8"/>
      <c r="G216" s="8"/>
      <c r="K216" s="18"/>
      <c r="L216" s="8"/>
      <c r="M216" s="8"/>
      <c r="R216" s="8"/>
      <c r="T216" s="26" t="str">
        <f>IFERROR(__xludf.DUMMYFUNCTION("IF(
  ISBLANK(U216),
  """",
  INDEX(FILTER($K$6:$K$2000,$H$6:$H$2000=U216),COUNTA(FILTER($H$6:$H$2000,$H$6:$H$2000=U216))) /
  INDEX(FILTER($J$6:$J$2000,$H$6:$H$2000=U216),COUNTA(FILTER($H$6:$H$2000,$H$6:$H$2000=U216))) *
  $S216
)"),"")</f>
        <v/>
      </c>
    </row>
    <row r="217">
      <c r="C217" s="8"/>
      <c r="G217" s="8"/>
      <c r="K217" s="18"/>
      <c r="L217" s="8"/>
      <c r="M217" s="8"/>
      <c r="R217" s="8"/>
      <c r="T217" s="26" t="str">
        <f>IFERROR(__xludf.DUMMYFUNCTION("IF(
  ISBLANK(U217),
  """",
  INDEX(FILTER($K$6:$K$2000,$H$6:$H$2000=U217),COUNTA(FILTER($H$6:$H$2000,$H$6:$H$2000=U217))) /
  INDEX(FILTER($J$6:$J$2000,$H$6:$H$2000=U217),COUNTA(FILTER($H$6:$H$2000,$H$6:$H$2000=U217))) *
  $S217
)"),"")</f>
        <v/>
      </c>
    </row>
    <row r="218">
      <c r="C218" s="8"/>
      <c r="G218" s="8"/>
      <c r="K218" s="18"/>
      <c r="L218" s="8"/>
      <c r="M218" s="8"/>
      <c r="R218" s="8"/>
      <c r="T218" s="26" t="str">
        <f>IFERROR(__xludf.DUMMYFUNCTION("IF(
  ISBLANK(U218),
  """",
  INDEX(FILTER($K$6:$K$2000,$H$6:$H$2000=U218),COUNTA(FILTER($H$6:$H$2000,$H$6:$H$2000=U218))) /
  INDEX(FILTER($J$6:$J$2000,$H$6:$H$2000=U218),COUNTA(FILTER($H$6:$H$2000,$H$6:$H$2000=U218))) *
  $S218
)"),"")</f>
        <v/>
      </c>
    </row>
    <row r="219">
      <c r="C219" s="8"/>
      <c r="G219" s="8"/>
      <c r="K219" s="18"/>
      <c r="L219" s="8"/>
      <c r="M219" s="8"/>
      <c r="R219" s="8"/>
      <c r="T219" s="26" t="str">
        <f>IFERROR(__xludf.DUMMYFUNCTION("IF(
  ISBLANK(U219),
  """",
  INDEX(FILTER($K$6:$K$2000,$H$6:$H$2000=U219),COUNTA(FILTER($H$6:$H$2000,$H$6:$H$2000=U219))) /
  INDEX(FILTER($J$6:$J$2000,$H$6:$H$2000=U219),COUNTA(FILTER($H$6:$H$2000,$H$6:$H$2000=U219))) *
  $S219
)"),"")</f>
        <v/>
      </c>
    </row>
    <row r="220">
      <c r="C220" s="8"/>
      <c r="G220" s="8"/>
      <c r="K220" s="18"/>
      <c r="L220" s="8"/>
      <c r="M220" s="8"/>
      <c r="R220" s="8"/>
      <c r="T220" s="26" t="str">
        <f>IFERROR(__xludf.DUMMYFUNCTION("IF(
  ISBLANK(U220),
  """",
  INDEX(FILTER($K$6:$K$2000,$H$6:$H$2000=U220),COUNTA(FILTER($H$6:$H$2000,$H$6:$H$2000=U220))) /
  INDEX(FILTER($J$6:$J$2000,$H$6:$H$2000=U220),COUNTA(FILTER($H$6:$H$2000,$H$6:$H$2000=U220))) *
  $S220
)"),"")</f>
        <v/>
      </c>
    </row>
    <row r="221">
      <c r="C221" s="8"/>
      <c r="G221" s="8"/>
      <c r="K221" s="18"/>
      <c r="L221" s="8"/>
      <c r="M221" s="8"/>
      <c r="R221" s="8"/>
      <c r="T221" s="26" t="str">
        <f>IFERROR(__xludf.DUMMYFUNCTION("IF(
  ISBLANK(U221),
  """",
  INDEX(FILTER($K$6:$K$2000,$H$6:$H$2000=U221),COUNTA(FILTER($H$6:$H$2000,$H$6:$H$2000=U221))) /
  INDEX(FILTER($J$6:$J$2000,$H$6:$H$2000=U221),COUNTA(FILTER($H$6:$H$2000,$H$6:$H$2000=U221))) *
  $S221
)"),"")</f>
        <v/>
      </c>
    </row>
    <row r="222">
      <c r="C222" s="8"/>
      <c r="G222" s="8"/>
      <c r="K222" s="18"/>
      <c r="L222" s="8"/>
      <c r="M222" s="8"/>
      <c r="R222" s="8"/>
      <c r="T222" s="26" t="str">
        <f>IFERROR(__xludf.DUMMYFUNCTION("IF(
  ISBLANK(U222),
  """",
  INDEX(FILTER($K$6:$K$2000,$H$6:$H$2000=U222),COUNTA(FILTER($H$6:$H$2000,$H$6:$H$2000=U222))) /
  INDEX(FILTER($J$6:$J$2000,$H$6:$H$2000=U222),COUNTA(FILTER($H$6:$H$2000,$H$6:$H$2000=U222))) *
  $S222
)"),"")</f>
        <v/>
      </c>
    </row>
    <row r="223">
      <c r="C223" s="8"/>
      <c r="G223" s="8"/>
      <c r="K223" s="18"/>
      <c r="L223" s="8"/>
      <c r="M223" s="8"/>
      <c r="R223" s="8"/>
      <c r="T223" s="26" t="str">
        <f>IFERROR(__xludf.DUMMYFUNCTION("IF(
  ISBLANK(U223),
  """",
  INDEX(FILTER($K$6:$K$2000,$H$6:$H$2000=U223),COUNTA(FILTER($H$6:$H$2000,$H$6:$H$2000=U223))) /
  INDEX(FILTER($J$6:$J$2000,$H$6:$H$2000=U223),COUNTA(FILTER($H$6:$H$2000,$H$6:$H$2000=U223))) *
  $S223
)"),"")</f>
        <v/>
      </c>
    </row>
    <row r="224">
      <c r="C224" s="8"/>
      <c r="G224" s="8"/>
      <c r="K224" s="18"/>
      <c r="L224" s="8"/>
      <c r="M224" s="8"/>
      <c r="R224" s="8"/>
      <c r="T224" s="26" t="str">
        <f>IFERROR(__xludf.DUMMYFUNCTION("IF(
  ISBLANK(U224),
  """",
  INDEX(FILTER($K$6:$K$2000,$H$6:$H$2000=U224),COUNTA(FILTER($H$6:$H$2000,$H$6:$H$2000=U224))) /
  INDEX(FILTER($J$6:$J$2000,$H$6:$H$2000=U224),COUNTA(FILTER($H$6:$H$2000,$H$6:$H$2000=U224))) *
  $S224
)"),"")</f>
        <v/>
      </c>
    </row>
    <row r="225">
      <c r="C225" s="8"/>
      <c r="G225" s="8"/>
      <c r="K225" s="18"/>
      <c r="L225" s="8"/>
      <c r="M225" s="8"/>
      <c r="R225" s="8"/>
      <c r="T225" s="26" t="str">
        <f>IFERROR(__xludf.DUMMYFUNCTION("IF(
  ISBLANK(U225),
  """",
  INDEX(FILTER($K$6:$K$2000,$H$6:$H$2000=U225),COUNTA(FILTER($H$6:$H$2000,$H$6:$H$2000=U225))) /
  INDEX(FILTER($J$6:$J$2000,$H$6:$H$2000=U225),COUNTA(FILTER($H$6:$H$2000,$H$6:$H$2000=U225))) *
  $S225
)"),"")</f>
        <v/>
      </c>
    </row>
    <row r="226">
      <c r="C226" s="8"/>
      <c r="G226" s="8"/>
      <c r="K226" s="18"/>
      <c r="L226" s="8"/>
      <c r="M226" s="8"/>
      <c r="R226" s="8"/>
      <c r="T226" s="26" t="str">
        <f>IFERROR(__xludf.DUMMYFUNCTION("IF(
  ISBLANK(U226),
  """",
  INDEX(FILTER($K$6:$K$2000,$H$6:$H$2000=U226),COUNTA(FILTER($H$6:$H$2000,$H$6:$H$2000=U226))) /
  INDEX(FILTER($J$6:$J$2000,$H$6:$H$2000=U226),COUNTA(FILTER($H$6:$H$2000,$H$6:$H$2000=U226))) *
  $S226
)"),"")</f>
        <v/>
      </c>
    </row>
    <row r="227">
      <c r="C227" s="8"/>
      <c r="G227" s="8"/>
      <c r="K227" s="18"/>
      <c r="L227" s="8"/>
      <c r="M227" s="8"/>
      <c r="R227" s="8"/>
      <c r="T227" s="26" t="str">
        <f>IFERROR(__xludf.DUMMYFUNCTION("IF(
  ISBLANK(U227),
  """",
  INDEX(FILTER($K$6:$K$2000,$H$6:$H$2000=U227),COUNTA(FILTER($H$6:$H$2000,$H$6:$H$2000=U227))) /
  INDEX(FILTER($J$6:$J$2000,$H$6:$H$2000=U227),COUNTA(FILTER($H$6:$H$2000,$H$6:$H$2000=U227))) *
  $S227
)"),"")</f>
        <v/>
      </c>
    </row>
    <row r="228">
      <c r="C228" s="8"/>
      <c r="G228" s="8"/>
      <c r="K228" s="18"/>
      <c r="L228" s="8"/>
      <c r="M228" s="8"/>
      <c r="R228" s="8"/>
      <c r="T228" s="26" t="str">
        <f>IFERROR(__xludf.DUMMYFUNCTION("IF(
  ISBLANK(U228),
  """",
  INDEX(FILTER($K$6:$K$2000,$H$6:$H$2000=U228),COUNTA(FILTER($H$6:$H$2000,$H$6:$H$2000=U228))) /
  INDEX(FILTER($J$6:$J$2000,$H$6:$H$2000=U228),COUNTA(FILTER($H$6:$H$2000,$H$6:$H$2000=U228))) *
  $S228
)"),"")</f>
        <v/>
      </c>
    </row>
    <row r="229">
      <c r="C229" s="8"/>
      <c r="G229" s="8"/>
      <c r="K229" s="18"/>
      <c r="L229" s="8"/>
      <c r="M229" s="8"/>
      <c r="R229" s="8"/>
      <c r="T229" s="26" t="str">
        <f>IFERROR(__xludf.DUMMYFUNCTION("IF(
  ISBLANK(U229),
  """",
  INDEX(FILTER($K$6:$K$2000,$H$6:$H$2000=U229),COUNTA(FILTER($H$6:$H$2000,$H$6:$H$2000=U229))) /
  INDEX(FILTER($J$6:$J$2000,$H$6:$H$2000=U229),COUNTA(FILTER($H$6:$H$2000,$H$6:$H$2000=U229))) *
  $S229
)"),"")</f>
        <v/>
      </c>
    </row>
    <row r="230">
      <c r="C230" s="8"/>
      <c r="G230" s="8"/>
      <c r="K230" s="18"/>
      <c r="L230" s="8"/>
      <c r="M230" s="8"/>
      <c r="R230" s="8"/>
      <c r="T230" s="26" t="str">
        <f>IFERROR(__xludf.DUMMYFUNCTION("IF(
  ISBLANK(U230),
  """",
  INDEX(FILTER($K$6:$K$2000,$H$6:$H$2000=U230),COUNTA(FILTER($H$6:$H$2000,$H$6:$H$2000=U230))) /
  INDEX(FILTER($J$6:$J$2000,$H$6:$H$2000=U230),COUNTA(FILTER($H$6:$H$2000,$H$6:$H$2000=U230))) *
  $S230
)"),"")</f>
        <v/>
      </c>
    </row>
    <row r="231">
      <c r="C231" s="8"/>
      <c r="G231" s="8"/>
      <c r="K231" s="18"/>
      <c r="L231" s="8"/>
      <c r="M231" s="8"/>
      <c r="R231" s="8"/>
      <c r="T231" s="26" t="str">
        <f>IFERROR(__xludf.DUMMYFUNCTION("IF(
  ISBLANK(U231),
  """",
  INDEX(FILTER($K$6:$K$2000,$H$6:$H$2000=U231),COUNTA(FILTER($H$6:$H$2000,$H$6:$H$2000=U231))) /
  INDEX(FILTER($J$6:$J$2000,$H$6:$H$2000=U231),COUNTA(FILTER($H$6:$H$2000,$H$6:$H$2000=U231))) *
  $S231
)"),"")</f>
        <v/>
      </c>
    </row>
    <row r="232">
      <c r="C232" s="8"/>
      <c r="G232" s="8"/>
      <c r="K232" s="18"/>
      <c r="L232" s="8"/>
      <c r="M232" s="8"/>
      <c r="R232" s="8"/>
      <c r="T232" s="26" t="str">
        <f>IFERROR(__xludf.DUMMYFUNCTION("IF(
  ISBLANK(U232),
  """",
  INDEX(FILTER($K$6:$K$2000,$H$6:$H$2000=U232),COUNTA(FILTER($H$6:$H$2000,$H$6:$H$2000=U232))) /
  INDEX(FILTER($J$6:$J$2000,$H$6:$H$2000=U232),COUNTA(FILTER($H$6:$H$2000,$H$6:$H$2000=U232))) *
  $S232
)"),"")</f>
        <v/>
      </c>
    </row>
    <row r="233">
      <c r="C233" s="8"/>
      <c r="G233" s="8"/>
      <c r="K233" s="18"/>
      <c r="L233" s="8"/>
      <c r="M233" s="8"/>
      <c r="R233" s="8"/>
      <c r="T233" s="26" t="str">
        <f>IFERROR(__xludf.DUMMYFUNCTION("IF(
  ISBLANK(U233),
  """",
  INDEX(FILTER($K$6:$K$2000,$H$6:$H$2000=U233),COUNTA(FILTER($H$6:$H$2000,$H$6:$H$2000=U233))) /
  INDEX(FILTER($J$6:$J$2000,$H$6:$H$2000=U233),COUNTA(FILTER($H$6:$H$2000,$H$6:$H$2000=U233))) *
  $S233
)"),"")</f>
        <v/>
      </c>
    </row>
    <row r="234">
      <c r="C234" s="8"/>
      <c r="G234" s="8"/>
      <c r="K234" s="18"/>
      <c r="L234" s="8"/>
      <c r="M234" s="8"/>
      <c r="R234" s="8"/>
      <c r="T234" s="26" t="str">
        <f>IFERROR(__xludf.DUMMYFUNCTION("IF(
  ISBLANK(U234),
  """",
  INDEX(FILTER($K$6:$K$2000,$H$6:$H$2000=U234),COUNTA(FILTER($H$6:$H$2000,$H$6:$H$2000=U234))) /
  INDEX(FILTER($J$6:$J$2000,$H$6:$H$2000=U234),COUNTA(FILTER($H$6:$H$2000,$H$6:$H$2000=U234))) *
  $S234
)"),"")</f>
        <v/>
      </c>
    </row>
    <row r="235">
      <c r="C235" s="8"/>
      <c r="G235" s="8"/>
      <c r="K235" s="18"/>
      <c r="L235" s="8"/>
      <c r="M235" s="8"/>
      <c r="R235" s="8"/>
      <c r="T235" s="26" t="str">
        <f>IFERROR(__xludf.DUMMYFUNCTION("IF(
  ISBLANK(U235),
  """",
  INDEX(FILTER($K$6:$K$2000,$H$6:$H$2000=U235),COUNTA(FILTER($H$6:$H$2000,$H$6:$H$2000=U235))) /
  INDEX(FILTER($J$6:$J$2000,$H$6:$H$2000=U235),COUNTA(FILTER($H$6:$H$2000,$H$6:$H$2000=U235))) *
  $S235
)"),"")</f>
        <v/>
      </c>
    </row>
    <row r="236">
      <c r="C236" s="8"/>
      <c r="G236" s="8"/>
      <c r="K236" s="18"/>
      <c r="L236" s="8"/>
      <c r="M236" s="8"/>
      <c r="R236" s="8"/>
      <c r="T236" s="26" t="str">
        <f>IFERROR(__xludf.DUMMYFUNCTION("IF(
  ISBLANK(U236),
  """",
  INDEX(FILTER($K$6:$K$2000,$H$6:$H$2000=U236),COUNTA(FILTER($H$6:$H$2000,$H$6:$H$2000=U236))) /
  INDEX(FILTER($J$6:$J$2000,$H$6:$H$2000=U236),COUNTA(FILTER($H$6:$H$2000,$H$6:$H$2000=U236))) *
  $S236
)"),"")</f>
        <v/>
      </c>
    </row>
    <row r="237">
      <c r="C237" s="8"/>
      <c r="G237" s="8"/>
      <c r="K237" s="18"/>
      <c r="L237" s="8"/>
      <c r="M237" s="8"/>
      <c r="R237" s="8"/>
      <c r="T237" s="26" t="str">
        <f>IFERROR(__xludf.DUMMYFUNCTION("IF(
  ISBLANK(U237),
  """",
  INDEX(FILTER($K$6:$K$2000,$H$6:$H$2000=U237),COUNTA(FILTER($H$6:$H$2000,$H$6:$H$2000=U237))) /
  INDEX(FILTER($J$6:$J$2000,$H$6:$H$2000=U237),COUNTA(FILTER($H$6:$H$2000,$H$6:$H$2000=U237))) *
  $S237
)"),"")</f>
        <v/>
      </c>
    </row>
    <row r="238">
      <c r="C238" s="8"/>
      <c r="G238" s="8"/>
      <c r="K238" s="18"/>
      <c r="L238" s="8"/>
      <c r="M238" s="8"/>
      <c r="R238" s="8"/>
      <c r="T238" s="26" t="str">
        <f>IFERROR(__xludf.DUMMYFUNCTION("IF(
  ISBLANK(U238),
  """",
  INDEX(FILTER($K$6:$K$2000,$H$6:$H$2000=U238),COUNTA(FILTER($H$6:$H$2000,$H$6:$H$2000=U238))) /
  INDEX(FILTER($J$6:$J$2000,$H$6:$H$2000=U238),COUNTA(FILTER($H$6:$H$2000,$H$6:$H$2000=U238))) *
  $S238
)"),"")</f>
        <v/>
      </c>
    </row>
    <row r="239">
      <c r="C239" s="8"/>
      <c r="G239" s="8"/>
      <c r="K239" s="18"/>
      <c r="L239" s="8"/>
      <c r="M239" s="8"/>
      <c r="R239" s="8"/>
      <c r="T239" s="26" t="str">
        <f>IFERROR(__xludf.DUMMYFUNCTION("IF(
  ISBLANK(U239),
  """",
  INDEX(FILTER($K$6:$K$2000,$H$6:$H$2000=U239),COUNTA(FILTER($H$6:$H$2000,$H$6:$H$2000=U239))) /
  INDEX(FILTER($J$6:$J$2000,$H$6:$H$2000=U239),COUNTA(FILTER($H$6:$H$2000,$H$6:$H$2000=U239))) *
  $S239
)"),"")</f>
        <v/>
      </c>
    </row>
    <row r="240">
      <c r="C240" s="8"/>
      <c r="G240" s="8"/>
      <c r="K240" s="18"/>
      <c r="L240" s="8"/>
      <c r="M240" s="8"/>
      <c r="R240" s="8"/>
      <c r="T240" s="26" t="str">
        <f>IFERROR(__xludf.DUMMYFUNCTION("IF(
  ISBLANK(U240),
  """",
  INDEX(FILTER($K$6:$K$2000,$H$6:$H$2000=U240),COUNTA(FILTER($H$6:$H$2000,$H$6:$H$2000=U240))) /
  INDEX(FILTER($J$6:$J$2000,$H$6:$H$2000=U240),COUNTA(FILTER($H$6:$H$2000,$H$6:$H$2000=U240))) *
  $S240
)"),"")</f>
        <v/>
      </c>
    </row>
    <row r="241">
      <c r="C241" s="8"/>
      <c r="G241" s="8"/>
      <c r="K241" s="18"/>
      <c r="L241" s="8"/>
      <c r="M241" s="8"/>
      <c r="R241" s="8"/>
      <c r="T241" s="26" t="str">
        <f>IFERROR(__xludf.DUMMYFUNCTION("IF(
  ISBLANK(U241),
  """",
  INDEX(FILTER($K$6:$K$2000,$H$6:$H$2000=U241),COUNTA(FILTER($H$6:$H$2000,$H$6:$H$2000=U241))) /
  INDEX(FILTER($J$6:$J$2000,$H$6:$H$2000=U241),COUNTA(FILTER($H$6:$H$2000,$H$6:$H$2000=U241))) *
  $S241
)"),"")</f>
        <v/>
      </c>
    </row>
    <row r="242">
      <c r="C242" s="8"/>
      <c r="G242" s="8"/>
      <c r="K242" s="18"/>
      <c r="L242" s="8"/>
      <c r="M242" s="8"/>
      <c r="R242" s="8"/>
      <c r="T242" s="26" t="str">
        <f>IFERROR(__xludf.DUMMYFUNCTION("IF(
  ISBLANK(U242),
  """",
  INDEX(FILTER($K$6:$K$2000,$H$6:$H$2000=U242),COUNTA(FILTER($H$6:$H$2000,$H$6:$H$2000=U242))) /
  INDEX(FILTER($J$6:$J$2000,$H$6:$H$2000=U242),COUNTA(FILTER($H$6:$H$2000,$H$6:$H$2000=U242))) *
  $S242
)"),"")</f>
        <v/>
      </c>
    </row>
    <row r="243">
      <c r="C243" s="8"/>
      <c r="G243" s="8"/>
      <c r="K243" s="18"/>
      <c r="L243" s="8"/>
      <c r="M243" s="8"/>
      <c r="R243" s="8"/>
      <c r="T243" s="26" t="str">
        <f>IFERROR(__xludf.DUMMYFUNCTION("IF(
  ISBLANK(U243),
  """",
  INDEX(FILTER($K$6:$K$2000,$H$6:$H$2000=U243),COUNTA(FILTER($H$6:$H$2000,$H$6:$H$2000=U243))) /
  INDEX(FILTER($J$6:$J$2000,$H$6:$H$2000=U243),COUNTA(FILTER($H$6:$H$2000,$H$6:$H$2000=U243))) *
  $S243
)"),"")</f>
        <v/>
      </c>
    </row>
    <row r="244">
      <c r="C244" s="8"/>
      <c r="G244" s="8"/>
      <c r="K244" s="18"/>
      <c r="L244" s="8"/>
      <c r="M244" s="8"/>
      <c r="R244" s="8"/>
      <c r="T244" s="26" t="str">
        <f>IFERROR(__xludf.DUMMYFUNCTION("IF(
  ISBLANK(U244),
  """",
  INDEX(FILTER($K$6:$K$2000,$H$6:$H$2000=U244),COUNTA(FILTER($H$6:$H$2000,$H$6:$H$2000=U244))) /
  INDEX(FILTER($J$6:$J$2000,$H$6:$H$2000=U244),COUNTA(FILTER($H$6:$H$2000,$H$6:$H$2000=U244))) *
  $S244
)"),"")</f>
        <v/>
      </c>
    </row>
    <row r="245">
      <c r="C245" s="8"/>
      <c r="G245" s="8"/>
      <c r="K245" s="18"/>
      <c r="L245" s="8"/>
      <c r="M245" s="8"/>
      <c r="R245" s="8"/>
      <c r="T245" s="26" t="str">
        <f>IFERROR(__xludf.DUMMYFUNCTION("IF(
  ISBLANK(U245),
  """",
  INDEX(FILTER($K$6:$K$2000,$H$6:$H$2000=U245),COUNTA(FILTER($H$6:$H$2000,$H$6:$H$2000=U245))) /
  INDEX(FILTER($J$6:$J$2000,$H$6:$H$2000=U245),COUNTA(FILTER($H$6:$H$2000,$H$6:$H$2000=U245))) *
  $S245
)"),"")</f>
        <v/>
      </c>
    </row>
    <row r="246">
      <c r="C246" s="8"/>
      <c r="G246" s="8"/>
      <c r="K246" s="18"/>
      <c r="L246" s="8"/>
      <c r="M246" s="8"/>
      <c r="R246" s="8"/>
      <c r="T246" s="26" t="str">
        <f>IFERROR(__xludf.DUMMYFUNCTION("IF(
  ISBLANK(U246),
  """",
  INDEX(FILTER($K$6:$K$2000,$H$6:$H$2000=U246),COUNTA(FILTER($H$6:$H$2000,$H$6:$H$2000=U246))) /
  INDEX(FILTER($J$6:$J$2000,$H$6:$H$2000=U246),COUNTA(FILTER($H$6:$H$2000,$H$6:$H$2000=U246))) *
  $S246
)"),"")</f>
        <v/>
      </c>
    </row>
    <row r="247">
      <c r="C247" s="8"/>
      <c r="G247" s="8"/>
      <c r="K247" s="18"/>
      <c r="L247" s="8"/>
      <c r="M247" s="8"/>
      <c r="R247" s="8"/>
      <c r="T247" s="26" t="str">
        <f>IFERROR(__xludf.DUMMYFUNCTION("IF(
  ISBLANK(U247),
  """",
  INDEX(FILTER($K$6:$K$2000,$H$6:$H$2000=U247),COUNTA(FILTER($H$6:$H$2000,$H$6:$H$2000=U247))) /
  INDEX(FILTER($J$6:$J$2000,$H$6:$H$2000=U247),COUNTA(FILTER($H$6:$H$2000,$H$6:$H$2000=U247))) *
  $S247
)"),"")</f>
        <v/>
      </c>
    </row>
    <row r="248">
      <c r="C248" s="8"/>
      <c r="G248" s="8"/>
      <c r="K248" s="18"/>
      <c r="L248" s="8"/>
      <c r="M248" s="8"/>
      <c r="R248" s="8"/>
      <c r="T248" s="26" t="str">
        <f>IFERROR(__xludf.DUMMYFUNCTION("IF(
  ISBLANK(U248),
  """",
  INDEX(FILTER($K$6:$K$2000,$H$6:$H$2000=U248),COUNTA(FILTER($H$6:$H$2000,$H$6:$H$2000=U248))) /
  INDEX(FILTER($J$6:$J$2000,$H$6:$H$2000=U248),COUNTA(FILTER($H$6:$H$2000,$H$6:$H$2000=U248))) *
  $S248
)"),"")</f>
        <v/>
      </c>
    </row>
    <row r="249">
      <c r="C249" s="8"/>
      <c r="G249" s="8"/>
      <c r="K249" s="18"/>
      <c r="L249" s="8"/>
      <c r="M249" s="8"/>
      <c r="R249" s="8"/>
      <c r="T249" s="26" t="str">
        <f>IFERROR(__xludf.DUMMYFUNCTION("IF(
  ISBLANK(U249),
  """",
  INDEX(FILTER($K$6:$K$2000,$H$6:$H$2000=U249),COUNTA(FILTER($H$6:$H$2000,$H$6:$H$2000=U249))) /
  INDEX(FILTER($J$6:$J$2000,$H$6:$H$2000=U249),COUNTA(FILTER($H$6:$H$2000,$H$6:$H$2000=U249))) *
  $S249
)"),"")</f>
        <v/>
      </c>
    </row>
    <row r="250">
      <c r="C250" s="8"/>
      <c r="G250" s="8"/>
      <c r="K250" s="18"/>
      <c r="L250" s="8"/>
      <c r="M250" s="8"/>
      <c r="R250" s="8"/>
      <c r="T250" s="26" t="str">
        <f>IFERROR(__xludf.DUMMYFUNCTION("IF(
  ISBLANK(U250),
  """",
  INDEX(FILTER($K$6:$K$2000,$H$6:$H$2000=U250),COUNTA(FILTER($H$6:$H$2000,$H$6:$H$2000=U250))) /
  INDEX(FILTER($J$6:$J$2000,$H$6:$H$2000=U250),COUNTA(FILTER($H$6:$H$2000,$H$6:$H$2000=U250))) *
  $S250
)"),"")</f>
        <v/>
      </c>
    </row>
    <row r="251">
      <c r="C251" s="8"/>
      <c r="G251" s="8"/>
      <c r="K251" s="18"/>
      <c r="L251" s="8"/>
      <c r="M251" s="8"/>
      <c r="R251" s="8"/>
      <c r="T251" s="26" t="str">
        <f>IFERROR(__xludf.DUMMYFUNCTION("IF(
  ISBLANK(U251),
  """",
  INDEX(FILTER($K$6:$K$2000,$H$6:$H$2000=U251),COUNTA(FILTER($H$6:$H$2000,$H$6:$H$2000=U251))) /
  INDEX(FILTER($J$6:$J$2000,$H$6:$H$2000=U251),COUNTA(FILTER($H$6:$H$2000,$H$6:$H$2000=U251))) *
  $S251
)"),"")</f>
        <v/>
      </c>
    </row>
    <row r="252">
      <c r="C252" s="8"/>
      <c r="G252" s="8"/>
      <c r="K252" s="18"/>
      <c r="L252" s="8"/>
      <c r="M252" s="8"/>
      <c r="R252" s="8"/>
      <c r="T252" s="26" t="str">
        <f>IFERROR(__xludf.DUMMYFUNCTION("IF(
  ISBLANK(U252),
  """",
  INDEX(FILTER($K$6:$K$2000,$H$6:$H$2000=U252),COUNTA(FILTER($H$6:$H$2000,$H$6:$H$2000=U252))) /
  INDEX(FILTER($J$6:$J$2000,$H$6:$H$2000=U252),COUNTA(FILTER($H$6:$H$2000,$H$6:$H$2000=U252))) *
  $S252
)"),"")</f>
        <v/>
      </c>
    </row>
    <row r="253">
      <c r="C253" s="8"/>
      <c r="G253" s="8"/>
      <c r="K253" s="18"/>
      <c r="L253" s="8"/>
      <c r="M253" s="8"/>
      <c r="R253" s="8"/>
      <c r="T253" s="26" t="str">
        <f>IFERROR(__xludf.DUMMYFUNCTION("IF(
  ISBLANK(U253),
  """",
  INDEX(FILTER($K$6:$K$2000,$H$6:$H$2000=U253),COUNTA(FILTER($H$6:$H$2000,$H$6:$H$2000=U253))) /
  INDEX(FILTER($J$6:$J$2000,$H$6:$H$2000=U253),COUNTA(FILTER($H$6:$H$2000,$H$6:$H$2000=U253))) *
  $S253
)"),"")</f>
        <v/>
      </c>
    </row>
    <row r="254">
      <c r="C254" s="8"/>
      <c r="G254" s="8"/>
      <c r="K254" s="18"/>
      <c r="L254" s="8"/>
      <c r="M254" s="8"/>
      <c r="R254" s="8"/>
      <c r="T254" s="26" t="str">
        <f>IFERROR(__xludf.DUMMYFUNCTION("IF(
  ISBLANK(U254),
  """",
  INDEX(FILTER($K$6:$K$2000,$H$6:$H$2000=U254),COUNTA(FILTER($H$6:$H$2000,$H$6:$H$2000=U254))) /
  INDEX(FILTER($J$6:$J$2000,$H$6:$H$2000=U254),COUNTA(FILTER($H$6:$H$2000,$H$6:$H$2000=U254))) *
  $S254
)"),"")</f>
        <v/>
      </c>
    </row>
    <row r="255">
      <c r="C255" s="8"/>
      <c r="G255" s="8"/>
      <c r="K255" s="18"/>
      <c r="L255" s="8"/>
      <c r="M255" s="8"/>
      <c r="R255" s="8"/>
      <c r="T255" s="26" t="str">
        <f>IFERROR(__xludf.DUMMYFUNCTION("IF(
  ISBLANK(U255),
  """",
  INDEX(FILTER($K$6:$K$2000,$H$6:$H$2000=U255),COUNTA(FILTER($H$6:$H$2000,$H$6:$H$2000=U255))) /
  INDEX(FILTER($J$6:$J$2000,$H$6:$H$2000=U255),COUNTA(FILTER($H$6:$H$2000,$H$6:$H$2000=U255))) *
  $S255
)"),"")</f>
        <v/>
      </c>
    </row>
    <row r="256">
      <c r="C256" s="8"/>
      <c r="G256" s="8"/>
      <c r="K256" s="18"/>
      <c r="L256" s="8"/>
      <c r="M256" s="8"/>
      <c r="R256" s="8"/>
      <c r="T256" s="26" t="str">
        <f>IFERROR(__xludf.DUMMYFUNCTION("IF(
  ISBLANK(U256),
  """",
  INDEX(FILTER($K$6:$K$2000,$H$6:$H$2000=U256),COUNTA(FILTER($H$6:$H$2000,$H$6:$H$2000=U256))) /
  INDEX(FILTER($J$6:$J$2000,$H$6:$H$2000=U256),COUNTA(FILTER($H$6:$H$2000,$H$6:$H$2000=U256))) *
  $S256
)"),"")</f>
        <v/>
      </c>
    </row>
    <row r="257">
      <c r="C257" s="8"/>
      <c r="G257" s="8"/>
      <c r="K257" s="18"/>
      <c r="L257" s="8"/>
      <c r="M257" s="8"/>
      <c r="R257" s="8"/>
      <c r="T257" s="26" t="str">
        <f>IFERROR(__xludf.DUMMYFUNCTION("IF(
  ISBLANK(U257),
  """",
  INDEX(FILTER($K$6:$K$2000,$H$6:$H$2000=U257),COUNTA(FILTER($H$6:$H$2000,$H$6:$H$2000=U257))) /
  INDEX(FILTER($J$6:$J$2000,$H$6:$H$2000=U257),COUNTA(FILTER($H$6:$H$2000,$H$6:$H$2000=U257))) *
  $S257
)"),"")</f>
        <v/>
      </c>
    </row>
    <row r="258">
      <c r="C258" s="8"/>
      <c r="G258" s="8"/>
      <c r="K258" s="18"/>
      <c r="L258" s="8"/>
      <c r="M258" s="8"/>
      <c r="R258" s="8"/>
      <c r="T258" s="26" t="str">
        <f>IFERROR(__xludf.DUMMYFUNCTION("IF(
  ISBLANK(U258),
  """",
  INDEX(FILTER($K$6:$K$2000,$H$6:$H$2000=U258),COUNTA(FILTER($H$6:$H$2000,$H$6:$H$2000=U258))) /
  INDEX(FILTER($J$6:$J$2000,$H$6:$H$2000=U258),COUNTA(FILTER($H$6:$H$2000,$H$6:$H$2000=U258))) *
  $S258
)"),"")</f>
        <v/>
      </c>
    </row>
    <row r="259">
      <c r="C259" s="8"/>
      <c r="G259" s="8"/>
      <c r="K259" s="18"/>
      <c r="L259" s="8"/>
      <c r="M259" s="8"/>
      <c r="R259" s="8"/>
      <c r="T259" s="26" t="str">
        <f>IFERROR(__xludf.DUMMYFUNCTION("IF(
  ISBLANK(U259),
  """",
  INDEX(FILTER($K$6:$K$2000,$H$6:$H$2000=U259),COUNTA(FILTER($H$6:$H$2000,$H$6:$H$2000=U259))) /
  INDEX(FILTER($J$6:$J$2000,$H$6:$H$2000=U259),COUNTA(FILTER($H$6:$H$2000,$H$6:$H$2000=U259))) *
  $S259
)"),"")</f>
        <v/>
      </c>
    </row>
    <row r="260">
      <c r="C260" s="8"/>
      <c r="G260" s="8"/>
      <c r="K260" s="18"/>
      <c r="L260" s="8"/>
      <c r="M260" s="8"/>
      <c r="R260" s="8"/>
      <c r="T260" s="26" t="str">
        <f>IFERROR(__xludf.DUMMYFUNCTION("IF(
  ISBLANK(U260),
  """",
  INDEX(FILTER($K$6:$K$2000,$H$6:$H$2000=U260),COUNTA(FILTER($H$6:$H$2000,$H$6:$H$2000=U260))) /
  INDEX(FILTER($J$6:$J$2000,$H$6:$H$2000=U260),COUNTA(FILTER($H$6:$H$2000,$H$6:$H$2000=U260))) *
  $S260
)"),"")</f>
        <v/>
      </c>
    </row>
    <row r="261">
      <c r="C261" s="8"/>
      <c r="G261" s="8"/>
      <c r="K261" s="18"/>
      <c r="L261" s="8"/>
      <c r="M261" s="8"/>
      <c r="R261" s="8"/>
      <c r="T261" s="26" t="str">
        <f>IFERROR(__xludf.DUMMYFUNCTION("IF(
  ISBLANK(U261),
  """",
  INDEX(FILTER($K$6:$K$2000,$H$6:$H$2000=U261),COUNTA(FILTER($H$6:$H$2000,$H$6:$H$2000=U261))) /
  INDEX(FILTER($J$6:$J$2000,$H$6:$H$2000=U261),COUNTA(FILTER($H$6:$H$2000,$H$6:$H$2000=U261))) *
  $S261
)"),"")</f>
        <v/>
      </c>
    </row>
    <row r="262">
      <c r="C262" s="8"/>
      <c r="G262" s="8"/>
      <c r="K262" s="18"/>
      <c r="L262" s="8"/>
      <c r="M262" s="8"/>
      <c r="R262" s="8"/>
      <c r="T262" s="26" t="str">
        <f>IFERROR(__xludf.DUMMYFUNCTION("IF(
  ISBLANK(U262),
  """",
  INDEX(FILTER($K$6:$K$2000,$H$6:$H$2000=U262),COUNTA(FILTER($H$6:$H$2000,$H$6:$H$2000=U262))) /
  INDEX(FILTER($J$6:$J$2000,$H$6:$H$2000=U262),COUNTA(FILTER($H$6:$H$2000,$H$6:$H$2000=U262))) *
  $S262
)"),"")</f>
        <v/>
      </c>
    </row>
    <row r="263">
      <c r="C263" s="8"/>
      <c r="G263" s="8"/>
      <c r="K263" s="18"/>
      <c r="L263" s="8"/>
      <c r="M263" s="8"/>
      <c r="R263" s="8"/>
      <c r="T263" s="26" t="str">
        <f>IFERROR(__xludf.DUMMYFUNCTION("IF(
  ISBLANK(U263),
  """",
  INDEX(FILTER($K$6:$K$2000,$H$6:$H$2000=U263),COUNTA(FILTER($H$6:$H$2000,$H$6:$H$2000=U263))) /
  INDEX(FILTER($J$6:$J$2000,$H$6:$H$2000=U263),COUNTA(FILTER($H$6:$H$2000,$H$6:$H$2000=U263))) *
  $S263
)"),"")</f>
        <v/>
      </c>
    </row>
    <row r="264">
      <c r="C264" s="8"/>
      <c r="G264" s="8"/>
      <c r="K264" s="18"/>
      <c r="L264" s="8"/>
      <c r="M264" s="8"/>
      <c r="R264" s="8"/>
      <c r="T264" s="26" t="str">
        <f>IFERROR(__xludf.DUMMYFUNCTION("IF(
  ISBLANK(U264),
  """",
  INDEX(FILTER($K$6:$K$2000,$H$6:$H$2000=U264),COUNTA(FILTER($H$6:$H$2000,$H$6:$H$2000=U264))) /
  INDEX(FILTER($J$6:$J$2000,$H$6:$H$2000=U264),COUNTA(FILTER($H$6:$H$2000,$H$6:$H$2000=U264))) *
  $S264
)"),"")</f>
        <v/>
      </c>
    </row>
    <row r="265">
      <c r="C265" s="8"/>
      <c r="G265" s="8"/>
      <c r="K265" s="18"/>
      <c r="L265" s="8"/>
      <c r="M265" s="8"/>
      <c r="R265" s="8"/>
      <c r="T265" s="26" t="str">
        <f>IFERROR(__xludf.DUMMYFUNCTION("IF(
  ISBLANK(U265),
  """",
  INDEX(FILTER($K$6:$K$2000,$H$6:$H$2000=U265),COUNTA(FILTER($H$6:$H$2000,$H$6:$H$2000=U265))) /
  INDEX(FILTER($J$6:$J$2000,$H$6:$H$2000=U265),COUNTA(FILTER($H$6:$H$2000,$H$6:$H$2000=U265))) *
  $S265
)"),"")</f>
        <v/>
      </c>
    </row>
    <row r="266">
      <c r="C266" s="8"/>
      <c r="G266" s="8"/>
      <c r="K266" s="18"/>
      <c r="L266" s="8"/>
      <c r="M266" s="8"/>
      <c r="R266" s="8"/>
      <c r="T266" s="26" t="str">
        <f>IFERROR(__xludf.DUMMYFUNCTION("IF(
  ISBLANK(U266),
  """",
  INDEX(FILTER($K$6:$K$2000,$H$6:$H$2000=U266),COUNTA(FILTER($H$6:$H$2000,$H$6:$H$2000=U266))) /
  INDEX(FILTER($J$6:$J$2000,$H$6:$H$2000=U266),COUNTA(FILTER($H$6:$H$2000,$H$6:$H$2000=U266))) *
  $S266
)"),"")</f>
        <v/>
      </c>
    </row>
    <row r="267">
      <c r="C267" s="8"/>
      <c r="G267" s="8"/>
      <c r="K267" s="18"/>
      <c r="L267" s="8"/>
      <c r="M267" s="8"/>
      <c r="R267" s="8"/>
      <c r="T267" s="26" t="str">
        <f>IFERROR(__xludf.DUMMYFUNCTION("IF(
  ISBLANK(U267),
  """",
  INDEX(FILTER($K$6:$K$2000,$H$6:$H$2000=U267),COUNTA(FILTER($H$6:$H$2000,$H$6:$H$2000=U267))) /
  INDEX(FILTER($J$6:$J$2000,$H$6:$H$2000=U267),COUNTA(FILTER($H$6:$H$2000,$H$6:$H$2000=U267))) *
  $S267
)"),"")</f>
        <v/>
      </c>
    </row>
    <row r="268">
      <c r="C268" s="8"/>
      <c r="G268" s="8"/>
      <c r="K268" s="18"/>
      <c r="L268" s="8"/>
      <c r="M268" s="8"/>
      <c r="R268" s="8"/>
      <c r="T268" s="26" t="str">
        <f>IFERROR(__xludf.DUMMYFUNCTION("IF(
  ISBLANK(U268),
  """",
  INDEX(FILTER($K$6:$K$2000,$H$6:$H$2000=U268),COUNTA(FILTER($H$6:$H$2000,$H$6:$H$2000=U268))) /
  INDEX(FILTER($J$6:$J$2000,$H$6:$H$2000=U268),COUNTA(FILTER($H$6:$H$2000,$H$6:$H$2000=U268))) *
  $S268
)"),"")</f>
        <v/>
      </c>
    </row>
    <row r="269">
      <c r="C269" s="8"/>
      <c r="G269" s="8"/>
      <c r="K269" s="18"/>
      <c r="L269" s="8"/>
      <c r="M269" s="8"/>
      <c r="R269" s="8"/>
      <c r="T269" s="26" t="str">
        <f>IFERROR(__xludf.DUMMYFUNCTION("IF(
  ISBLANK(U269),
  """",
  INDEX(FILTER($K$6:$K$2000,$H$6:$H$2000=U269),COUNTA(FILTER($H$6:$H$2000,$H$6:$H$2000=U269))) /
  INDEX(FILTER($J$6:$J$2000,$H$6:$H$2000=U269),COUNTA(FILTER($H$6:$H$2000,$H$6:$H$2000=U269))) *
  $S269
)"),"")</f>
        <v/>
      </c>
    </row>
    <row r="270">
      <c r="C270" s="8"/>
      <c r="G270" s="8"/>
      <c r="K270" s="18"/>
      <c r="L270" s="8"/>
      <c r="M270" s="8"/>
      <c r="R270" s="8"/>
      <c r="T270" s="26" t="str">
        <f>IFERROR(__xludf.DUMMYFUNCTION("IF(
  ISBLANK(U270),
  """",
  INDEX(FILTER($K$6:$K$2000,$H$6:$H$2000=U270),COUNTA(FILTER($H$6:$H$2000,$H$6:$H$2000=U270))) /
  INDEX(FILTER($J$6:$J$2000,$H$6:$H$2000=U270),COUNTA(FILTER($H$6:$H$2000,$H$6:$H$2000=U270))) *
  $S270
)"),"")</f>
        <v/>
      </c>
    </row>
    <row r="271">
      <c r="C271" s="8"/>
      <c r="G271" s="8"/>
      <c r="K271" s="18"/>
      <c r="L271" s="8"/>
      <c r="M271" s="8"/>
      <c r="R271" s="8"/>
      <c r="T271" s="26" t="str">
        <f>IFERROR(__xludf.DUMMYFUNCTION("IF(
  ISBLANK(U271),
  """",
  INDEX(FILTER($K$6:$K$2000,$H$6:$H$2000=U271),COUNTA(FILTER($H$6:$H$2000,$H$6:$H$2000=U271))) /
  INDEX(FILTER($J$6:$J$2000,$H$6:$H$2000=U271),COUNTA(FILTER($H$6:$H$2000,$H$6:$H$2000=U271))) *
  $S271
)"),"")</f>
        <v/>
      </c>
    </row>
    <row r="272">
      <c r="C272" s="8"/>
      <c r="G272" s="8"/>
      <c r="K272" s="18"/>
      <c r="L272" s="8"/>
      <c r="M272" s="8"/>
      <c r="R272" s="8"/>
      <c r="T272" s="33"/>
    </row>
    <row r="273">
      <c r="C273" s="8"/>
      <c r="G273" s="8"/>
      <c r="K273" s="18"/>
      <c r="L273" s="8"/>
      <c r="M273" s="8"/>
      <c r="R273" s="8"/>
      <c r="T273" s="33"/>
    </row>
    <row r="274">
      <c r="C274" s="8"/>
      <c r="G274" s="8"/>
      <c r="K274" s="18"/>
      <c r="L274" s="8"/>
      <c r="M274" s="8"/>
      <c r="R274" s="8"/>
      <c r="T274" s="33"/>
    </row>
    <row r="275">
      <c r="C275" s="8"/>
      <c r="G275" s="8"/>
      <c r="K275" s="18"/>
      <c r="L275" s="8"/>
      <c r="M275" s="8"/>
      <c r="R275" s="8"/>
      <c r="T275" s="33"/>
    </row>
    <row r="276">
      <c r="C276" s="8"/>
      <c r="G276" s="8"/>
      <c r="K276" s="18"/>
      <c r="L276" s="8"/>
      <c r="M276" s="8"/>
      <c r="R276" s="8"/>
      <c r="T276" s="33"/>
    </row>
    <row r="277">
      <c r="C277" s="8"/>
      <c r="G277" s="8"/>
      <c r="K277" s="18"/>
      <c r="L277" s="8"/>
      <c r="M277" s="8"/>
      <c r="R277" s="8"/>
      <c r="T277" s="33"/>
    </row>
    <row r="278">
      <c r="C278" s="8"/>
      <c r="G278" s="8"/>
      <c r="K278" s="18"/>
      <c r="L278" s="8"/>
      <c r="M278" s="8"/>
      <c r="R278" s="8"/>
      <c r="T278" s="33"/>
    </row>
    <row r="279">
      <c r="C279" s="8"/>
      <c r="G279" s="8"/>
      <c r="K279" s="18"/>
      <c r="L279" s="8"/>
      <c r="M279" s="8"/>
      <c r="R279" s="8"/>
      <c r="T279" s="33"/>
    </row>
    <row r="280">
      <c r="C280" s="8"/>
      <c r="G280" s="8"/>
      <c r="K280" s="18"/>
      <c r="L280" s="8"/>
      <c r="M280" s="8"/>
      <c r="R280" s="8"/>
      <c r="T280" s="33"/>
    </row>
    <row r="281">
      <c r="C281" s="8"/>
      <c r="G281" s="8"/>
      <c r="K281" s="18"/>
      <c r="L281" s="8"/>
      <c r="M281" s="8"/>
      <c r="R281" s="8"/>
      <c r="T281" s="33"/>
    </row>
    <row r="282">
      <c r="C282" s="8"/>
      <c r="G282" s="8"/>
      <c r="K282" s="18"/>
      <c r="L282" s="8"/>
      <c r="M282" s="8"/>
      <c r="R282" s="8"/>
      <c r="T282" s="33"/>
    </row>
    <row r="283">
      <c r="C283" s="8"/>
      <c r="G283" s="8"/>
      <c r="K283" s="18"/>
      <c r="L283" s="8"/>
      <c r="M283" s="8"/>
      <c r="R283" s="8"/>
      <c r="T283" s="33"/>
    </row>
    <row r="284">
      <c r="G284" s="8"/>
      <c r="R284" s="8"/>
      <c r="T284" s="34" t="str">
        <f t="shared" ref="T284:T332" si="2">IF(ISBLANK(U284),"",VLOOKUP($U284,$H$6:$K$2000,4,FALSE)/VLOOKUP(U284,$H$6:$K$2000,3,FALSE)*$S284)</f>
        <v/>
      </c>
    </row>
    <row r="285">
      <c r="G285" s="8"/>
      <c r="R285" s="8"/>
      <c r="T285" s="34" t="str">
        <f t="shared" si="2"/>
        <v/>
      </c>
    </row>
    <row r="286">
      <c r="G286" s="8"/>
      <c r="R286" s="8"/>
      <c r="T286" s="34" t="str">
        <f t="shared" si="2"/>
        <v/>
      </c>
    </row>
    <row r="287">
      <c r="G287" s="8"/>
      <c r="R287" s="8"/>
      <c r="T287" s="34" t="str">
        <f t="shared" si="2"/>
        <v/>
      </c>
    </row>
    <row r="288">
      <c r="G288" s="8"/>
      <c r="R288" s="8"/>
      <c r="T288" s="34" t="str">
        <f t="shared" si="2"/>
        <v/>
      </c>
    </row>
    <row r="289">
      <c r="G289" s="8"/>
      <c r="R289" s="8"/>
      <c r="T289" s="34" t="str">
        <f t="shared" si="2"/>
        <v/>
      </c>
    </row>
    <row r="290">
      <c r="G290" s="8"/>
      <c r="R290" s="8"/>
      <c r="T290" s="34" t="str">
        <f t="shared" si="2"/>
        <v/>
      </c>
    </row>
    <row r="291">
      <c r="G291" s="8"/>
      <c r="R291" s="8"/>
      <c r="T291" s="34" t="str">
        <f t="shared" si="2"/>
        <v/>
      </c>
    </row>
    <row r="292">
      <c r="G292" s="8"/>
      <c r="R292" s="8"/>
      <c r="T292" s="34" t="str">
        <f t="shared" si="2"/>
        <v/>
      </c>
    </row>
    <row r="293">
      <c r="G293" s="8"/>
      <c r="R293" s="8"/>
      <c r="T293" s="34" t="str">
        <f t="shared" si="2"/>
        <v/>
      </c>
    </row>
    <row r="294">
      <c r="G294" s="8"/>
      <c r="R294" s="8"/>
      <c r="T294" s="34" t="str">
        <f t="shared" si="2"/>
        <v/>
      </c>
    </row>
    <row r="295">
      <c r="G295" s="8"/>
      <c r="R295" s="8"/>
      <c r="T295" s="34" t="str">
        <f t="shared" si="2"/>
        <v/>
      </c>
    </row>
    <row r="296">
      <c r="G296" s="8"/>
      <c r="R296" s="8"/>
      <c r="T296" s="34" t="str">
        <f t="shared" si="2"/>
        <v/>
      </c>
    </row>
    <row r="297">
      <c r="G297" s="8"/>
      <c r="R297" s="8"/>
      <c r="T297" s="34" t="str">
        <f t="shared" si="2"/>
        <v/>
      </c>
    </row>
    <row r="298">
      <c r="G298" s="8"/>
      <c r="R298" s="8"/>
      <c r="T298" s="34" t="str">
        <f t="shared" si="2"/>
        <v/>
      </c>
    </row>
    <row r="299">
      <c r="G299" s="8"/>
      <c r="R299" s="8"/>
      <c r="T299" s="34" t="str">
        <f t="shared" si="2"/>
        <v/>
      </c>
    </row>
    <row r="300">
      <c r="G300" s="8"/>
      <c r="R300" s="8"/>
      <c r="T300" s="34" t="str">
        <f t="shared" si="2"/>
        <v/>
      </c>
    </row>
    <row r="301">
      <c r="G301" s="8"/>
      <c r="R301" s="8"/>
      <c r="T301" s="34" t="str">
        <f t="shared" si="2"/>
        <v/>
      </c>
    </row>
    <row r="302">
      <c r="G302" s="8"/>
      <c r="R302" s="8"/>
      <c r="T302" s="34" t="str">
        <f t="shared" si="2"/>
        <v/>
      </c>
    </row>
    <row r="303">
      <c r="G303" s="8"/>
      <c r="R303" s="8"/>
      <c r="T303" s="34" t="str">
        <f t="shared" si="2"/>
        <v/>
      </c>
    </row>
    <row r="304">
      <c r="G304" s="8"/>
      <c r="R304" s="8"/>
      <c r="T304" s="34" t="str">
        <f t="shared" si="2"/>
        <v/>
      </c>
    </row>
    <row r="305">
      <c r="G305" s="8"/>
      <c r="R305" s="8"/>
      <c r="T305" s="34" t="str">
        <f t="shared" si="2"/>
        <v/>
      </c>
    </row>
    <row r="306">
      <c r="G306" s="8"/>
      <c r="R306" s="8"/>
      <c r="T306" s="34" t="str">
        <f t="shared" si="2"/>
        <v/>
      </c>
    </row>
    <row r="307">
      <c r="G307" s="8"/>
      <c r="R307" s="8"/>
      <c r="T307" s="34" t="str">
        <f t="shared" si="2"/>
        <v/>
      </c>
    </row>
    <row r="308">
      <c r="G308" s="8"/>
      <c r="R308" s="8"/>
      <c r="T308" s="34" t="str">
        <f t="shared" si="2"/>
        <v/>
      </c>
    </row>
    <row r="309">
      <c r="G309" s="8"/>
      <c r="R309" s="8"/>
      <c r="T309" s="34" t="str">
        <f t="shared" si="2"/>
        <v/>
      </c>
    </row>
    <row r="310">
      <c r="G310" s="8"/>
      <c r="R310" s="8"/>
      <c r="T310" s="34" t="str">
        <f t="shared" si="2"/>
        <v/>
      </c>
    </row>
    <row r="311">
      <c r="G311" s="8"/>
      <c r="R311" s="8"/>
      <c r="T311" s="34" t="str">
        <f t="shared" si="2"/>
        <v/>
      </c>
    </row>
    <row r="312">
      <c r="G312" s="8"/>
      <c r="R312" s="8"/>
      <c r="T312" s="34" t="str">
        <f t="shared" si="2"/>
        <v/>
      </c>
    </row>
    <row r="313">
      <c r="G313" s="8"/>
      <c r="R313" s="8"/>
      <c r="T313" s="34" t="str">
        <f t="shared" si="2"/>
        <v/>
      </c>
    </row>
    <row r="314">
      <c r="G314" s="8"/>
      <c r="R314" s="8"/>
      <c r="T314" s="34" t="str">
        <f t="shared" si="2"/>
        <v/>
      </c>
    </row>
    <row r="315">
      <c r="G315" s="8"/>
      <c r="R315" s="8"/>
      <c r="T315" s="34" t="str">
        <f t="shared" si="2"/>
        <v/>
      </c>
    </row>
    <row r="316">
      <c r="G316" s="8"/>
      <c r="R316" s="8"/>
      <c r="T316" s="34" t="str">
        <f t="shared" si="2"/>
        <v/>
      </c>
    </row>
    <row r="317">
      <c r="G317" s="8"/>
      <c r="R317" s="8"/>
      <c r="T317" s="34" t="str">
        <f t="shared" si="2"/>
        <v/>
      </c>
    </row>
    <row r="318">
      <c r="G318" s="8"/>
      <c r="R318" s="8"/>
      <c r="T318" s="34" t="str">
        <f t="shared" si="2"/>
        <v/>
      </c>
    </row>
    <row r="319">
      <c r="G319" s="8"/>
      <c r="R319" s="8"/>
      <c r="T319" s="34" t="str">
        <f t="shared" si="2"/>
        <v/>
      </c>
    </row>
    <row r="320">
      <c r="G320" s="8"/>
      <c r="R320" s="8"/>
      <c r="T320" s="34" t="str">
        <f t="shared" si="2"/>
        <v/>
      </c>
    </row>
    <row r="321">
      <c r="G321" s="8"/>
      <c r="R321" s="8"/>
      <c r="T321" s="34" t="str">
        <f t="shared" si="2"/>
        <v/>
      </c>
    </row>
    <row r="322">
      <c r="G322" s="8"/>
      <c r="R322" s="8"/>
      <c r="T322" s="34" t="str">
        <f t="shared" si="2"/>
        <v/>
      </c>
    </row>
    <row r="323">
      <c r="G323" s="8"/>
      <c r="R323" s="8"/>
      <c r="T323" s="34" t="str">
        <f t="shared" si="2"/>
        <v/>
      </c>
    </row>
    <row r="324">
      <c r="G324" s="8"/>
      <c r="R324" s="8"/>
      <c r="T324" s="34" t="str">
        <f t="shared" si="2"/>
        <v/>
      </c>
    </row>
    <row r="325">
      <c r="G325" s="8"/>
      <c r="R325" s="8"/>
      <c r="T325" s="34" t="str">
        <f t="shared" si="2"/>
        <v/>
      </c>
    </row>
    <row r="326">
      <c r="G326" s="8"/>
      <c r="R326" s="8"/>
      <c r="T326" s="34" t="str">
        <f t="shared" si="2"/>
        <v/>
      </c>
    </row>
    <row r="327">
      <c r="G327" s="8"/>
      <c r="R327" s="8"/>
      <c r="T327" s="34" t="str">
        <f t="shared" si="2"/>
        <v/>
      </c>
    </row>
    <row r="328">
      <c r="G328" s="8"/>
      <c r="R328" s="8"/>
      <c r="T328" s="34" t="str">
        <f t="shared" si="2"/>
        <v/>
      </c>
    </row>
    <row r="329">
      <c r="G329" s="8"/>
      <c r="R329" s="8"/>
      <c r="T329" s="34" t="str">
        <f t="shared" si="2"/>
        <v/>
      </c>
    </row>
    <row r="330">
      <c r="G330" s="8"/>
      <c r="R330" s="8"/>
      <c r="T330" s="34" t="str">
        <f t="shared" si="2"/>
        <v/>
      </c>
    </row>
    <row r="331">
      <c r="G331" s="8"/>
      <c r="R331" s="8"/>
      <c r="T331" s="34" t="str">
        <f t="shared" si="2"/>
        <v/>
      </c>
    </row>
    <row r="332">
      <c r="G332" s="8"/>
      <c r="R332" s="8"/>
      <c r="T332" s="34" t="str">
        <f t="shared" si="2"/>
        <v/>
      </c>
    </row>
    <row r="333">
      <c r="G333" s="8"/>
      <c r="R333" s="8"/>
      <c r="T333" s="33"/>
    </row>
    <row r="334">
      <c r="G334" s="8"/>
      <c r="R334" s="8"/>
      <c r="T334" s="33"/>
    </row>
    <row r="335">
      <c r="G335" s="8"/>
      <c r="R335" s="8"/>
      <c r="T335" s="33"/>
    </row>
    <row r="336">
      <c r="G336" s="8"/>
      <c r="R336" s="8"/>
      <c r="T336" s="33"/>
    </row>
    <row r="337">
      <c r="G337" s="8"/>
      <c r="R337" s="8"/>
      <c r="T337" s="34" t="str">
        <f t="shared" ref="T337:T385" si="3">IF(ISBLANK(U337),"",VLOOKUP($U337,$H$6:$K$2000,4,FALSE)/VLOOKUP(U337,$H$6:$K$2000,3,FALSE)*$S337)</f>
        <v/>
      </c>
    </row>
    <row r="338">
      <c r="G338" s="8"/>
      <c r="R338" s="8"/>
      <c r="T338" s="34" t="str">
        <f t="shared" si="3"/>
        <v/>
      </c>
    </row>
    <row r="339">
      <c r="G339" s="8"/>
      <c r="R339" s="8"/>
      <c r="T339" s="34" t="str">
        <f t="shared" si="3"/>
        <v/>
      </c>
    </row>
    <row r="340">
      <c r="G340" s="8"/>
      <c r="R340" s="8"/>
      <c r="T340" s="34" t="str">
        <f t="shared" si="3"/>
        <v/>
      </c>
    </row>
    <row r="341">
      <c r="G341" s="8"/>
      <c r="R341" s="8"/>
      <c r="T341" s="34" t="str">
        <f t="shared" si="3"/>
        <v/>
      </c>
    </row>
    <row r="342">
      <c r="G342" s="8"/>
      <c r="R342" s="8"/>
      <c r="T342" s="34" t="str">
        <f t="shared" si="3"/>
        <v/>
      </c>
    </row>
    <row r="343">
      <c r="G343" s="8"/>
      <c r="R343" s="8"/>
      <c r="T343" s="34" t="str">
        <f t="shared" si="3"/>
        <v/>
      </c>
    </row>
    <row r="344">
      <c r="G344" s="8"/>
      <c r="R344" s="8"/>
      <c r="T344" s="34" t="str">
        <f t="shared" si="3"/>
        <v/>
      </c>
    </row>
    <row r="345">
      <c r="G345" s="8"/>
      <c r="R345" s="8"/>
      <c r="T345" s="34" t="str">
        <f t="shared" si="3"/>
        <v/>
      </c>
    </row>
    <row r="346">
      <c r="G346" s="8"/>
      <c r="R346" s="8"/>
      <c r="T346" s="34" t="str">
        <f t="shared" si="3"/>
        <v/>
      </c>
    </row>
    <row r="347">
      <c r="G347" s="8"/>
      <c r="R347" s="8"/>
      <c r="T347" s="34" t="str">
        <f t="shared" si="3"/>
        <v/>
      </c>
    </row>
    <row r="348">
      <c r="G348" s="8"/>
      <c r="R348" s="8"/>
      <c r="T348" s="34" t="str">
        <f t="shared" si="3"/>
        <v/>
      </c>
    </row>
    <row r="349">
      <c r="G349" s="8"/>
      <c r="R349" s="8"/>
      <c r="T349" s="34" t="str">
        <f t="shared" si="3"/>
        <v/>
      </c>
    </row>
    <row r="350">
      <c r="G350" s="8"/>
      <c r="R350" s="8"/>
      <c r="T350" s="34" t="str">
        <f t="shared" si="3"/>
        <v/>
      </c>
    </row>
    <row r="351">
      <c r="G351" s="8"/>
      <c r="R351" s="8"/>
      <c r="T351" s="34" t="str">
        <f t="shared" si="3"/>
        <v/>
      </c>
    </row>
    <row r="352">
      <c r="G352" s="8"/>
      <c r="R352" s="8"/>
      <c r="T352" s="34" t="str">
        <f t="shared" si="3"/>
        <v/>
      </c>
    </row>
    <row r="353">
      <c r="G353" s="8"/>
      <c r="R353" s="8"/>
      <c r="T353" s="34" t="str">
        <f t="shared" si="3"/>
        <v/>
      </c>
    </row>
    <row r="354">
      <c r="G354" s="8"/>
      <c r="R354" s="8"/>
      <c r="T354" s="34" t="str">
        <f t="shared" si="3"/>
        <v/>
      </c>
    </row>
    <row r="355">
      <c r="G355" s="8"/>
      <c r="R355" s="8"/>
      <c r="T355" s="34" t="str">
        <f t="shared" si="3"/>
        <v/>
      </c>
    </row>
    <row r="356">
      <c r="G356" s="8"/>
      <c r="R356" s="8"/>
      <c r="T356" s="34" t="str">
        <f t="shared" si="3"/>
        <v/>
      </c>
    </row>
    <row r="357">
      <c r="G357" s="8"/>
      <c r="R357" s="8"/>
      <c r="T357" s="34" t="str">
        <f t="shared" si="3"/>
        <v/>
      </c>
    </row>
    <row r="358">
      <c r="G358" s="8"/>
      <c r="R358" s="8"/>
      <c r="T358" s="34" t="str">
        <f t="shared" si="3"/>
        <v/>
      </c>
    </row>
    <row r="359">
      <c r="G359" s="8"/>
      <c r="R359" s="8"/>
      <c r="T359" s="34" t="str">
        <f t="shared" si="3"/>
        <v/>
      </c>
    </row>
    <row r="360">
      <c r="G360" s="8"/>
      <c r="R360" s="8"/>
      <c r="T360" s="34" t="str">
        <f t="shared" si="3"/>
        <v/>
      </c>
    </row>
    <row r="361">
      <c r="G361" s="8"/>
      <c r="R361" s="8"/>
      <c r="T361" s="34" t="str">
        <f t="shared" si="3"/>
        <v/>
      </c>
    </row>
    <row r="362">
      <c r="G362" s="8"/>
      <c r="R362" s="8"/>
      <c r="T362" s="34" t="str">
        <f t="shared" si="3"/>
        <v/>
      </c>
    </row>
    <row r="363">
      <c r="G363" s="8"/>
      <c r="R363" s="8"/>
      <c r="T363" s="34" t="str">
        <f t="shared" si="3"/>
        <v/>
      </c>
    </row>
    <row r="364">
      <c r="G364" s="8"/>
      <c r="R364" s="8"/>
      <c r="T364" s="34" t="str">
        <f t="shared" si="3"/>
        <v/>
      </c>
    </row>
    <row r="365">
      <c r="G365" s="8"/>
      <c r="R365" s="8"/>
      <c r="T365" s="34" t="str">
        <f t="shared" si="3"/>
        <v/>
      </c>
    </row>
    <row r="366">
      <c r="G366" s="8"/>
      <c r="R366" s="8"/>
      <c r="T366" s="34" t="str">
        <f t="shared" si="3"/>
        <v/>
      </c>
    </row>
    <row r="367">
      <c r="G367" s="8"/>
      <c r="R367" s="8"/>
      <c r="T367" s="34" t="str">
        <f t="shared" si="3"/>
        <v/>
      </c>
    </row>
    <row r="368">
      <c r="G368" s="8"/>
      <c r="R368" s="8"/>
      <c r="T368" s="34" t="str">
        <f t="shared" si="3"/>
        <v/>
      </c>
    </row>
    <row r="369">
      <c r="G369" s="8"/>
      <c r="R369" s="8"/>
      <c r="T369" s="34" t="str">
        <f t="shared" si="3"/>
        <v/>
      </c>
    </row>
    <row r="370">
      <c r="G370" s="8"/>
      <c r="R370" s="8"/>
      <c r="T370" s="34" t="str">
        <f t="shared" si="3"/>
        <v/>
      </c>
    </row>
    <row r="371">
      <c r="G371" s="8"/>
      <c r="R371" s="8"/>
      <c r="T371" s="34" t="str">
        <f t="shared" si="3"/>
        <v/>
      </c>
    </row>
    <row r="372">
      <c r="G372" s="8"/>
      <c r="R372" s="8"/>
      <c r="T372" s="34" t="str">
        <f t="shared" si="3"/>
        <v/>
      </c>
    </row>
    <row r="373">
      <c r="G373" s="8"/>
      <c r="R373" s="8"/>
      <c r="T373" s="34" t="str">
        <f t="shared" si="3"/>
        <v/>
      </c>
    </row>
    <row r="374">
      <c r="G374" s="8"/>
      <c r="R374" s="8"/>
      <c r="T374" s="34" t="str">
        <f t="shared" si="3"/>
        <v/>
      </c>
    </row>
    <row r="375">
      <c r="G375" s="8"/>
      <c r="R375" s="8"/>
      <c r="T375" s="34" t="str">
        <f t="shared" si="3"/>
        <v/>
      </c>
    </row>
    <row r="376">
      <c r="G376" s="8"/>
      <c r="R376" s="8"/>
      <c r="T376" s="34" t="str">
        <f t="shared" si="3"/>
        <v/>
      </c>
    </row>
    <row r="377">
      <c r="G377" s="8"/>
      <c r="R377" s="8"/>
      <c r="T377" s="34" t="str">
        <f t="shared" si="3"/>
        <v/>
      </c>
    </row>
    <row r="378">
      <c r="G378" s="8"/>
      <c r="R378" s="8"/>
      <c r="T378" s="34" t="str">
        <f t="shared" si="3"/>
        <v/>
      </c>
    </row>
    <row r="379">
      <c r="G379" s="8"/>
      <c r="R379" s="8"/>
      <c r="T379" s="34" t="str">
        <f t="shared" si="3"/>
        <v/>
      </c>
    </row>
    <row r="380">
      <c r="G380" s="8"/>
      <c r="R380" s="8"/>
      <c r="T380" s="34" t="str">
        <f t="shared" si="3"/>
        <v/>
      </c>
    </row>
    <row r="381">
      <c r="G381" s="8"/>
      <c r="R381" s="8"/>
      <c r="T381" s="34" t="str">
        <f t="shared" si="3"/>
        <v/>
      </c>
    </row>
    <row r="382">
      <c r="G382" s="8"/>
      <c r="R382" s="8"/>
      <c r="T382" s="34" t="str">
        <f t="shared" si="3"/>
        <v/>
      </c>
    </row>
    <row r="383">
      <c r="G383" s="8"/>
      <c r="R383" s="8"/>
      <c r="T383" s="34" t="str">
        <f t="shared" si="3"/>
        <v/>
      </c>
    </row>
    <row r="384">
      <c r="G384" s="8"/>
      <c r="R384" s="8"/>
      <c r="T384" s="34" t="str">
        <f t="shared" si="3"/>
        <v/>
      </c>
    </row>
    <row r="385">
      <c r="G385" s="8"/>
      <c r="R385" s="8"/>
      <c r="T385" s="34" t="str">
        <f t="shared" si="3"/>
        <v/>
      </c>
    </row>
    <row r="386">
      <c r="G386" s="8"/>
      <c r="R386" s="8"/>
      <c r="T386" s="33"/>
    </row>
    <row r="387">
      <c r="G387" s="8"/>
      <c r="R387" s="8"/>
      <c r="T387" s="33"/>
    </row>
    <row r="388">
      <c r="G388" s="8"/>
      <c r="R388" s="8"/>
      <c r="T388" s="33"/>
    </row>
    <row r="389">
      <c r="G389" s="8"/>
      <c r="R389" s="8"/>
      <c r="T389" s="33"/>
    </row>
    <row r="390">
      <c r="G390" s="8"/>
      <c r="R390" s="8"/>
      <c r="T390" s="34" t="str">
        <f t="shared" ref="T390:T410" si="4">IF(ISBLANK(U390),"",VLOOKUP($U390,$H$6:$K$2000,4,FALSE)/VLOOKUP(U390,$H$6:$K$2000,3,FALSE)*$S390)</f>
        <v/>
      </c>
    </row>
    <row r="391">
      <c r="G391" s="8"/>
      <c r="R391" s="8"/>
      <c r="T391" s="34" t="str">
        <f t="shared" si="4"/>
        <v/>
      </c>
    </row>
    <row r="392">
      <c r="G392" s="8"/>
      <c r="R392" s="8"/>
      <c r="T392" s="34" t="str">
        <f t="shared" si="4"/>
        <v/>
      </c>
    </row>
    <row r="393">
      <c r="G393" s="8"/>
      <c r="R393" s="8"/>
      <c r="T393" s="34" t="str">
        <f t="shared" si="4"/>
        <v/>
      </c>
    </row>
    <row r="394">
      <c r="G394" s="8"/>
      <c r="R394" s="8"/>
      <c r="T394" s="34" t="str">
        <f t="shared" si="4"/>
        <v/>
      </c>
    </row>
    <row r="395">
      <c r="G395" s="8"/>
      <c r="R395" s="8"/>
      <c r="T395" s="34" t="str">
        <f t="shared" si="4"/>
        <v/>
      </c>
    </row>
    <row r="396">
      <c r="G396" s="8"/>
      <c r="R396" s="8"/>
      <c r="T396" s="34" t="str">
        <f t="shared" si="4"/>
        <v/>
      </c>
    </row>
    <row r="397">
      <c r="G397" s="8"/>
      <c r="R397" s="8"/>
      <c r="T397" s="34" t="str">
        <f t="shared" si="4"/>
        <v/>
      </c>
    </row>
    <row r="398">
      <c r="G398" s="8"/>
      <c r="R398" s="8"/>
      <c r="T398" s="34" t="str">
        <f t="shared" si="4"/>
        <v/>
      </c>
    </row>
    <row r="399">
      <c r="G399" s="8"/>
      <c r="R399" s="8"/>
      <c r="T399" s="34" t="str">
        <f t="shared" si="4"/>
        <v/>
      </c>
    </row>
    <row r="400">
      <c r="G400" s="8"/>
      <c r="R400" s="8"/>
      <c r="T400" s="34" t="str">
        <f t="shared" si="4"/>
        <v/>
      </c>
    </row>
    <row r="401">
      <c r="G401" s="8"/>
      <c r="R401" s="8"/>
      <c r="T401" s="34" t="str">
        <f t="shared" si="4"/>
        <v/>
      </c>
    </row>
    <row r="402">
      <c r="G402" s="8"/>
      <c r="R402" s="8"/>
      <c r="T402" s="34" t="str">
        <f t="shared" si="4"/>
        <v/>
      </c>
    </row>
    <row r="403">
      <c r="G403" s="8"/>
      <c r="R403" s="8"/>
      <c r="T403" s="34" t="str">
        <f t="shared" si="4"/>
        <v/>
      </c>
    </row>
    <row r="404">
      <c r="G404" s="8"/>
      <c r="R404" s="8"/>
      <c r="T404" s="34" t="str">
        <f t="shared" si="4"/>
        <v/>
      </c>
    </row>
    <row r="405">
      <c r="G405" s="8"/>
      <c r="R405" s="8"/>
      <c r="T405" s="34" t="str">
        <f t="shared" si="4"/>
        <v/>
      </c>
    </row>
    <row r="406">
      <c r="G406" s="8"/>
      <c r="R406" s="8"/>
      <c r="T406" s="34" t="str">
        <f t="shared" si="4"/>
        <v/>
      </c>
    </row>
    <row r="407">
      <c r="G407" s="8"/>
      <c r="R407" s="8"/>
      <c r="T407" s="34" t="str">
        <f t="shared" si="4"/>
        <v/>
      </c>
    </row>
    <row r="408">
      <c r="G408" s="8"/>
      <c r="R408" s="8"/>
      <c r="T408" s="34" t="str">
        <f t="shared" si="4"/>
        <v/>
      </c>
    </row>
    <row r="409">
      <c r="G409" s="8"/>
      <c r="R409" s="8"/>
      <c r="T409" s="34" t="str">
        <f t="shared" si="4"/>
        <v/>
      </c>
    </row>
    <row r="410">
      <c r="G410" s="8"/>
      <c r="R410" s="8"/>
      <c r="T410" s="34" t="str">
        <f t="shared" si="4"/>
        <v/>
      </c>
    </row>
    <row r="411">
      <c r="G411" s="8"/>
      <c r="R411" s="8"/>
      <c r="T411" s="33"/>
    </row>
    <row r="412">
      <c r="G412" s="8"/>
      <c r="R412" s="8"/>
      <c r="T412" s="33"/>
    </row>
    <row r="413">
      <c r="G413" s="8"/>
      <c r="R413" s="8"/>
      <c r="T413" s="33"/>
    </row>
    <row r="414">
      <c r="G414" s="8"/>
      <c r="R414" s="8"/>
      <c r="T414" s="33"/>
    </row>
    <row r="415">
      <c r="G415" s="8"/>
      <c r="R415" s="8"/>
      <c r="T415" s="33"/>
    </row>
    <row r="416">
      <c r="G416" s="8"/>
      <c r="R416" s="8"/>
      <c r="T416" s="33"/>
    </row>
    <row r="417">
      <c r="G417" s="8"/>
      <c r="R417" s="8"/>
      <c r="T417" s="33"/>
    </row>
    <row r="418">
      <c r="G418" s="8"/>
      <c r="R418" s="8"/>
      <c r="T418" s="33"/>
    </row>
    <row r="419">
      <c r="G419" s="8"/>
      <c r="R419" s="8"/>
      <c r="T419" s="33"/>
    </row>
    <row r="420">
      <c r="G420" s="8"/>
      <c r="R420" s="8"/>
      <c r="T420" s="33"/>
    </row>
    <row r="421">
      <c r="G421" s="8"/>
      <c r="R421" s="8"/>
      <c r="T421" s="33"/>
    </row>
    <row r="422">
      <c r="G422" s="8"/>
      <c r="R422" s="8"/>
      <c r="T422" s="33"/>
    </row>
    <row r="423">
      <c r="G423" s="8"/>
      <c r="R423" s="8"/>
      <c r="T423" s="34" t="str">
        <f>IF(ISBLANK(U423),"",VLOOKUP($U423,$H$6:$K$2000,4,FALSE)/VLOOKUP(U423,$H$6:$K$2000,3,FALSE)*$S423)</f>
        <v/>
      </c>
    </row>
    <row r="424">
      <c r="G424" s="8"/>
      <c r="R424" s="8"/>
      <c r="T424" s="33"/>
    </row>
    <row r="425">
      <c r="G425" s="8"/>
      <c r="R425" s="8"/>
      <c r="T425" s="33"/>
    </row>
    <row r="426">
      <c r="G426" s="8"/>
      <c r="R426" s="8"/>
      <c r="T426" s="33"/>
    </row>
    <row r="427">
      <c r="G427" s="8"/>
      <c r="R427" s="8"/>
    </row>
    <row r="428">
      <c r="G428" s="8"/>
      <c r="R428" s="8"/>
    </row>
    <row r="429">
      <c r="G429" s="8"/>
      <c r="R429" s="8"/>
    </row>
    <row r="430">
      <c r="G430" s="8"/>
      <c r="R430" s="8"/>
    </row>
    <row r="431">
      <c r="G431" s="8"/>
      <c r="R431" s="8"/>
    </row>
    <row r="432">
      <c r="G432" s="8"/>
      <c r="R432" s="8"/>
    </row>
    <row r="433">
      <c r="G433" s="8"/>
      <c r="R433" s="8"/>
    </row>
    <row r="434">
      <c r="G434" s="8"/>
      <c r="R434" s="8"/>
    </row>
    <row r="435">
      <c r="G435" s="8"/>
      <c r="R435" s="8"/>
    </row>
    <row r="436">
      <c r="G436" s="8"/>
      <c r="R436" s="8"/>
    </row>
    <row r="437">
      <c r="G437" s="8"/>
      <c r="R437" s="8"/>
    </row>
    <row r="438">
      <c r="G438" s="8"/>
      <c r="R438" s="8"/>
    </row>
    <row r="439">
      <c r="G439" s="8"/>
      <c r="R439" s="8"/>
    </row>
    <row r="440">
      <c r="G440" s="8"/>
      <c r="R440" s="8"/>
    </row>
    <row r="441">
      <c r="G441" s="8"/>
      <c r="R441" s="8"/>
    </row>
    <row r="442">
      <c r="G442" s="8"/>
      <c r="R442" s="8"/>
    </row>
    <row r="443">
      <c r="G443" s="8"/>
      <c r="R443" s="8"/>
    </row>
    <row r="444">
      <c r="G444" s="8"/>
      <c r="R444" s="8"/>
    </row>
    <row r="445">
      <c r="G445" s="8"/>
      <c r="R445" s="8"/>
    </row>
    <row r="446">
      <c r="G446" s="8"/>
      <c r="R446" s="8"/>
    </row>
    <row r="447">
      <c r="G447" s="8"/>
      <c r="R447" s="8"/>
    </row>
    <row r="448">
      <c r="G448" s="8"/>
      <c r="R448" s="8"/>
    </row>
    <row r="449">
      <c r="G449" s="8"/>
      <c r="R449" s="8"/>
    </row>
    <row r="450">
      <c r="G450" s="8"/>
      <c r="R450" s="8"/>
    </row>
    <row r="451">
      <c r="G451" s="8"/>
      <c r="R451" s="8"/>
    </row>
    <row r="452">
      <c r="G452" s="8"/>
      <c r="R452" s="8"/>
    </row>
    <row r="453">
      <c r="G453" s="8"/>
      <c r="R453" s="8"/>
    </row>
    <row r="454">
      <c r="G454" s="8"/>
      <c r="R454" s="8"/>
    </row>
    <row r="455">
      <c r="G455" s="8"/>
      <c r="R455" s="8"/>
    </row>
    <row r="456">
      <c r="G456" s="8"/>
      <c r="R456" s="8"/>
    </row>
    <row r="457">
      <c r="G457" s="8"/>
      <c r="R457" s="8"/>
    </row>
    <row r="458">
      <c r="G458" s="8"/>
      <c r="R458" s="8"/>
    </row>
    <row r="459">
      <c r="G459" s="8"/>
      <c r="R459" s="8"/>
    </row>
    <row r="460">
      <c r="G460" s="8"/>
      <c r="R460" s="8"/>
    </row>
    <row r="461">
      <c r="G461" s="8"/>
      <c r="R461" s="8"/>
    </row>
    <row r="462">
      <c r="G462" s="8"/>
      <c r="R462" s="8"/>
    </row>
    <row r="463">
      <c r="G463" s="8"/>
      <c r="R463" s="8"/>
    </row>
    <row r="464">
      <c r="G464" s="8"/>
      <c r="R464" s="8"/>
    </row>
    <row r="465">
      <c r="G465" s="8"/>
      <c r="R465" s="8"/>
    </row>
    <row r="466">
      <c r="G466" s="8"/>
      <c r="R466" s="8"/>
    </row>
    <row r="467">
      <c r="G467" s="8"/>
      <c r="R467" s="8"/>
    </row>
    <row r="468">
      <c r="G468" s="8"/>
      <c r="R468" s="8"/>
    </row>
    <row r="469">
      <c r="G469" s="8"/>
      <c r="R469" s="8"/>
    </row>
    <row r="470">
      <c r="G470" s="8"/>
      <c r="R470" s="8"/>
    </row>
    <row r="471">
      <c r="G471" s="8"/>
      <c r="R471" s="8"/>
    </row>
    <row r="472">
      <c r="G472" s="8"/>
      <c r="R472" s="8"/>
    </row>
    <row r="473">
      <c r="G473" s="8"/>
      <c r="R473" s="8"/>
    </row>
    <row r="474">
      <c r="G474" s="8"/>
      <c r="R474" s="8"/>
    </row>
    <row r="475">
      <c r="G475" s="8"/>
      <c r="R475" s="8"/>
    </row>
    <row r="476">
      <c r="G476" s="8"/>
      <c r="R476" s="8"/>
    </row>
    <row r="477">
      <c r="G477" s="8"/>
      <c r="R477" s="8"/>
    </row>
    <row r="478">
      <c r="G478" s="8"/>
      <c r="R478" s="8"/>
    </row>
    <row r="479">
      <c r="G479" s="8"/>
      <c r="R479" s="8"/>
    </row>
    <row r="480">
      <c r="G480" s="8"/>
      <c r="R480" s="8"/>
    </row>
    <row r="481">
      <c r="G481" s="8"/>
      <c r="R481" s="8"/>
    </row>
    <row r="482">
      <c r="G482" s="8"/>
      <c r="R482" s="8"/>
    </row>
    <row r="483">
      <c r="G483" s="8"/>
      <c r="R483" s="8"/>
    </row>
    <row r="484">
      <c r="G484" s="8"/>
      <c r="R484" s="8"/>
    </row>
    <row r="485">
      <c r="G485" s="8"/>
      <c r="R485" s="8"/>
    </row>
    <row r="486">
      <c r="G486" s="8"/>
      <c r="R486" s="8"/>
    </row>
    <row r="487">
      <c r="G487" s="8"/>
      <c r="R487" s="8"/>
    </row>
    <row r="488">
      <c r="G488" s="8"/>
      <c r="R488" s="8"/>
    </row>
    <row r="489">
      <c r="G489" s="8"/>
      <c r="R489" s="8"/>
    </row>
    <row r="490">
      <c r="G490" s="8"/>
      <c r="R490" s="8"/>
    </row>
    <row r="491">
      <c r="G491" s="8"/>
      <c r="R491" s="8"/>
    </row>
    <row r="492">
      <c r="G492" s="8"/>
      <c r="R492" s="8"/>
    </row>
    <row r="493">
      <c r="G493" s="8"/>
      <c r="R493" s="8"/>
    </row>
    <row r="494">
      <c r="G494" s="8"/>
      <c r="R494" s="8"/>
    </row>
    <row r="495">
      <c r="G495" s="8"/>
      <c r="R495" s="8"/>
    </row>
    <row r="496">
      <c r="G496" s="8"/>
      <c r="R496" s="8"/>
    </row>
    <row r="497">
      <c r="G497" s="8"/>
      <c r="R497" s="8"/>
    </row>
    <row r="498">
      <c r="G498" s="8"/>
      <c r="R498" s="8"/>
    </row>
    <row r="499">
      <c r="G499" s="8"/>
      <c r="R499" s="8"/>
    </row>
    <row r="500">
      <c r="G500" s="8"/>
      <c r="R500" s="8"/>
    </row>
    <row r="501">
      <c r="G501" s="8"/>
      <c r="R501" s="8"/>
    </row>
    <row r="502">
      <c r="G502" s="8"/>
      <c r="R502" s="8"/>
    </row>
    <row r="503">
      <c r="G503" s="8"/>
      <c r="R503" s="8"/>
    </row>
    <row r="504">
      <c r="G504" s="8"/>
      <c r="R504" s="8"/>
    </row>
    <row r="505">
      <c r="G505" s="8"/>
      <c r="R505" s="8"/>
    </row>
    <row r="506">
      <c r="G506" s="8"/>
      <c r="R506" s="8"/>
    </row>
    <row r="507">
      <c r="G507" s="8"/>
      <c r="R507" s="8"/>
    </row>
    <row r="508">
      <c r="G508" s="8"/>
      <c r="R508" s="8"/>
    </row>
    <row r="509">
      <c r="G509" s="8"/>
      <c r="R509" s="8"/>
    </row>
    <row r="510">
      <c r="G510" s="8"/>
      <c r="R510" s="8"/>
    </row>
    <row r="511">
      <c r="G511" s="8"/>
      <c r="R511" s="8"/>
    </row>
    <row r="512">
      <c r="G512" s="8"/>
      <c r="R512" s="8"/>
    </row>
    <row r="513">
      <c r="G513" s="8"/>
      <c r="R513" s="8"/>
    </row>
    <row r="514">
      <c r="G514" s="8"/>
      <c r="R514" s="8"/>
    </row>
    <row r="515">
      <c r="G515" s="8"/>
      <c r="R515" s="8"/>
    </row>
    <row r="516">
      <c r="G516" s="8"/>
      <c r="R516" s="8"/>
    </row>
    <row r="517">
      <c r="G517" s="8"/>
      <c r="R517" s="8"/>
    </row>
    <row r="518">
      <c r="G518" s="8"/>
      <c r="R518" s="8"/>
    </row>
    <row r="519">
      <c r="G519" s="8"/>
      <c r="R519" s="8"/>
    </row>
    <row r="520">
      <c r="G520" s="8"/>
      <c r="R520" s="8"/>
    </row>
    <row r="521">
      <c r="G521" s="8"/>
      <c r="R521" s="8"/>
    </row>
    <row r="522">
      <c r="G522" s="8"/>
      <c r="R522" s="8"/>
    </row>
    <row r="523">
      <c r="G523" s="8"/>
      <c r="R523" s="8"/>
    </row>
    <row r="524">
      <c r="G524" s="8"/>
      <c r="R524" s="8"/>
    </row>
    <row r="525">
      <c r="G525" s="8"/>
      <c r="R525" s="8"/>
    </row>
    <row r="526">
      <c r="G526" s="8"/>
      <c r="R526" s="8"/>
    </row>
    <row r="527">
      <c r="G527" s="8"/>
      <c r="R527" s="8"/>
    </row>
    <row r="528">
      <c r="G528" s="8"/>
      <c r="R528" s="8"/>
    </row>
    <row r="529">
      <c r="G529" s="8"/>
      <c r="R529" s="8"/>
    </row>
    <row r="530">
      <c r="G530" s="8"/>
      <c r="R530" s="8"/>
    </row>
    <row r="531">
      <c r="G531" s="8"/>
      <c r="R531" s="8"/>
    </row>
    <row r="532">
      <c r="G532" s="8"/>
      <c r="R532" s="8"/>
    </row>
    <row r="533">
      <c r="G533" s="8"/>
      <c r="R533" s="8"/>
    </row>
    <row r="534">
      <c r="G534" s="8"/>
      <c r="R534" s="8"/>
    </row>
    <row r="535">
      <c r="G535" s="8"/>
      <c r="R535" s="8"/>
    </row>
    <row r="536">
      <c r="G536" s="8"/>
      <c r="R536" s="8"/>
    </row>
    <row r="537">
      <c r="G537" s="8"/>
      <c r="R537" s="8"/>
    </row>
    <row r="538">
      <c r="G538" s="8"/>
      <c r="R538" s="8"/>
    </row>
    <row r="539">
      <c r="G539" s="8"/>
      <c r="R539" s="8"/>
    </row>
    <row r="540">
      <c r="G540" s="8"/>
      <c r="R540" s="8"/>
    </row>
    <row r="541">
      <c r="G541" s="8"/>
      <c r="R541" s="8"/>
    </row>
    <row r="542">
      <c r="G542" s="8"/>
      <c r="R542" s="8"/>
    </row>
    <row r="543">
      <c r="G543" s="8"/>
      <c r="R543" s="8"/>
    </row>
    <row r="544">
      <c r="G544" s="8"/>
      <c r="R544" s="8"/>
    </row>
    <row r="545">
      <c r="G545" s="8"/>
      <c r="R545" s="8"/>
    </row>
    <row r="546">
      <c r="G546" s="8"/>
      <c r="R546" s="8"/>
    </row>
    <row r="547">
      <c r="G547" s="8"/>
      <c r="R547" s="8"/>
    </row>
    <row r="548">
      <c r="G548" s="8"/>
      <c r="R548" s="8"/>
    </row>
    <row r="549">
      <c r="G549" s="8"/>
      <c r="R549" s="8"/>
    </row>
    <row r="550">
      <c r="G550" s="8"/>
      <c r="R550" s="8"/>
    </row>
    <row r="551">
      <c r="G551" s="8"/>
      <c r="R551" s="8"/>
    </row>
    <row r="552">
      <c r="G552" s="8"/>
      <c r="R552" s="8"/>
    </row>
    <row r="553">
      <c r="G553" s="8"/>
      <c r="R553" s="8"/>
    </row>
    <row r="554">
      <c r="G554" s="8"/>
      <c r="R554" s="8"/>
    </row>
    <row r="555">
      <c r="G555" s="8"/>
      <c r="R555" s="8"/>
    </row>
    <row r="556">
      <c r="G556" s="8"/>
      <c r="R556" s="8"/>
    </row>
    <row r="557">
      <c r="G557" s="8"/>
      <c r="R557" s="8"/>
    </row>
    <row r="558">
      <c r="G558" s="8"/>
      <c r="R558" s="8"/>
    </row>
    <row r="559">
      <c r="G559" s="8"/>
      <c r="R559" s="8"/>
    </row>
    <row r="560">
      <c r="G560" s="8"/>
      <c r="R560" s="8"/>
    </row>
    <row r="561">
      <c r="G561" s="8"/>
      <c r="R561" s="8"/>
    </row>
    <row r="562">
      <c r="G562" s="8"/>
      <c r="R562" s="8"/>
    </row>
    <row r="563">
      <c r="G563" s="8"/>
      <c r="R563" s="8"/>
    </row>
    <row r="564">
      <c r="G564" s="8"/>
      <c r="R564" s="8"/>
    </row>
    <row r="565">
      <c r="G565" s="8"/>
      <c r="R565" s="8"/>
    </row>
    <row r="566">
      <c r="G566" s="8"/>
      <c r="R566" s="8"/>
    </row>
    <row r="567">
      <c r="G567" s="8"/>
      <c r="R567" s="8"/>
    </row>
    <row r="568">
      <c r="G568" s="8"/>
      <c r="R568" s="8"/>
    </row>
    <row r="569">
      <c r="G569" s="8"/>
      <c r="R569" s="8"/>
    </row>
    <row r="570">
      <c r="G570" s="8"/>
      <c r="R570" s="8"/>
    </row>
    <row r="571">
      <c r="G571" s="8"/>
      <c r="R571" s="8"/>
    </row>
    <row r="572">
      <c r="G572" s="8"/>
      <c r="R572" s="8"/>
    </row>
    <row r="573">
      <c r="G573" s="8"/>
      <c r="R573" s="8"/>
    </row>
    <row r="574">
      <c r="G574" s="8"/>
      <c r="R574" s="8"/>
    </row>
    <row r="575">
      <c r="G575" s="8"/>
      <c r="R575" s="8"/>
    </row>
    <row r="576">
      <c r="G576" s="8"/>
      <c r="R576" s="8"/>
    </row>
    <row r="577">
      <c r="G577" s="8"/>
      <c r="R577" s="8"/>
    </row>
    <row r="578">
      <c r="G578" s="8"/>
      <c r="R578" s="8"/>
    </row>
    <row r="579">
      <c r="G579" s="8"/>
      <c r="R579" s="8"/>
    </row>
    <row r="580">
      <c r="G580" s="8"/>
      <c r="R580" s="8"/>
    </row>
    <row r="581">
      <c r="G581" s="8"/>
      <c r="R581" s="8"/>
    </row>
    <row r="582">
      <c r="G582" s="8"/>
      <c r="R582" s="8"/>
    </row>
    <row r="583">
      <c r="G583" s="8"/>
      <c r="R583" s="8"/>
    </row>
    <row r="584">
      <c r="G584" s="8"/>
      <c r="R584" s="8"/>
    </row>
    <row r="585">
      <c r="G585" s="8"/>
      <c r="R585" s="8"/>
    </row>
    <row r="586">
      <c r="G586" s="8"/>
      <c r="R586" s="8"/>
    </row>
    <row r="587">
      <c r="G587" s="8"/>
      <c r="R587" s="8"/>
    </row>
    <row r="588">
      <c r="G588" s="8"/>
      <c r="R588" s="8"/>
    </row>
    <row r="589">
      <c r="G589" s="8"/>
      <c r="R589" s="8"/>
    </row>
    <row r="590">
      <c r="G590" s="8"/>
      <c r="R590" s="8"/>
    </row>
    <row r="591">
      <c r="G591" s="8"/>
      <c r="R591" s="8"/>
    </row>
    <row r="592">
      <c r="G592" s="8"/>
      <c r="R592" s="8"/>
    </row>
    <row r="593">
      <c r="G593" s="8"/>
      <c r="R593" s="8"/>
    </row>
    <row r="594">
      <c r="G594" s="8"/>
      <c r="R594" s="8"/>
    </row>
    <row r="595">
      <c r="G595" s="8"/>
      <c r="R595" s="8"/>
    </row>
    <row r="596">
      <c r="G596" s="8"/>
      <c r="R596" s="8"/>
    </row>
    <row r="597">
      <c r="G597" s="8"/>
      <c r="R597" s="8"/>
    </row>
    <row r="598">
      <c r="G598" s="8"/>
      <c r="R598" s="8"/>
    </row>
    <row r="599">
      <c r="G599" s="8"/>
      <c r="R599" s="8"/>
    </row>
    <row r="600">
      <c r="G600" s="8"/>
      <c r="R600" s="8"/>
    </row>
    <row r="601">
      <c r="G601" s="8"/>
      <c r="R601" s="8"/>
    </row>
    <row r="602">
      <c r="G602" s="8"/>
      <c r="R602" s="8"/>
    </row>
    <row r="603">
      <c r="G603" s="8"/>
      <c r="R603" s="8"/>
    </row>
    <row r="604">
      <c r="G604" s="8"/>
      <c r="R604" s="8"/>
    </row>
    <row r="605">
      <c r="G605" s="8"/>
      <c r="R605" s="8"/>
    </row>
    <row r="606">
      <c r="G606" s="8"/>
      <c r="R606" s="8"/>
    </row>
    <row r="607">
      <c r="G607" s="8"/>
      <c r="R607" s="8"/>
    </row>
    <row r="608">
      <c r="G608" s="8"/>
      <c r="R608" s="8"/>
    </row>
    <row r="609">
      <c r="G609" s="8"/>
      <c r="R609" s="8"/>
    </row>
    <row r="610">
      <c r="G610" s="8"/>
      <c r="R610" s="8"/>
    </row>
    <row r="611">
      <c r="G611" s="8"/>
      <c r="R611" s="8"/>
    </row>
    <row r="612">
      <c r="G612" s="8"/>
      <c r="R612" s="8"/>
    </row>
    <row r="613">
      <c r="G613" s="8"/>
      <c r="R613" s="8"/>
    </row>
    <row r="614">
      <c r="G614" s="8"/>
      <c r="R614" s="8"/>
    </row>
    <row r="615">
      <c r="G615" s="8"/>
      <c r="R615" s="8"/>
    </row>
    <row r="616">
      <c r="G616" s="8"/>
      <c r="R616" s="8"/>
    </row>
    <row r="617">
      <c r="G617" s="8"/>
      <c r="R617" s="8"/>
    </row>
    <row r="618">
      <c r="G618" s="8"/>
      <c r="R618" s="8"/>
    </row>
    <row r="619">
      <c r="G619" s="8"/>
      <c r="R619" s="8"/>
    </row>
    <row r="620">
      <c r="G620" s="8"/>
      <c r="R620" s="8"/>
    </row>
    <row r="621">
      <c r="G621" s="8"/>
      <c r="R621" s="8"/>
    </row>
    <row r="622">
      <c r="G622" s="8"/>
      <c r="R622" s="8"/>
    </row>
    <row r="623">
      <c r="G623" s="8"/>
      <c r="R623" s="8"/>
    </row>
    <row r="624">
      <c r="G624" s="8"/>
      <c r="R624" s="8"/>
    </row>
    <row r="625">
      <c r="G625" s="8"/>
      <c r="R625" s="8"/>
    </row>
    <row r="626">
      <c r="G626" s="8"/>
      <c r="R626" s="8"/>
    </row>
    <row r="627">
      <c r="G627" s="8"/>
      <c r="R627" s="8"/>
    </row>
    <row r="628">
      <c r="G628" s="8"/>
      <c r="R628" s="8"/>
    </row>
    <row r="629">
      <c r="G629" s="8"/>
      <c r="R629" s="8"/>
    </row>
    <row r="630">
      <c r="G630" s="8"/>
      <c r="R630" s="8"/>
    </row>
    <row r="631">
      <c r="G631" s="8"/>
      <c r="R631" s="8"/>
    </row>
    <row r="632">
      <c r="G632" s="8"/>
      <c r="R632" s="8"/>
    </row>
    <row r="633">
      <c r="G633" s="8"/>
      <c r="R633" s="8"/>
    </row>
    <row r="634">
      <c r="G634" s="8"/>
      <c r="R634" s="8"/>
    </row>
    <row r="635">
      <c r="G635" s="8"/>
      <c r="R635" s="8"/>
    </row>
    <row r="636">
      <c r="G636" s="8"/>
      <c r="R636" s="8"/>
    </row>
    <row r="637">
      <c r="G637" s="8"/>
      <c r="R637" s="8"/>
    </row>
    <row r="638">
      <c r="G638" s="8"/>
      <c r="R638" s="8"/>
    </row>
    <row r="639">
      <c r="G639" s="8"/>
      <c r="R639" s="8"/>
    </row>
    <row r="640">
      <c r="G640" s="8"/>
      <c r="R640" s="8"/>
    </row>
    <row r="641">
      <c r="G641" s="8"/>
      <c r="R641" s="8"/>
    </row>
    <row r="642">
      <c r="G642" s="8"/>
      <c r="R642" s="8"/>
    </row>
    <row r="643">
      <c r="G643" s="8"/>
      <c r="R643" s="8"/>
    </row>
    <row r="644">
      <c r="G644" s="8"/>
      <c r="R644" s="8"/>
    </row>
    <row r="645">
      <c r="G645" s="8"/>
      <c r="R645" s="8"/>
    </row>
    <row r="646">
      <c r="G646" s="8"/>
      <c r="R646" s="8"/>
    </row>
    <row r="647">
      <c r="G647" s="8"/>
      <c r="R647" s="8"/>
    </row>
    <row r="648">
      <c r="G648" s="8"/>
      <c r="R648" s="8"/>
    </row>
    <row r="649">
      <c r="G649" s="8"/>
      <c r="R649" s="8"/>
    </row>
    <row r="650">
      <c r="G650" s="8"/>
      <c r="R650" s="8"/>
    </row>
    <row r="651">
      <c r="G651" s="8"/>
      <c r="R651" s="8"/>
    </row>
    <row r="652">
      <c r="G652" s="8"/>
      <c r="R652" s="8"/>
    </row>
    <row r="653">
      <c r="G653" s="8"/>
      <c r="R653" s="8"/>
    </row>
    <row r="654">
      <c r="G654" s="8"/>
      <c r="R654" s="8"/>
    </row>
    <row r="655">
      <c r="G655" s="8"/>
      <c r="R655" s="8"/>
    </row>
    <row r="656">
      <c r="G656" s="8"/>
      <c r="R656" s="8"/>
    </row>
    <row r="657">
      <c r="G657" s="8"/>
      <c r="R657" s="8"/>
    </row>
    <row r="658">
      <c r="G658" s="8"/>
      <c r="R658" s="8"/>
    </row>
    <row r="659">
      <c r="G659" s="8"/>
      <c r="R659" s="8"/>
    </row>
    <row r="660">
      <c r="G660" s="8"/>
      <c r="R660" s="8"/>
    </row>
    <row r="661">
      <c r="G661" s="8"/>
      <c r="R661" s="8"/>
    </row>
    <row r="662">
      <c r="G662" s="8"/>
      <c r="R662" s="8"/>
    </row>
    <row r="663">
      <c r="G663" s="8"/>
      <c r="R663" s="8"/>
    </row>
    <row r="664">
      <c r="G664" s="8"/>
      <c r="R664" s="8"/>
    </row>
    <row r="665">
      <c r="G665" s="8"/>
      <c r="R665" s="8"/>
    </row>
    <row r="666">
      <c r="G666" s="8"/>
      <c r="R666" s="8"/>
    </row>
    <row r="667">
      <c r="G667" s="8"/>
      <c r="R667" s="8"/>
    </row>
    <row r="668">
      <c r="G668" s="8"/>
      <c r="R668" s="8"/>
    </row>
    <row r="669">
      <c r="G669" s="8"/>
      <c r="R669" s="8"/>
    </row>
    <row r="670">
      <c r="G670" s="8"/>
      <c r="R670" s="8"/>
    </row>
    <row r="671">
      <c r="G671" s="8"/>
      <c r="R671" s="8"/>
    </row>
    <row r="672">
      <c r="G672" s="8"/>
      <c r="R672" s="8"/>
    </row>
    <row r="673">
      <c r="G673" s="8"/>
      <c r="R673" s="8"/>
    </row>
    <row r="674">
      <c r="G674" s="8"/>
      <c r="R674" s="8"/>
    </row>
    <row r="675">
      <c r="G675" s="8"/>
      <c r="R675" s="8"/>
    </row>
    <row r="676">
      <c r="G676" s="8"/>
      <c r="R676" s="8"/>
    </row>
    <row r="677">
      <c r="G677" s="8"/>
      <c r="R677" s="8"/>
    </row>
    <row r="678">
      <c r="G678" s="8"/>
      <c r="R678" s="8"/>
    </row>
    <row r="679">
      <c r="G679" s="8"/>
      <c r="R679" s="8"/>
    </row>
    <row r="680">
      <c r="G680" s="8"/>
      <c r="R680" s="8"/>
    </row>
    <row r="681">
      <c r="G681" s="8"/>
      <c r="R681" s="8"/>
    </row>
    <row r="682">
      <c r="G682" s="8"/>
      <c r="R682" s="8"/>
    </row>
    <row r="683">
      <c r="G683" s="8"/>
      <c r="R683" s="8"/>
    </row>
    <row r="684">
      <c r="G684" s="8"/>
      <c r="R684" s="8"/>
    </row>
    <row r="685">
      <c r="G685" s="8"/>
      <c r="R685" s="8"/>
    </row>
    <row r="686">
      <c r="G686" s="8"/>
      <c r="R686" s="8"/>
    </row>
    <row r="687">
      <c r="G687" s="8"/>
      <c r="R687" s="8"/>
    </row>
    <row r="688">
      <c r="G688" s="8"/>
      <c r="R688" s="8"/>
    </row>
    <row r="689">
      <c r="G689" s="8"/>
      <c r="R689" s="8"/>
    </row>
    <row r="690">
      <c r="G690" s="8"/>
      <c r="R690" s="8"/>
    </row>
    <row r="691">
      <c r="G691" s="8"/>
      <c r="R691" s="8"/>
    </row>
    <row r="692">
      <c r="G692" s="8"/>
      <c r="R692" s="8"/>
    </row>
    <row r="693">
      <c r="G693" s="8"/>
      <c r="R693" s="8"/>
    </row>
    <row r="694">
      <c r="G694" s="8"/>
      <c r="R694" s="8"/>
    </row>
    <row r="695">
      <c r="G695" s="8"/>
      <c r="R695" s="8"/>
    </row>
    <row r="696">
      <c r="G696" s="8"/>
      <c r="R696" s="8"/>
    </row>
    <row r="697">
      <c r="G697" s="8"/>
      <c r="R697" s="8"/>
    </row>
    <row r="698">
      <c r="G698" s="8"/>
      <c r="R698" s="8"/>
    </row>
    <row r="699">
      <c r="G699" s="8"/>
      <c r="R699" s="8"/>
    </row>
    <row r="700">
      <c r="G700" s="8"/>
      <c r="R700" s="8"/>
    </row>
    <row r="701">
      <c r="G701" s="8"/>
      <c r="R701" s="8"/>
    </row>
    <row r="702">
      <c r="G702" s="8"/>
      <c r="R702" s="8"/>
    </row>
    <row r="703">
      <c r="G703" s="8"/>
      <c r="R703" s="8"/>
    </row>
    <row r="704">
      <c r="G704" s="8"/>
      <c r="R704" s="8"/>
    </row>
    <row r="705">
      <c r="G705" s="8"/>
      <c r="R705" s="8"/>
    </row>
    <row r="706">
      <c r="G706" s="8"/>
      <c r="R706" s="8"/>
    </row>
    <row r="707">
      <c r="G707" s="8"/>
      <c r="R707" s="8"/>
    </row>
    <row r="708">
      <c r="G708" s="8"/>
      <c r="R708" s="8"/>
    </row>
    <row r="709">
      <c r="G709" s="8"/>
      <c r="R709" s="8"/>
    </row>
    <row r="710">
      <c r="G710" s="8"/>
      <c r="R710" s="8"/>
    </row>
    <row r="711">
      <c r="G711" s="8"/>
      <c r="R711" s="8"/>
    </row>
    <row r="712">
      <c r="G712" s="8"/>
      <c r="R712" s="8"/>
    </row>
    <row r="713">
      <c r="G713" s="8"/>
      <c r="R713" s="8"/>
    </row>
    <row r="714">
      <c r="G714" s="8"/>
      <c r="R714" s="8"/>
    </row>
    <row r="715">
      <c r="G715" s="8"/>
      <c r="R715" s="8"/>
    </row>
    <row r="716">
      <c r="G716" s="8"/>
      <c r="R716" s="8"/>
    </row>
    <row r="717">
      <c r="G717" s="8"/>
      <c r="R717" s="8"/>
    </row>
    <row r="718">
      <c r="G718" s="8"/>
      <c r="R718" s="8"/>
    </row>
    <row r="719">
      <c r="G719" s="8"/>
      <c r="R719" s="8"/>
    </row>
    <row r="720">
      <c r="G720" s="8"/>
      <c r="R720" s="8"/>
    </row>
    <row r="721">
      <c r="G721" s="8"/>
      <c r="R721" s="8"/>
    </row>
    <row r="722">
      <c r="G722" s="8"/>
      <c r="R722" s="8"/>
    </row>
    <row r="723">
      <c r="G723" s="8"/>
      <c r="R723" s="8"/>
    </row>
    <row r="724">
      <c r="G724" s="8"/>
      <c r="R724" s="8"/>
    </row>
    <row r="725">
      <c r="G725" s="8"/>
      <c r="R725" s="8"/>
    </row>
    <row r="726">
      <c r="G726" s="8"/>
      <c r="R726" s="8"/>
    </row>
    <row r="727">
      <c r="G727" s="8"/>
      <c r="R727" s="8"/>
    </row>
    <row r="728">
      <c r="G728" s="8"/>
      <c r="R728" s="8"/>
    </row>
    <row r="729">
      <c r="G729" s="8"/>
      <c r="R729" s="8"/>
    </row>
    <row r="730">
      <c r="G730" s="8"/>
      <c r="R730" s="8"/>
    </row>
    <row r="731">
      <c r="G731" s="8"/>
      <c r="R731" s="8"/>
    </row>
    <row r="732">
      <c r="G732" s="8"/>
      <c r="R732" s="8"/>
    </row>
    <row r="733">
      <c r="G733" s="8"/>
      <c r="R733" s="8"/>
    </row>
    <row r="734">
      <c r="G734" s="8"/>
      <c r="R734" s="8"/>
    </row>
    <row r="735">
      <c r="G735" s="8"/>
      <c r="R735" s="8"/>
    </row>
    <row r="736">
      <c r="G736" s="8"/>
      <c r="R736" s="8"/>
    </row>
    <row r="737">
      <c r="G737" s="8"/>
      <c r="R737" s="8"/>
    </row>
    <row r="738">
      <c r="G738" s="8"/>
      <c r="R738" s="8"/>
    </row>
    <row r="739">
      <c r="G739" s="8"/>
      <c r="R739" s="8"/>
    </row>
    <row r="740">
      <c r="G740" s="8"/>
      <c r="R740" s="8"/>
    </row>
    <row r="741">
      <c r="G741" s="8"/>
      <c r="R741" s="8"/>
    </row>
    <row r="742">
      <c r="G742" s="8"/>
      <c r="R742" s="8"/>
    </row>
    <row r="743">
      <c r="G743" s="8"/>
      <c r="R743" s="8"/>
    </row>
    <row r="744">
      <c r="G744" s="8"/>
      <c r="R744" s="8"/>
    </row>
    <row r="745">
      <c r="G745" s="8"/>
      <c r="R745" s="8"/>
    </row>
    <row r="746">
      <c r="G746" s="8"/>
      <c r="R746" s="8"/>
    </row>
    <row r="747">
      <c r="G747" s="8"/>
      <c r="R747" s="8"/>
    </row>
    <row r="748">
      <c r="G748" s="8"/>
      <c r="R748" s="8"/>
    </row>
    <row r="749">
      <c r="G749" s="8"/>
      <c r="R749" s="8"/>
    </row>
    <row r="750">
      <c r="G750" s="8"/>
      <c r="R750" s="8"/>
    </row>
    <row r="751">
      <c r="G751" s="8"/>
      <c r="R751" s="8"/>
    </row>
    <row r="752">
      <c r="G752" s="8"/>
      <c r="R752" s="8"/>
    </row>
    <row r="753">
      <c r="G753" s="8"/>
      <c r="R753" s="8"/>
    </row>
    <row r="754">
      <c r="G754" s="8"/>
      <c r="R754" s="8"/>
    </row>
    <row r="755">
      <c r="G755" s="8"/>
      <c r="R755" s="8"/>
    </row>
    <row r="756">
      <c r="G756" s="8"/>
      <c r="R756" s="8"/>
    </row>
    <row r="757">
      <c r="G757" s="8"/>
      <c r="R757" s="8"/>
    </row>
    <row r="758">
      <c r="G758" s="8"/>
      <c r="R758" s="8"/>
    </row>
    <row r="759">
      <c r="G759" s="8"/>
      <c r="R759" s="8"/>
    </row>
    <row r="760">
      <c r="G760" s="8"/>
      <c r="R760" s="8"/>
    </row>
    <row r="761">
      <c r="G761" s="8"/>
      <c r="R761" s="8"/>
    </row>
    <row r="762">
      <c r="G762" s="8"/>
      <c r="R762" s="8"/>
    </row>
    <row r="763">
      <c r="G763" s="8"/>
      <c r="R763" s="8"/>
    </row>
    <row r="764">
      <c r="G764" s="8"/>
      <c r="R764" s="8"/>
    </row>
    <row r="765">
      <c r="G765" s="8"/>
      <c r="R765" s="8"/>
    </row>
    <row r="766">
      <c r="G766" s="8"/>
      <c r="R766" s="8"/>
    </row>
    <row r="767">
      <c r="G767" s="8"/>
      <c r="R767" s="8"/>
    </row>
    <row r="768">
      <c r="G768" s="8"/>
      <c r="R768" s="8"/>
    </row>
    <row r="769">
      <c r="G769" s="8"/>
      <c r="R769" s="8"/>
    </row>
    <row r="770">
      <c r="G770" s="8"/>
      <c r="R770" s="8"/>
    </row>
    <row r="771">
      <c r="G771" s="8"/>
      <c r="R771" s="8"/>
    </row>
    <row r="772">
      <c r="G772" s="8"/>
      <c r="R772" s="8"/>
    </row>
    <row r="773">
      <c r="G773" s="8"/>
      <c r="R773" s="8"/>
    </row>
    <row r="774">
      <c r="G774" s="8"/>
      <c r="R774" s="8"/>
    </row>
    <row r="775">
      <c r="G775" s="8"/>
      <c r="R775" s="8"/>
    </row>
    <row r="776">
      <c r="G776" s="8"/>
      <c r="R776" s="8"/>
    </row>
    <row r="777">
      <c r="G777" s="8"/>
      <c r="R777" s="8"/>
    </row>
    <row r="778">
      <c r="G778" s="8"/>
      <c r="R778" s="8"/>
    </row>
    <row r="779">
      <c r="G779" s="8"/>
      <c r="R779" s="8"/>
    </row>
    <row r="780">
      <c r="G780" s="8"/>
      <c r="R780" s="8"/>
    </row>
    <row r="781">
      <c r="G781" s="8"/>
      <c r="R781" s="8"/>
    </row>
    <row r="782">
      <c r="G782" s="8"/>
      <c r="R782" s="8"/>
    </row>
    <row r="783">
      <c r="G783" s="8"/>
      <c r="R783" s="8"/>
    </row>
    <row r="784">
      <c r="G784" s="8"/>
      <c r="R784" s="8"/>
    </row>
    <row r="785">
      <c r="G785" s="8"/>
      <c r="R785" s="8"/>
    </row>
    <row r="786">
      <c r="G786" s="8"/>
      <c r="R786" s="8"/>
    </row>
    <row r="787">
      <c r="G787" s="8"/>
      <c r="R787" s="8"/>
    </row>
    <row r="788">
      <c r="G788" s="8"/>
      <c r="R788" s="8"/>
    </row>
    <row r="789">
      <c r="G789" s="8"/>
      <c r="R789" s="8"/>
    </row>
    <row r="790">
      <c r="G790" s="8"/>
      <c r="R790" s="8"/>
    </row>
    <row r="791">
      <c r="G791" s="8"/>
      <c r="R791" s="8"/>
    </row>
    <row r="792">
      <c r="G792" s="8"/>
      <c r="R792" s="8"/>
    </row>
    <row r="793">
      <c r="G793" s="8"/>
      <c r="R793" s="8"/>
    </row>
    <row r="794">
      <c r="G794" s="8"/>
      <c r="R794" s="8"/>
    </row>
    <row r="795">
      <c r="G795" s="8"/>
      <c r="R795" s="8"/>
    </row>
    <row r="796">
      <c r="G796" s="8"/>
      <c r="R796" s="8"/>
    </row>
    <row r="797">
      <c r="G797" s="8"/>
      <c r="R797" s="8"/>
    </row>
    <row r="798">
      <c r="G798" s="8"/>
      <c r="R798" s="8"/>
    </row>
    <row r="799">
      <c r="G799" s="8"/>
      <c r="R799" s="8"/>
    </row>
    <row r="800">
      <c r="G800" s="8"/>
      <c r="R800" s="8"/>
    </row>
    <row r="801">
      <c r="G801" s="8"/>
      <c r="R801" s="8"/>
    </row>
    <row r="802">
      <c r="G802" s="8"/>
      <c r="R802" s="8"/>
    </row>
    <row r="803">
      <c r="G803" s="8"/>
      <c r="R803" s="8"/>
    </row>
    <row r="804">
      <c r="G804" s="8"/>
      <c r="R804" s="8"/>
    </row>
    <row r="805">
      <c r="G805" s="8"/>
      <c r="R805" s="8"/>
    </row>
    <row r="806">
      <c r="G806" s="8"/>
      <c r="R806" s="8"/>
    </row>
    <row r="807">
      <c r="G807" s="8"/>
      <c r="R807" s="8"/>
    </row>
    <row r="808">
      <c r="G808" s="8"/>
      <c r="R808" s="8"/>
    </row>
    <row r="809">
      <c r="G809" s="8"/>
      <c r="R809" s="8"/>
    </row>
    <row r="810">
      <c r="G810" s="8"/>
      <c r="R810" s="8"/>
    </row>
    <row r="811">
      <c r="G811" s="8"/>
      <c r="R811" s="8"/>
    </row>
    <row r="812">
      <c r="G812" s="8"/>
      <c r="R812" s="8"/>
    </row>
    <row r="813">
      <c r="G813" s="8"/>
      <c r="R813" s="8"/>
    </row>
    <row r="814">
      <c r="G814" s="8"/>
      <c r="R814" s="8"/>
    </row>
    <row r="815">
      <c r="G815" s="8"/>
      <c r="R815" s="8"/>
    </row>
    <row r="816">
      <c r="G816" s="8"/>
      <c r="R816" s="8"/>
    </row>
    <row r="817">
      <c r="G817" s="8"/>
      <c r="R817" s="8"/>
    </row>
    <row r="818">
      <c r="G818" s="8"/>
      <c r="R818" s="8"/>
    </row>
    <row r="819">
      <c r="G819" s="8"/>
      <c r="R819" s="8"/>
    </row>
    <row r="820">
      <c r="G820" s="8"/>
      <c r="R820" s="8"/>
    </row>
    <row r="821">
      <c r="G821" s="8"/>
      <c r="R821" s="8"/>
    </row>
    <row r="822">
      <c r="G822" s="8"/>
      <c r="R822" s="8"/>
    </row>
    <row r="823">
      <c r="G823" s="8"/>
      <c r="R823" s="8"/>
    </row>
    <row r="824">
      <c r="G824" s="8"/>
      <c r="R824" s="8"/>
    </row>
    <row r="825">
      <c r="G825" s="8"/>
      <c r="R825" s="8"/>
    </row>
    <row r="826">
      <c r="G826" s="8"/>
      <c r="R826" s="8"/>
    </row>
    <row r="827">
      <c r="G827" s="8"/>
      <c r="R827" s="8"/>
    </row>
    <row r="828">
      <c r="G828" s="8"/>
      <c r="R828" s="8"/>
    </row>
    <row r="829">
      <c r="G829" s="8"/>
      <c r="R829" s="8"/>
    </row>
    <row r="830">
      <c r="G830" s="8"/>
      <c r="R830" s="8"/>
    </row>
    <row r="831">
      <c r="G831" s="8"/>
      <c r="R831" s="8"/>
    </row>
    <row r="832">
      <c r="G832" s="8"/>
      <c r="R832" s="8"/>
    </row>
    <row r="833">
      <c r="G833" s="8"/>
      <c r="R833" s="8"/>
    </row>
    <row r="834">
      <c r="G834" s="8"/>
      <c r="R834" s="8"/>
    </row>
    <row r="835">
      <c r="G835" s="8"/>
      <c r="R835" s="8"/>
    </row>
    <row r="836">
      <c r="G836" s="8"/>
      <c r="R836" s="8"/>
    </row>
    <row r="837">
      <c r="G837" s="8"/>
      <c r="R837" s="8"/>
    </row>
    <row r="838">
      <c r="G838" s="8"/>
      <c r="R838" s="8"/>
    </row>
    <row r="839">
      <c r="G839" s="8"/>
      <c r="R839" s="8"/>
    </row>
    <row r="840">
      <c r="G840" s="8"/>
      <c r="R840" s="8"/>
    </row>
    <row r="841">
      <c r="G841" s="8"/>
      <c r="R841" s="8"/>
    </row>
    <row r="842">
      <c r="G842" s="8"/>
      <c r="R842" s="8"/>
    </row>
    <row r="843">
      <c r="G843" s="8"/>
      <c r="R843" s="8"/>
    </row>
    <row r="844">
      <c r="G844" s="8"/>
      <c r="R844" s="8"/>
    </row>
    <row r="845">
      <c r="G845" s="8"/>
      <c r="R845" s="8"/>
    </row>
    <row r="846">
      <c r="G846" s="8"/>
      <c r="R846" s="8"/>
    </row>
    <row r="847">
      <c r="G847" s="8"/>
      <c r="R847" s="8"/>
    </row>
    <row r="848">
      <c r="G848" s="8"/>
      <c r="R848" s="8"/>
    </row>
    <row r="849">
      <c r="G849" s="8"/>
      <c r="R849" s="8"/>
    </row>
    <row r="850">
      <c r="G850" s="8"/>
      <c r="R850" s="8"/>
    </row>
    <row r="851">
      <c r="G851" s="8"/>
      <c r="R851" s="8"/>
    </row>
    <row r="852">
      <c r="G852" s="8"/>
      <c r="R852" s="8"/>
    </row>
    <row r="853">
      <c r="G853" s="8"/>
      <c r="R853" s="8"/>
    </row>
    <row r="854">
      <c r="G854" s="8"/>
      <c r="R854" s="8"/>
    </row>
    <row r="855">
      <c r="G855" s="8"/>
      <c r="R855" s="8"/>
    </row>
    <row r="856">
      <c r="G856" s="8"/>
      <c r="R856" s="8"/>
    </row>
    <row r="857">
      <c r="G857" s="8"/>
      <c r="R857" s="8"/>
    </row>
    <row r="858">
      <c r="G858" s="8"/>
      <c r="R858" s="8"/>
    </row>
    <row r="859">
      <c r="G859" s="8"/>
      <c r="R859" s="8"/>
    </row>
    <row r="860">
      <c r="G860" s="8"/>
      <c r="R860" s="8"/>
    </row>
    <row r="861">
      <c r="G861" s="8"/>
      <c r="R861" s="8"/>
    </row>
    <row r="862">
      <c r="G862" s="8"/>
      <c r="R862" s="8"/>
    </row>
    <row r="863">
      <c r="G863" s="8"/>
      <c r="R863" s="8"/>
    </row>
    <row r="864">
      <c r="G864" s="8"/>
      <c r="R864" s="8"/>
    </row>
    <row r="865">
      <c r="G865" s="8"/>
      <c r="R865" s="8"/>
    </row>
    <row r="866">
      <c r="G866" s="8"/>
      <c r="R866" s="8"/>
    </row>
    <row r="867">
      <c r="G867" s="8"/>
      <c r="R867" s="8"/>
    </row>
    <row r="868">
      <c r="G868" s="8"/>
      <c r="R868" s="8"/>
    </row>
    <row r="869">
      <c r="G869" s="8"/>
      <c r="R869" s="8"/>
    </row>
    <row r="870">
      <c r="G870" s="8"/>
      <c r="R870" s="8"/>
    </row>
    <row r="871">
      <c r="G871" s="8"/>
      <c r="R871" s="8"/>
    </row>
    <row r="872">
      <c r="G872" s="8"/>
      <c r="R872" s="8"/>
    </row>
    <row r="873">
      <c r="G873" s="8"/>
      <c r="R873" s="8"/>
    </row>
    <row r="874">
      <c r="G874" s="8"/>
      <c r="R874" s="8"/>
    </row>
    <row r="875">
      <c r="G875" s="8"/>
      <c r="R875" s="8"/>
    </row>
    <row r="876">
      <c r="G876" s="8"/>
      <c r="R876" s="8"/>
    </row>
    <row r="877">
      <c r="G877" s="8"/>
      <c r="R877" s="8"/>
    </row>
    <row r="878">
      <c r="G878" s="8"/>
      <c r="R878" s="8"/>
    </row>
    <row r="879">
      <c r="G879" s="8"/>
      <c r="R879" s="8"/>
    </row>
    <row r="880">
      <c r="G880" s="8"/>
      <c r="R880" s="8"/>
    </row>
    <row r="881">
      <c r="G881" s="8"/>
      <c r="R881" s="8"/>
    </row>
    <row r="882">
      <c r="G882" s="8"/>
      <c r="R882" s="8"/>
    </row>
    <row r="883">
      <c r="G883" s="8"/>
      <c r="R883" s="8"/>
    </row>
    <row r="884">
      <c r="G884" s="8"/>
      <c r="R884" s="8"/>
    </row>
    <row r="885">
      <c r="G885" s="8"/>
      <c r="R885" s="8"/>
    </row>
    <row r="886">
      <c r="G886" s="8"/>
      <c r="R886" s="8"/>
    </row>
    <row r="887">
      <c r="G887" s="8"/>
      <c r="R887" s="8"/>
    </row>
    <row r="888">
      <c r="G888" s="8"/>
      <c r="R888" s="8"/>
    </row>
    <row r="889">
      <c r="G889" s="8"/>
      <c r="R889" s="8"/>
    </row>
    <row r="890">
      <c r="G890" s="8"/>
      <c r="R890" s="8"/>
    </row>
    <row r="891">
      <c r="G891" s="8"/>
      <c r="R891" s="8"/>
    </row>
    <row r="892">
      <c r="G892" s="8"/>
      <c r="R892" s="8"/>
    </row>
    <row r="893">
      <c r="G893" s="8"/>
      <c r="R893" s="8"/>
    </row>
    <row r="894">
      <c r="G894" s="8"/>
      <c r="R894" s="8"/>
    </row>
    <row r="895">
      <c r="G895" s="8"/>
      <c r="R895" s="8"/>
    </row>
    <row r="896">
      <c r="G896" s="8"/>
      <c r="R896" s="8"/>
    </row>
    <row r="897">
      <c r="G897" s="8"/>
      <c r="R897" s="8"/>
    </row>
    <row r="898">
      <c r="G898" s="8"/>
      <c r="R898" s="8"/>
    </row>
    <row r="899">
      <c r="G899" s="8"/>
      <c r="R899" s="8"/>
    </row>
    <row r="900">
      <c r="G900" s="8"/>
      <c r="R900" s="8"/>
    </row>
    <row r="901">
      <c r="G901" s="8"/>
      <c r="R901" s="8"/>
    </row>
    <row r="902">
      <c r="G902" s="8"/>
      <c r="R902" s="8"/>
    </row>
    <row r="903">
      <c r="G903" s="8"/>
      <c r="R903" s="8"/>
    </row>
    <row r="904">
      <c r="G904" s="8"/>
      <c r="R904" s="8"/>
    </row>
    <row r="905">
      <c r="G905" s="8"/>
      <c r="R905" s="8"/>
    </row>
    <row r="906">
      <c r="G906" s="8"/>
      <c r="R906" s="8"/>
    </row>
    <row r="907">
      <c r="G907" s="8"/>
      <c r="R907" s="8"/>
    </row>
    <row r="908">
      <c r="G908" s="8"/>
      <c r="R908" s="8"/>
    </row>
    <row r="909">
      <c r="G909" s="8"/>
      <c r="R909" s="8"/>
    </row>
    <row r="910">
      <c r="G910" s="8"/>
      <c r="R910" s="8"/>
    </row>
    <row r="911">
      <c r="G911" s="8"/>
      <c r="R911" s="8"/>
    </row>
    <row r="912">
      <c r="G912" s="8"/>
      <c r="R912" s="8"/>
    </row>
    <row r="913">
      <c r="G913" s="8"/>
      <c r="R913" s="8"/>
    </row>
    <row r="914">
      <c r="G914" s="8"/>
      <c r="R914" s="8"/>
    </row>
    <row r="915">
      <c r="G915" s="8"/>
      <c r="R915" s="8"/>
    </row>
    <row r="916">
      <c r="G916" s="8"/>
      <c r="R916" s="8"/>
    </row>
    <row r="917">
      <c r="G917" s="8"/>
      <c r="R917" s="8"/>
    </row>
    <row r="918">
      <c r="G918" s="8"/>
      <c r="R918" s="8"/>
    </row>
    <row r="919">
      <c r="G919" s="8"/>
      <c r="R919" s="8"/>
    </row>
    <row r="920">
      <c r="G920" s="8"/>
      <c r="R920" s="8"/>
    </row>
    <row r="921">
      <c r="G921" s="8"/>
      <c r="R921" s="8"/>
    </row>
    <row r="922">
      <c r="G922" s="8"/>
      <c r="R922" s="8"/>
    </row>
    <row r="923">
      <c r="G923" s="8"/>
      <c r="R923" s="8"/>
    </row>
    <row r="924">
      <c r="G924" s="8"/>
      <c r="R924" s="8"/>
    </row>
    <row r="925">
      <c r="G925" s="8"/>
      <c r="R925" s="8"/>
    </row>
    <row r="926">
      <c r="G926" s="8"/>
      <c r="R926" s="8"/>
    </row>
    <row r="927">
      <c r="G927" s="8"/>
      <c r="R927" s="8"/>
    </row>
    <row r="928">
      <c r="G928" s="8"/>
      <c r="R928" s="8"/>
    </row>
    <row r="929">
      <c r="G929" s="8"/>
      <c r="R929" s="8"/>
    </row>
    <row r="930">
      <c r="G930" s="8"/>
      <c r="R930" s="8"/>
    </row>
    <row r="931">
      <c r="G931" s="8"/>
      <c r="R931" s="8"/>
    </row>
    <row r="932">
      <c r="G932" s="8"/>
      <c r="R932" s="8"/>
    </row>
    <row r="933">
      <c r="G933" s="8"/>
      <c r="R933" s="8"/>
    </row>
    <row r="934">
      <c r="G934" s="8"/>
      <c r="R934" s="8"/>
    </row>
    <row r="935">
      <c r="G935" s="8"/>
      <c r="R935" s="8"/>
    </row>
    <row r="936">
      <c r="G936" s="8"/>
      <c r="R936" s="8"/>
    </row>
    <row r="937">
      <c r="G937" s="8"/>
      <c r="R937" s="8"/>
    </row>
    <row r="938">
      <c r="G938" s="8"/>
      <c r="R938" s="8"/>
    </row>
    <row r="939">
      <c r="G939" s="8"/>
      <c r="R939" s="8"/>
    </row>
    <row r="940">
      <c r="G940" s="8"/>
      <c r="R940" s="8"/>
    </row>
    <row r="941">
      <c r="G941" s="8"/>
      <c r="R941" s="8"/>
    </row>
    <row r="942">
      <c r="G942" s="8"/>
      <c r="R942" s="8"/>
    </row>
    <row r="943">
      <c r="G943" s="8"/>
      <c r="R943" s="8"/>
    </row>
    <row r="944">
      <c r="G944" s="8"/>
      <c r="R944" s="8"/>
    </row>
    <row r="945">
      <c r="G945" s="8"/>
      <c r="R945" s="8"/>
    </row>
    <row r="946">
      <c r="G946" s="8"/>
      <c r="R946" s="8"/>
    </row>
    <row r="947">
      <c r="G947" s="8"/>
      <c r="R947" s="8"/>
    </row>
    <row r="948">
      <c r="G948" s="8"/>
      <c r="R948" s="8"/>
    </row>
    <row r="949">
      <c r="G949" s="8"/>
      <c r="R949" s="8"/>
    </row>
    <row r="950">
      <c r="G950" s="8"/>
      <c r="R950" s="8"/>
    </row>
    <row r="951">
      <c r="G951" s="8"/>
      <c r="R951" s="8"/>
    </row>
    <row r="952">
      <c r="G952" s="8"/>
      <c r="R952" s="8"/>
    </row>
    <row r="953">
      <c r="G953" s="8"/>
      <c r="R953" s="8"/>
    </row>
    <row r="954">
      <c r="G954" s="8"/>
      <c r="R954" s="8"/>
    </row>
    <row r="955">
      <c r="G955" s="8"/>
      <c r="R955" s="8"/>
    </row>
    <row r="956">
      <c r="G956" s="8"/>
      <c r="R956" s="8"/>
    </row>
    <row r="957">
      <c r="G957" s="8"/>
      <c r="R957" s="8"/>
    </row>
    <row r="958">
      <c r="G958" s="8"/>
      <c r="R958" s="8"/>
    </row>
    <row r="959">
      <c r="G959" s="8"/>
      <c r="R959" s="8"/>
    </row>
    <row r="960">
      <c r="G960" s="8"/>
      <c r="R960" s="8"/>
    </row>
    <row r="961">
      <c r="G961" s="8"/>
      <c r="R961" s="8"/>
    </row>
    <row r="962">
      <c r="G962" s="8"/>
      <c r="R962" s="8"/>
    </row>
    <row r="963">
      <c r="G963" s="8"/>
      <c r="R963" s="8"/>
    </row>
    <row r="964">
      <c r="G964" s="8"/>
      <c r="R964" s="8"/>
    </row>
    <row r="965">
      <c r="G965" s="8"/>
      <c r="R965" s="8"/>
    </row>
    <row r="966">
      <c r="G966" s="8"/>
      <c r="R966" s="8"/>
    </row>
    <row r="967">
      <c r="G967" s="8"/>
      <c r="R967" s="8"/>
    </row>
    <row r="968">
      <c r="G968" s="8"/>
      <c r="R968" s="8"/>
    </row>
    <row r="969">
      <c r="G969" s="8"/>
      <c r="R969" s="8"/>
    </row>
    <row r="970">
      <c r="G970" s="8"/>
      <c r="R970" s="8"/>
    </row>
    <row r="971">
      <c r="G971" s="8"/>
      <c r="R971" s="8"/>
    </row>
    <row r="972">
      <c r="G972" s="8"/>
      <c r="R972" s="8"/>
    </row>
    <row r="973">
      <c r="G973" s="8"/>
      <c r="R973" s="8"/>
    </row>
    <row r="974">
      <c r="G974" s="8"/>
      <c r="R974" s="8"/>
    </row>
    <row r="975">
      <c r="G975" s="8"/>
      <c r="R975" s="8"/>
    </row>
    <row r="976">
      <c r="G976" s="8"/>
      <c r="R976" s="8"/>
    </row>
    <row r="977">
      <c r="G977" s="8"/>
      <c r="R977" s="8"/>
    </row>
    <row r="978">
      <c r="G978" s="8"/>
      <c r="R978" s="8"/>
    </row>
    <row r="979">
      <c r="G979" s="8"/>
      <c r="R979" s="8"/>
    </row>
    <row r="980">
      <c r="G980" s="8"/>
      <c r="R980" s="8"/>
    </row>
    <row r="981">
      <c r="G981" s="8"/>
      <c r="R981" s="8"/>
    </row>
    <row r="982">
      <c r="G982" s="8"/>
      <c r="R982" s="8"/>
    </row>
    <row r="983">
      <c r="G983" s="8"/>
      <c r="R983" s="8"/>
    </row>
    <row r="984">
      <c r="G984" s="8"/>
      <c r="R984" s="8"/>
    </row>
    <row r="985">
      <c r="G985" s="8"/>
      <c r="R985" s="8"/>
    </row>
    <row r="986">
      <c r="G986" s="8"/>
      <c r="R986" s="8"/>
    </row>
    <row r="987">
      <c r="G987" s="8"/>
      <c r="R987" s="8"/>
    </row>
    <row r="988">
      <c r="G988" s="8"/>
      <c r="R988" s="8"/>
    </row>
    <row r="989">
      <c r="G989" s="8"/>
      <c r="R989" s="8"/>
    </row>
    <row r="990">
      <c r="G990" s="8"/>
      <c r="R990" s="8"/>
    </row>
    <row r="991">
      <c r="G991" s="8"/>
      <c r="R991" s="8"/>
    </row>
    <row r="992">
      <c r="G992" s="8"/>
      <c r="R992" s="8"/>
    </row>
    <row r="993">
      <c r="G993" s="8"/>
      <c r="R993" s="8"/>
    </row>
    <row r="994">
      <c r="G994" s="8"/>
      <c r="R994" s="8"/>
    </row>
    <row r="995">
      <c r="G995" s="8"/>
      <c r="R995" s="8"/>
    </row>
    <row r="996">
      <c r="G996" s="8"/>
      <c r="R996" s="8"/>
    </row>
    <row r="997">
      <c r="G997" s="8"/>
      <c r="R997" s="8"/>
    </row>
    <row r="998">
      <c r="G998" s="8"/>
      <c r="R998" s="8"/>
    </row>
    <row r="999">
      <c r="G999" s="8"/>
      <c r="R999" s="8"/>
    </row>
  </sheetData>
  <mergeCells count="3">
    <mergeCell ref="A1:U2"/>
    <mergeCell ref="A3:N4"/>
    <mergeCell ref="P3:U4"/>
  </mergeCells>
  <dataValidations>
    <dataValidation type="list" allowBlank="1" showErrorMessage="1" sqref="G6:G999 R6:R999">
      <formula1>'Grondstof soorten'!$A$7:$A$999</formula1>
    </dataValidation>
    <dataValidation type="list" allowBlank="1" showErrorMessage="1" sqref="M6:M283">
      <formula1>Uitleg!$C$2:$C$5</formula1>
    </dataValidation>
    <dataValidation type="list" allowBlank="1" showErrorMessage="1" sqref="L6:L283">
      <formula1>Uitleg!$B$2:$B$7</formula1>
    </dataValidation>
    <dataValidation type="list" allowBlank="1" showErrorMessage="1" sqref="C6:C283">
      <formula1>Uitleg!$A$2:$A$3</formula1>
    </dataValidation>
    <dataValidation type="list" allowBlank="1" showErrorMessage="1" sqref="E79:E122">
      <formula1>Leveranciers!$A$4:$A$999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3.5"/>
  </cols>
  <sheetData>
    <row r="1">
      <c r="A1" s="1" t="s">
        <v>11</v>
      </c>
    </row>
    <row r="3">
      <c r="A3" s="20" t="s">
        <v>102</v>
      </c>
      <c r="P3" s="21" t="s">
        <v>103</v>
      </c>
    </row>
    <row r="5">
      <c r="A5" s="22" t="s">
        <v>104</v>
      </c>
      <c r="B5" s="22" t="s">
        <v>105</v>
      </c>
      <c r="C5" s="22" t="s">
        <v>106</v>
      </c>
      <c r="D5" s="22" t="s">
        <v>107</v>
      </c>
      <c r="E5" s="22" t="s">
        <v>108</v>
      </c>
      <c r="F5" s="22" t="s">
        <v>109</v>
      </c>
      <c r="G5" s="22" t="s">
        <v>110</v>
      </c>
      <c r="H5" s="22" t="s">
        <v>111</v>
      </c>
      <c r="I5" s="22" t="s">
        <v>112</v>
      </c>
      <c r="J5" s="22" t="s">
        <v>113</v>
      </c>
      <c r="K5" s="22" t="s">
        <v>114</v>
      </c>
      <c r="L5" s="22" t="s">
        <v>115</v>
      </c>
      <c r="M5" s="22" t="s">
        <v>116</v>
      </c>
      <c r="N5" s="22" t="s">
        <v>117</v>
      </c>
      <c r="P5" s="23" t="s">
        <v>118</v>
      </c>
      <c r="Q5" s="23" t="s">
        <v>107</v>
      </c>
      <c r="R5" s="23" t="s">
        <v>110</v>
      </c>
      <c r="S5" s="23" t="s">
        <v>113</v>
      </c>
      <c r="T5" s="23" t="s">
        <v>114</v>
      </c>
      <c r="U5" s="23" t="s">
        <v>111</v>
      </c>
    </row>
    <row r="6">
      <c r="B6" s="2" t="s">
        <v>129</v>
      </c>
      <c r="C6" s="2" t="s">
        <v>130</v>
      </c>
      <c r="D6" s="24">
        <v>45013.0</v>
      </c>
      <c r="E6" s="2" t="s">
        <v>131</v>
      </c>
      <c r="F6" s="2" t="s">
        <v>221</v>
      </c>
      <c r="G6" s="2" t="s">
        <v>222</v>
      </c>
      <c r="H6" s="2" t="s">
        <v>223</v>
      </c>
      <c r="I6" s="27">
        <v>45689.0</v>
      </c>
      <c r="J6" s="2">
        <v>0.055</v>
      </c>
      <c r="K6" s="17">
        <f>17.88*1.06</f>
        <v>18.9528</v>
      </c>
      <c r="L6" s="8"/>
      <c r="M6" s="8"/>
      <c r="P6" s="2" t="s">
        <v>65</v>
      </c>
      <c r="Q6" s="24">
        <v>45015.0</v>
      </c>
      <c r="R6" s="2" t="s">
        <v>222</v>
      </c>
      <c r="S6" s="2">
        <v>0.055</v>
      </c>
      <c r="T6" s="26">
        <f t="shared" ref="T6:T40" si="1">IF(ISBLANK(U6),"",VLOOKUP($U6,$H$6:$K$2000,4,FALSE)/VLOOKUP(U6,$H$6:$K$2000,3,FALSE)*$S6)</f>
        <v>18.9528</v>
      </c>
      <c r="U6" s="2" t="s">
        <v>223</v>
      </c>
    </row>
    <row r="7">
      <c r="B7" s="2" t="s">
        <v>129</v>
      </c>
      <c r="C7" s="2" t="s">
        <v>130</v>
      </c>
      <c r="D7" s="24">
        <v>45013.0</v>
      </c>
      <c r="E7" s="2" t="s">
        <v>131</v>
      </c>
      <c r="F7" s="2" t="s">
        <v>224</v>
      </c>
      <c r="G7" s="2" t="s">
        <v>225</v>
      </c>
      <c r="H7" s="2">
        <v>2.203741590926E12</v>
      </c>
      <c r="I7" s="27">
        <v>45809.0</v>
      </c>
      <c r="J7" s="2">
        <v>0.1</v>
      </c>
      <c r="K7" s="17">
        <f>78.65*1.06</f>
        <v>83.369</v>
      </c>
      <c r="L7" s="8"/>
      <c r="M7" s="8"/>
      <c r="P7" s="2" t="s">
        <v>64</v>
      </c>
      <c r="Q7" s="24">
        <v>45015.0</v>
      </c>
      <c r="R7" s="2" t="s">
        <v>225</v>
      </c>
      <c r="S7" s="2">
        <v>0.025</v>
      </c>
      <c r="T7" s="26">
        <f t="shared" si="1"/>
        <v>20.84225</v>
      </c>
      <c r="U7" s="2">
        <v>2.203741590926E12</v>
      </c>
    </row>
    <row r="8">
      <c r="B8" s="2" t="s">
        <v>161</v>
      </c>
      <c r="C8" s="2" t="s">
        <v>130</v>
      </c>
      <c r="D8" s="24">
        <v>45017.0</v>
      </c>
      <c r="E8" s="2" t="s">
        <v>226</v>
      </c>
      <c r="F8" s="2" t="s">
        <v>224</v>
      </c>
      <c r="G8" s="2" t="s">
        <v>227</v>
      </c>
      <c r="H8" s="2" t="s">
        <v>228</v>
      </c>
      <c r="I8" s="27">
        <v>45261.0</v>
      </c>
      <c r="J8" s="2">
        <v>0.2</v>
      </c>
      <c r="K8" s="17">
        <v>0.0</v>
      </c>
      <c r="L8" s="8"/>
      <c r="M8" s="8"/>
      <c r="P8" s="2" t="s">
        <v>64</v>
      </c>
      <c r="Q8" s="24">
        <v>45018.0</v>
      </c>
      <c r="R8" s="2" t="s">
        <v>227</v>
      </c>
      <c r="S8" s="2">
        <v>0.2</v>
      </c>
      <c r="T8" s="26">
        <f t="shared" si="1"/>
        <v>0</v>
      </c>
      <c r="U8" s="2" t="s">
        <v>228</v>
      </c>
    </row>
    <row r="9">
      <c r="B9" s="2" t="s">
        <v>229</v>
      </c>
      <c r="C9" s="2" t="s">
        <v>130</v>
      </c>
      <c r="D9" s="24">
        <v>45076.0</v>
      </c>
      <c r="E9" s="2" t="s">
        <v>131</v>
      </c>
      <c r="F9" s="2" t="s">
        <v>224</v>
      </c>
      <c r="G9" s="2" t="s">
        <v>230</v>
      </c>
      <c r="H9" s="2">
        <v>262381.0</v>
      </c>
      <c r="I9" s="2" t="s">
        <v>231</v>
      </c>
      <c r="J9" s="2">
        <v>0.5</v>
      </c>
      <c r="K9" s="17">
        <f>1.06*68.06</f>
        <v>72.1436</v>
      </c>
      <c r="L9" s="8"/>
      <c r="M9" s="8"/>
      <c r="P9" s="2" t="s">
        <v>67</v>
      </c>
      <c r="Q9" s="24">
        <v>45086.0</v>
      </c>
      <c r="R9" s="2" t="s">
        <v>230</v>
      </c>
      <c r="S9" s="2">
        <v>0.25</v>
      </c>
      <c r="T9" s="26">
        <f t="shared" si="1"/>
        <v>36.0718</v>
      </c>
      <c r="U9" s="2">
        <v>262381.0</v>
      </c>
    </row>
    <row r="10">
      <c r="B10" s="2" t="s">
        <v>232</v>
      </c>
      <c r="C10" s="2" t="s">
        <v>130</v>
      </c>
      <c r="D10" s="24">
        <v>45111.0</v>
      </c>
      <c r="E10" s="2" t="s">
        <v>233</v>
      </c>
      <c r="F10" s="2" t="s">
        <v>224</v>
      </c>
      <c r="G10" s="2" t="s">
        <v>234</v>
      </c>
      <c r="H10" s="2">
        <v>2200597.0</v>
      </c>
      <c r="I10" s="27">
        <v>45778.0</v>
      </c>
      <c r="J10" s="2">
        <v>0.5</v>
      </c>
      <c r="K10" s="17">
        <f>1.06*62</f>
        <v>65.72</v>
      </c>
      <c r="L10" s="8"/>
      <c r="M10" s="8"/>
      <c r="P10" s="2" t="s">
        <v>67</v>
      </c>
      <c r="Q10" s="24">
        <v>45085.0</v>
      </c>
      <c r="R10" s="2" t="s">
        <v>225</v>
      </c>
      <c r="S10" s="2">
        <v>0.025</v>
      </c>
      <c r="T10" s="26">
        <f t="shared" si="1"/>
        <v>20.84225</v>
      </c>
      <c r="U10" s="2">
        <v>2.203741590926E12</v>
      </c>
    </row>
    <row r="11">
      <c r="C11" s="2" t="s">
        <v>130</v>
      </c>
      <c r="D11" s="24">
        <v>45337.0</v>
      </c>
      <c r="E11" s="2" t="s">
        <v>131</v>
      </c>
      <c r="F11" s="2" t="s">
        <v>224</v>
      </c>
      <c r="G11" s="2" t="s">
        <v>225</v>
      </c>
      <c r="H11" s="2">
        <v>2.203741590926E12</v>
      </c>
      <c r="I11" s="27">
        <v>45809.0</v>
      </c>
      <c r="J11" s="2">
        <v>0.1</v>
      </c>
      <c r="K11" s="17">
        <f>78.65*1.06</f>
        <v>83.369</v>
      </c>
      <c r="L11" s="8"/>
      <c r="M11" s="8"/>
      <c r="P11" s="2" t="s">
        <v>68</v>
      </c>
      <c r="Q11" s="24">
        <v>45114.0</v>
      </c>
      <c r="R11" s="2" t="s">
        <v>234</v>
      </c>
      <c r="S11" s="2">
        <v>0.25</v>
      </c>
      <c r="T11" s="26">
        <f t="shared" si="1"/>
        <v>32.86</v>
      </c>
      <c r="U11" s="2">
        <v>2200597.0</v>
      </c>
    </row>
    <row r="12">
      <c r="C12" s="2" t="s">
        <v>130</v>
      </c>
      <c r="D12" s="24">
        <v>45295.0</v>
      </c>
      <c r="E12" s="2" t="s">
        <v>235</v>
      </c>
      <c r="F12" s="2" t="s">
        <v>224</v>
      </c>
      <c r="G12" s="2" t="s">
        <v>236</v>
      </c>
      <c r="H12" s="2" t="s">
        <v>237</v>
      </c>
      <c r="I12" s="27">
        <v>45809.0</v>
      </c>
      <c r="J12" s="2">
        <v>0.4</v>
      </c>
      <c r="K12" s="17">
        <v>0.0</v>
      </c>
      <c r="L12" s="8"/>
      <c r="M12" s="8"/>
      <c r="N12" s="2" t="s">
        <v>238</v>
      </c>
      <c r="P12" s="2" t="s">
        <v>69</v>
      </c>
      <c r="Q12" s="24">
        <v>45141.0</v>
      </c>
      <c r="R12" s="2" t="s">
        <v>230</v>
      </c>
      <c r="S12" s="2">
        <v>0.25</v>
      </c>
      <c r="T12" s="26">
        <f t="shared" si="1"/>
        <v>36.0718</v>
      </c>
      <c r="U12" s="2">
        <v>262381.0</v>
      </c>
    </row>
    <row r="13">
      <c r="C13" s="2" t="s">
        <v>130</v>
      </c>
      <c r="D13" s="24">
        <v>45295.0</v>
      </c>
      <c r="E13" s="2" t="s">
        <v>235</v>
      </c>
      <c r="F13" s="2" t="s">
        <v>224</v>
      </c>
      <c r="G13" s="2" t="s">
        <v>239</v>
      </c>
      <c r="H13" s="2" t="s">
        <v>240</v>
      </c>
      <c r="I13" s="27">
        <v>45809.0</v>
      </c>
      <c r="J13" s="2">
        <v>0.2</v>
      </c>
      <c r="K13" s="17">
        <v>0.0</v>
      </c>
      <c r="L13" s="8"/>
      <c r="M13" s="8"/>
      <c r="N13" s="2" t="s">
        <v>238</v>
      </c>
      <c r="P13" s="2" t="s">
        <v>72</v>
      </c>
      <c r="Q13" s="24">
        <v>45231.0</v>
      </c>
      <c r="R13" s="2" t="s">
        <v>225</v>
      </c>
      <c r="S13" s="2">
        <v>0.025</v>
      </c>
      <c r="T13" s="26">
        <f t="shared" si="1"/>
        <v>20.84225</v>
      </c>
      <c r="U13" s="2">
        <v>2.203741590926E12</v>
      </c>
    </row>
    <row r="14">
      <c r="C14" s="2" t="s">
        <v>130</v>
      </c>
      <c r="D14" s="24">
        <v>45420.0</v>
      </c>
      <c r="E14" s="2" t="s">
        <v>235</v>
      </c>
      <c r="F14" s="2" t="s">
        <v>224</v>
      </c>
      <c r="G14" s="2" t="s">
        <v>227</v>
      </c>
      <c r="H14" s="2" t="s">
        <v>241</v>
      </c>
      <c r="I14" s="27">
        <v>46081.0</v>
      </c>
      <c r="J14" s="2">
        <v>0.5</v>
      </c>
      <c r="K14" s="18">
        <f>44*1.06</f>
        <v>46.64</v>
      </c>
      <c r="L14" s="8"/>
      <c r="M14" s="8"/>
      <c r="P14" s="2" t="s">
        <v>74</v>
      </c>
      <c r="Q14" s="24">
        <v>45259.0</v>
      </c>
      <c r="R14" s="2" t="s">
        <v>234</v>
      </c>
      <c r="S14" s="2">
        <v>0.25</v>
      </c>
      <c r="T14" s="26">
        <f t="shared" si="1"/>
        <v>32.86</v>
      </c>
      <c r="U14" s="2">
        <v>2200597.0</v>
      </c>
    </row>
    <row r="15">
      <c r="C15" s="2" t="s">
        <v>130</v>
      </c>
      <c r="D15" s="24">
        <v>45420.0</v>
      </c>
      <c r="E15" s="2" t="s">
        <v>235</v>
      </c>
      <c r="F15" s="2" t="s">
        <v>221</v>
      </c>
      <c r="G15" s="2" t="s">
        <v>242</v>
      </c>
      <c r="H15" s="2" t="s">
        <v>243</v>
      </c>
      <c r="I15" s="29">
        <v>45900.0</v>
      </c>
      <c r="J15" s="2">
        <v>0.5</v>
      </c>
      <c r="K15" s="18">
        <f>87*1.06</f>
        <v>92.22</v>
      </c>
      <c r="L15" s="8"/>
      <c r="M15" s="8"/>
      <c r="P15" s="2" t="s">
        <v>76</v>
      </c>
      <c r="Q15" s="24">
        <v>45315.0</v>
      </c>
      <c r="R15" s="2" t="s">
        <v>225</v>
      </c>
      <c r="S15" s="2">
        <v>0.025</v>
      </c>
      <c r="T15" s="26">
        <f t="shared" si="1"/>
        <v>20.84225</v>
      </c>
      <c r="U15" s="2">
        <v>2.203741590926E12</v>
      </c>
    </row>
    <row r="16">
      <c r="C16" s="2" t="s">
        <v>130</v>
      </c>
      <c r="D16" s="24">
        <v>45483.0</v>
      </c>
      <c r="E16" s="2" t="s">
        <v>183</v>
      </c>
      <c r="F16" s="28"/>
      <c r="G16" s="2" t="s">
        <v>244</v>
      </c>
      <c r="H16" s="2">
        <v>46256.0</v>
      </c>
      <c r="I16" s="27">
        <v>45627.0</v>
      </c>
      <c r="J16" s="2">
        <v>0.003</v>
      </c>
      <c r="K16" s="17">
        <v>26.23</v>
      </c>
      <c r="L16" s="8"/>
      <c r="M16" s="8"/>
      <c r="P16" s="2" t="s">
        <v>78</v>
      </c>
      <c r="Q16" s="24">
        <v>45378.0</v>
      </c>
      <c r="R16" s="2" t="s">
        <v>225</v>
      </c>
      <c r="S16" s="2">
        <v>0.025</v>
      </c>
      <c r="T16" s="26">
        <f t="shared" si="1"/>
        <v>20.84225</v>
      </c>
      <c r="U16" s="2">
        <v>2.203741590926E12</v>
      </c>
    </row>
    <row r="17">
      <c r="C17" s="8"/>
      <c r="D17" s="24">
        <v>45609.0</v>
      </c>
      <c r="E17" s="2" t="s">
        <v>131</v>
      </c>
      <c r="F17" s="2" t="s">
        <v>224</v>
      </c>
      <c r="G17" s="2" t="s">
        <v>239</v>
      </c>
      <c r="H17" s="2" t="s">
        <v>245</v>
      </c>
      <c r="I17" s="29">
        <v>46266.0</v>
      </c>
      <c r="J17" s="2">
        <v>0.5</v>
      </c>
      <c r="K17" s="18">
        <f>51.9*1.21</f>
        <v>62.799</v>
      </c>
      <c r="L17" s="8"/>
      <c r="M17" s="8"/>
      <c r="P17" s="2" t="s">
        <v>78</v>
      </c>
      <c r="Q17" s="24">
        <v>45380.0</v>
      </c>
      <c r="R17" s="2" t="s">
        <v>236</v>
      </c>
      <c r="S17" s="2">
        <v>0.2</v>
      </c>
      <c r="T17" s="26">
        <f t="shared" si="1"/>
        <v>0</v>
      </c>
      <c r="U17" s="2" t="s">
        <v>237</v>
      </c>
    </row>
    <row r="18">
      <c r="C18" s="28"/>
      <c r="D18" s="24">
        <v>45609.0</v>
      </c>
      <c r="E18" s="2" t="s">
        <v>131</v>
      </c>
      <c r="F18" s="2" t="s">
        <v>224</v>
      </c>
      <c r="G18" s="2" t="s">
        <v>225</v>
      </c>
      <c r="H18" s="2" t="s">
        <v>246</v>
      </c>
      <c r="I18" s="30">
        <v>45962.0</v>
      </c>
      <c r="J18" s="2">
        <v>0.1</v>
      </c>
      <c r="K18" s="17">
        <f>74.77*1.21</f>
        <v>90.4717</v>
      </c>
      <c r="L18" s="8"/>
      <c r="M18" s="8"/>
      <c r="P18" s="2" t="s">
        <v>79</v>
      </c>
      <c r="Q18" s="24">
        <v>45399.0</v>
      </c>
      <c r="R18" s="2" t="s">
        <v>225</v>
      </c>
      <c r="S18" s="2">
        <v>0.025</v>
      </c>
      <c r="T18" s="26">
        <f t="shared" si="1"/>
        <v>20.84225</v>
      </c>
      <c r="U18" s="2">
        <v>2.203741590926E12</v>
      </c>
    </row>
    <row r="19">
      <c r="C19" s="28"/>
      <c r="D19" s="24">
        <v>45624.0</v>
      </c>
      <c r="E19" s="2" t="s">
        <v>131</v>
      </c>
      <c r="F19" s="2" t="s">
        <v>224</v>
      </c>
      <c r="G19" s="2" t="s">
        <v>247</v>
      </c>
      <c r="H19" s="2" t="s">
        <v>248</v>
      </c>
      <c r="I19" s="25">
        <v>45839.0</v>
      </c>
      <c r="J19" s="2">
        <v>0.5</v>
      </c>
      <c r="K19" s="17">
        <v>71.55</v>
      </c>
      <c r="L19" s="8"/>
      <c r="M19" s="8"/>
      <c r="P19" s="2" t="s">
        <v>79</v>
      </c>
      <c r="Q19" s="24">
        <v>45401.0</v>
      </c>
      <c r="R19" s="2" t="s">
        <v>239</v>
      </c>
      <c r="S19" s="2">
        <v>0.2</v>
      </c>
      <c r="T19" s="26">
        <f t="shared" si="1"/>
        <v>0</v>
      </c>
      <c r="U19" s="2" t="s">
        <v>240</v>
      </c>
    </row>
    <row r="20">
      <c r="C20" s="28"/>
      <c r="D20" s="24">
        <v>45681.0</v>
      </c>
      <c r="E20" s="2" t="s">
        <v>249</v>
      </c>
      <c r="F20" s="2" t="s">
        <v>224</v>
      </c>
      <c r="G20" s="2" t="s">
        <v>236</v>
      </c>
      <c r="H20" s="2" t="s">
        <v>250</v>
      </c>
      <c r="I20" s="29">
        <v>46111.0</v>
      </c>
      <c r="J20" s="2">
        <v>0.5</v>
      </c>
      <c r="K20" s="17">
        <v>45.0</v>
      </c>
      <c r="L20" s="8"/>
      <c r="M20" s="8"/>
      <c r="P20" s="2" t="s">
        <v>80</v>
      </c>
      <c r="Q20" s="24">
        <v>45427.0</v>
      </c>
      <c r="R20" s="2" t="s">
        <v>225</v>
      </c>
      <c r="S20" s="2">
        <v>0.025</v>
      </c>
      <c r="T20" s="26">
        <f t="shared" si="1"/>
        <v>20.84225</v>
      </c>
      <c r="U20" s="2">
        <v>2.203741590926E12</v>
      </c>
    </row>
    <row r="21">
      <c r="C21" s="28"/>
      <c r="D21" s="24">
        <v>45582.0</v>
      </c>
      <c r="E21" s="2" t="s">
        <v>131</v>
      </c>
      <c r="F21" s="2" t="s">
        <v>251</v>
      </c>
      <c r="G21" s="2" t="s">
        <v>252</v>
      </c>
      <c r="H21" s="2" t="s">
        <v>253</v>
      </c>
      <c r="I21" s="29">
        <v>46537.0</v>
      </c>
      <c r="J21" s="2">
        <v>0.25</v>
      </c>
      <c r="K21" s="17">
        <v>36.5</v>
      </c>
      <c r="L21" s="8"/>
      <c r="M21" s="8"/>
      <c r="P21" s="2" t="s">
        <v>80</v>
      </c>
      <c r="Q21" s="24">
        <v>45427.0</v>
      </c>
      <c r="R21" s="2" t="s">
        <v>242</v>
      </c>
      <c r="S21" s="2">
        <v>0.125</v>
      </c>
      <c r="T21" s="26">
        <f t="shared" si="1"/>
        <v>23.055</v>
      </c>
      <c r="U21" s="2" t="s">
        <v>243</v>
      </c>
    </row>
    <row r="22">
      <c r="C22" s="28"/>
      <c r="D22" s="24">
        <v>45867.0</v>
      </c>
      <c r="E22" s="2" t="s">
        <v>42</v>
      </c>
      <c r="F22" s="2" t="s">
        <v>224</v>
      </c>
      <c r="G22" s="2" t="s">
        <v>227</v>
      </c>
      <c r="H22" s="2" t="s">
        <v>254</v>
      </c>
      <c r="I22" s="25">
        <v>46508.0</v>
      </c>
      <c r="J22" s="2">
        <v>0.5</v>
      </c>
      <c r="K22" s="17">
        <v>50.0</v>
      </c>
      <c r="L22" s="8"/>
      <c r="M22" s="8"/>
      <c r="P22" s="2" t="s">
        <v>81</v>
      </c>
      <c r="Q22" s="24">
        <v>45461.0</v>
      </c>
      <c r="R22" s="2" t="s">
        <v>242</v>
      </c>
      <c r="S22" s="2">
        <v>0.125</v>
      </c>
      <c r="T22" s="26">
        <f t="shared" si="1"/>
        <v>23.055</v>
      </c>
      <c r="U22" s="2" t="s">
        <v>243</v>
      </c>
    </row>
    <row r="23">
      <c r="C23" s="28"/>
      <c r="D23" s="24">
        <v>45995.0</v>
      </c>
      <c r="E23" s="2" t="s">
        <v>30</v>
      </c>
      <c r="F23" s="2" t="s">
        <v>255</v>
      </c>
      <c r="G23" s="2" t="s">
        <v>256</v>
      </c>
      <c r="H23" s="2" t="s">
        <v>257</v>
      </c>
      <c r="I23" s="35">
        <v>46204.0</v>
      </c>
      <c r="J23" s="2">
        <v>0.5</v>
      </c>
      <c r="K23" s="17">
        <v>65.0</v>
      </c>
      <c r="L23" s="8"/>
      <c r="M23" s="8"/>
      <c r="P23" s="2" t="s">
        <v>82</v>
      </c>
      <c r="Q23" s="24">
        <v>45483.0</v>
      </c>
      <c r="R23" s="2" t="s">
        <v>244</v>
      </c>
      <c r="S23" s="2">
        <v>0.003</v>
      </c>
      <c r="T23" s="26">
        <f t="shared" si="1"/>
        <v>26.23</v>
      </c>
      <c r="U23" s="2">
        <v>46256.0</v>
      </c>
    </row>
    <row r="24">
      <c r="C24" s="28"/>
      <c r="D24" s="24">
        <v>45674.0</v>
      </c>
      <c r="E24" s="2" t="s">
        <v>42</v>
      </c>
      <c r="F24" s="2" t="s">
        <v>224</v>
      </c>
      <c r="G24" s="2" t="s">
        <v>247</v>
      </c>
      <c r="H24" s="2" t="s">
        <v>258</v>
      </c>
      <c r="I24" s="29">
        <v>46104.0</v>
      </c>
      <c r="J24" s="2">
        <v>0.5</v>
      </c>
      <c r="K24" s="17">
        <v>64.0</v>
      </c>
      <c r="L24" s="8"/>
      <c r="M24" s="8"/>
      <c r="P24" s="2" t="s">
        <v>83</v>
      </c>
      <c r="Q24" s="24">
        <v>45553.0</v>
      </c>
      <c r="R24" s="2" t="s">
        <v>225</v>
      </c>
      <c r="S24" s="2">
        <v>0.025</v>
      </c>
      <c r="T24" s="26">
        <f t="shared" si="1"/>
        <v>20.84225</v>
      </c>
      <c r="U24" s="2">
        <v>2.203741590926E12</v>
      </c>
    </row>
    <row r="25">
      <c r="C25" s="28"/>
      <c r="D25" s="28"/>
      <c r="E25" s="8"/>
      <c r="F25" s="28"/>
      <c r="G25" s="2"/>
      <c r="H25" s="28"/>
      <c r="K25" s="18"/>
      <c r="L25" s="8"/>
      <c r="M25" s="8"/>
      <c r="P25" s="2" t="s">
        <v>83</v>
      </c>
      <c r="Q25" s="24">
        <v>45555.0</v>
      </c>
      <c r="R25" s="2" t="s">
        <v>227</v>
      </c>
      <c r="S25" s="2">
        <v>0.125</v>
      </c>
      <c r="T25" s="26">
        <f t="shared" si="1"/>
        <v>11.66</v>
      </c>
      <c r="U25" s="2" t="s">
        <v>241</v>
      </c>
    </row>
    <row r="26">
      <c r="C26" s="28"/>
      <c r="D26" s="28"/>
      <c r="E26" s="8"/>
      <c r="F26" s="28"/>
      <c r="G26" s="2"/>
      <c r="H26" s="28"/>
      <c r="K26" s="18"/>
      <c r="L26" s="8"/>
      <c r="M26" s="8"/>
      <c r="P26" s="2" t="s">
        <v>84</v>
      </c>
      <c r="Q26" s="24">
        <v>45609.0</v>
      </c>
      <c r="R26" s="2" t="s">
        <v>225</v>
      </c>
      <c r="S26" s="2">
        <v>0.013</v>
      </c>
      <c r="T26" s="26">
        <f t="shared" si="1"/>
        <v>11.761321</v>
      </c>
      <c r="U26" s="2" t="s">
        <v>246</v>
      </c>
    </row>
    <row r="27">
      <c r="C27" s="28"/>
      <c r="D27" s="28"/>
      <c r="E27" s="8"/>
      <c r="F27" s="28"/>
      <c r="G27" s="2"/>
      <c r="H27" s="28"/>
      <c r="K27" s="18"/>
      <c r="L27" s="8"/>
      <c r="M27" s="8"/>
      <c r="P27" s="2" t="s">
        <v>84</v>
      </c>
      <c r="Q27" s="24">
        <v>45609.0</v>
      </c>
      <c r="R27" s="2" t="s">
        <v>239</v>
      </c>
      <c r="S27" s="2">
        <v>0.125</v>
      </c>
      <c r="T27" s="26">
        <f t="shared" si="1"/>
        <v>15.69975</v>
      </c>
      <c r="U27" s="2" t="s">
        <v>245</v>
      </c>
    </row>
    <row r="28">
      <c r="C28" s="28"/>
      <c r="D28" s="28"/>
      <c r="E28" s="8"/>
      <c r="F28" s="28"/>
      <c r="G28" s="2"/>
      <c r="H28" s="28"/>
      <c r="K28" s="18"/>
      <c r="L28" s="8"/>
      <c r="M28" s="8"/>
      <c r="P28" s="2" t="s">
        <v>86</v>
      </c>
      <c r="Q28" s="24">
        <v>45653.0</v>
      </c>
      <c r="R28" s="2" t="s">
        <v>236</v>
      </c>
      <c r="S28" s="2">
        <v>0.2</v>
      </c>
      <c r="T28" s="26">
        <f t="shared" si="1"/>
        <v>0</v>
      </c>
      <c r="U28" s="2" t="s">
        <v>237</v>
      </c>
    </row>
    <row r="29">
      <c r="C29" s="28"/>
      <c r="D29" s="28"/>
      <c r="E29" s="8"/>
      <c r="F29" s="28"/>
      <c r="G29" s="2"/>
      <c r="H29" s="28"/>
      <c r="K29" s="18"/>
      <c r="L29" s="8"/>
      <c r="M29" s="8"/>
      <c r="P29" s="2" t="s">
        <v>86</v>
      </c>
      <c r="Q29" s="24">
        <v>45653.0</v>
      </c>
      <c r="R29" s="2" t="s">
        <v>225</v>
      </c>
      <c r="S29" s="2">
        <v>0.013</v>
      </c>
      <c r="T29" s="26">
        <f t="shared" si="1"/>
        <v>10.83797</v>
      </c>
      <c r="U29" s="2">
        <v>2.203741590926E12</v>
      </c>
    </row>
    <row r="30">
      <c r="C30" s="28"/>
      <c r="D30" s="28"/>
      <c r="E30" s="8"/>
      <c r="F30" s="28"/>
      <c r="G30" s="2"/>
      <c r="H30" s="28"/>
      <c r="K30" s="18"/>
      <c r="L30" s="8"/>
      <c r="M30" s="8"/>
      <c r="P30" s="2" t="s">
        <v>88</v>
      </c>
      <c r="Q30" s="24">
        <v>45679.0</v>
      </c>
      <c r="R30" s="2" t="s">
        <v>247</v>
      </c>
      <c r="S30" s="2">
        <v>0.125</v>
      </c>
      <c r="T30" s="26">
        <f t="shared" si="1"/>
        <v>17.8875</v>
      </c>
      <c r="U30" s="2" t="s">
        <v>248</v>
      </c>
    </row>
    <row r="31">
      <c r="C31" s="28"/>
      <c r="D31" s="28"/>
      <c r="E31" s="8"/>
      <c r="F31" s="28"/>
      <c r="G31" s="2"/>
      <c r="H31" s="28"/>
      <c r="K31" s="18"/>
      <c r="L31" s="8"/>
      <c r="M31" s="8"/>
      <c r="P31" s="2" t="s">
        <v>85</v>
      </c>
      <c r="Q31" s="24">
        <v>45630.0</v>
      </c>
      <c r="R31" s="2" t="s">
        <v>247</v>
      </c>
      <c r="S31" s="2">
        <v>0.125</v>
      </c>
      <c r="T31" s="26">
        <f t="shared" si="1"/>
        <v>17.8875</v>
      </c>
      <c r="U31" s="2" t="s">
        <v>248</v>
      </c>
    </row>
    <row r="32">
      <c r="C32" s="28"/>
      <c r="D32" s="28"/>
      <c r="E32" s="8"/>
      <c r="F32" s="28"/>
      <c r="G32" s="2"/>
      <c r="H32" s="28"/>
      <c r="K32" s="18"/>
      <c r="L32" s="8"/>
      <c r="M32" s="8"/>
      <c r="P32" s="2" t="s">
        <v>88</v>
      </c>
      <c r="Q32" s="24">
        <v>45707.0</v>
      </c>
      <c r="R32" s="2" t="s">
        <v>252</v>
      </c>
      <c r="S32" s="2">
        <v>0.25</v>
      </c>
      <c r="T32" s="26">
        <f t="shared" si="1"/>
        <v>36.5</v>
      </c>
      <c r="U32" s="2" t="s">
        <v>253</v>
      </c>
    </row>
    <row r="33">
      <c r="C33" s="8"/>
      <c r="E33" s="8"/>
      <c r="G33" s="2"/>
      <c r="K33" s="18"/>
      <c r="L33" s="8"/>
      <c r="M33" s="8"/>
      <c r="P33" s="2" t="s">
        <v>89</v>
      </c>
      <c r="Q33" s="24">
        <v>45714.0</v>
      </c>
      <c r="R33" s="2" t="s">
        <v>242</v>
      </c>
      <c r="S33" s="2">
        <v>0.125</v>
      </c>
      <c r="T33" s="26">
        <f t="shared" si="1"/>
        <v>23.055</v>
      </c>
      <c r="U33" s="2" t="s">
        <v>243</v>
      </c>
    </row>
    <row r="34">
      <c r="C34" s="8"/>
      <c r="E34" s="8"/>
      <c r="G34" s="2"/>
      <c r="K34" s="18"/>
      <c r="L34" s="8"/>
      <c r="M34" s="8"/>
      <c r="P34" s="2" t="s">
        <v>90</v>
      </c>
      <c r="Q34" s="31">
        <v>45742.0</v>
      </c>
      <c r="R34" s="2" t="s">
        <v>247</v>
      </c>
      <c r="S34" s="2">
        <v>0.125</v>
      </c>
      <c r="T34" s="26">
        <f t="shared" si="1"/>
        <v>17.8875</v>
      </c>
      <c r="U34" s="2" t="s">
        <v>248</v>
      </c>
    </row>
    <row r="35">
      <c r="C35" s="8"/>
      <c r="E35" s="8"/>
      <c r="G35" s="2"/>
      <c r="K35" s="18"/>
      <c r="L35" s="8"/>
      <c r="M35" s="8"/>
      <c r="P35" s="2" t="s">
        <v>91</v>
      </c>
      <c r="Q35" s="31">
        <v>45763.0</v>
      </c>
      <c r="R35" s="2" t="s">
        <v>227</v>
      </c>
      <c r="S35" s="2">
        <v>0.125</v>
      </c>
      <c r="T35" s="26">
        <f t="shared" si="1"/>
        <v>11.66</v>
      </c>
      <c r="U35" s="2" t="s">
        <v>241</v>
      </c>
    </row>
    <row r="36">
      <c r="C36" s="8"/>
      <c r="E36" s="8"/>
      <c r="G36" s="2"/>
      <c r="K36" s="18"/>
      <c r="L36" s="8"/>
      <c r="M36" s="8"/>
      <c r="P36" s="2" t="s">
        <v>92</v>
      </c>
      <c r="Q36" s="29">
        <v>45798.0</v>
      </c>
      <c r="R36" s="2" t="s">
        <v>225</v>
      </c>
      <c r="S36" s="2">
        <v>0.013</v>
      </c>
      <c r="T36" s="26">
        <f t="shared" si="1"/>
        <v>10.83797</v>
      </c>
      <c r="U36" s="2">
        <v>2.203741590926E12</v>
      </c>
    </row>
    <row r="37">
      <c r="C37" s="8"/>
      <c r="E37" s="8"/>
      <c r="G37" s="2"/>
      <c r="K37" s="18"/>
      <c r="L37" s="8"/>
      <c r="M37" s="8"/>
      <c r="P37" s="2" t="s">
        <v>92</v>
      </c>
      <c r="Q37" s="29">
        <v>45800.0</v>
      </c>
      <c r="R37" s="2" t="s">
        <v>227</v>
      </c>
      <c r="S37" s="2">
        <v>0.125</v>
      </c>
      <c r="T37" s="26">
        <f t="shared" si="1"/>
        <v>11.66</v>
      </c>
      <c r="U37" s="2" t="s">
        <v>241</v>
      </c>
    </row>
    <row r="38">
      <c r="C38" s="8"/>
      <c r="E38" s="8"/>
      <c r="G38" s="2"/>
      <c r="K38" s="18"/>
      <c r="L38" s="8"/>
      <c r="M38" s="8"/>
      <c r="P38" s="2" t="s">
        <v>94</v>
      </c>
      <c r="Q38" s="31">
        <v>45903.0</v>
      </c>
      <c r="R38" s="2" t="s">
        <v>247</v>
      </c>
      <c r="S38" s="2">
        <v>0.125</v>
      </c>
      <c r="T38" s="26">
        <f t="shared" si="1"/>
        <v>17.8875</v>
      </c>
      <c r="U38" s="2" t="s">
        <v>248</v>
      </c>
    </row>
    <row r="39">
      <c r="C39" s="8"/>
      <c r="E39" s="8"/>
      <c r="G39" s="2"/>
      <c r="K39" s="18"/>
      <c r="L39" s="8"/>
      <c r="M39" s="8"/>
      <c r="P39" s="2" t="s">
        <v>95</v>
      </c>
      <c r="Q39" s="29">
        <v>45924.0</v>
      </c>
      <c r="R39" s="2" t="s">
        <v>225</v>
      </c>
      <c r="S39" s="2">
        <v>0.013</v>
      </c>
      <c r="T39" s="26">
        <f t="shared" si="1"/>
        <v>10.83797</v>
      </c>
      <c r="U39" s="2">
        <v>2.203741590926E12</v>
      </c>
    </row>
    <row r="40">
      <c r="C40" s="8"/>
      <c r="E40" s="8"/>
      <c r="G40" s="2"/>
      <c r="K40" s="18"/>
      <c r="L40" s="8"/>
      <c r="M40" s="8"/>
      <c r="P40" s="2" t="s">
        <v>95</v>
      </c>
      <c r="Q40" s="29">
        <v>45924.0</v>
      </c>
      <c r="R40" s="2" t="s">
        <v>242</v>
      </c>
      <c r="S40" s="2">
        <v>0.125</v>
      </c>
      <c r="T40" s="26">
        <f t="shared" si="1"/>
        <v>23.055</v>
      </c>
      <c r="U40" s="2" t="s">
        <v>243</v>
      </c>
    </row>
    <row r="41">
      <c r="C41" s="8"/>
      <c r="E41" s="8"/>
      <c r="G41" s="2"/>
      <c r="K41" s="18"/>
      <c r="L41" s="8"/>
      <c r="M41" s="8"/>
      <c r="P41" s="2" t="s">
        <v>96</v>
      </c>
      <c r="Q41" s="31">
        <v>45931.0</v>
      </c>
      <c r="R41" s="2" t="s">
        <v>242</v>
      </c>
      <c r="S41" s="2" t="s">
        <v>259</v>
      </c>
      <c r="T41" s="34">
        <v>0.0</v>
      </c>
      <c r="U41" s="2" t="s">
        <v>95</v>
      </c>
    </row>
    <row r="42">
      <c r="C42" s="8"/>
      <c r="E42" s="8"/>
      <c r="G42" s="2"/>
      <c r="K42" s="18"/>
      <c r="L42" s="8"/>
      <c r="M42" s="8"/>
      <c r="P42" s="2" t="s">
        <v>96</v>
      </c>
      <c r="Q42" s="31">
        <v>45931.0</v>
      </c>
      <c r="R42" s="2" t="s">
        <v>225</v>
      </c>
      <c r="S42" s="2" t="s">
        <v>259</v>
      </c>
      <c r="T42" s="34">
        <v>0.0</v>
      </c>
      <c r="U42" s="2" t="s">
        <v>95</v>
      </c>
    </row>
    <row r="43">
      <c r="C43" s="8"/>
      <c r="E43" s="8"/>
      <c r="G43" s="2"/>
      <c r="K43" s="18"/>
      <c r="L43" s="8"/>
      <c r="M43" s="8"/>
      <c r="P43" s="2" t="s">
        <v>97</v>
      </c>
      <c r="Q43" s="31">
        <v>45959.0</v>
      </c>
      <c r="R43" s="2" t="s">
        <v>236</v>
      </c>
      <c r="S43" s="2">
        <v>0.125</v>
      </c>
      <c r="T43" s="26">
        <f t="shared" ref="T43:T70" si="2">IF(ISBLANK(U43),"",VLOOKUP($U43,$H$6:$K$2000,4,FALSE)/VLOOKUP(U43,$H$6:$K$2000,3,FALSE)*$S43)</f>
        <v>11.25</v>
      </c>
      <c r="U43" s="2" t="s">
        <v>250</v>
      </c>
    </row>
    <row r="44">
      <c r="C44" s="8"/>
      <c r="E44" s="8"/>
      <c r="G44" s="2"/>
      <c r="K44" s="18"/>
      <c r="L44" s="8"/>
      <c r="M44" s="8"/>
      <c r="P44" s="2" t="s">
        <v>98</v>
      </c>
      <c r="Q44" s="31">
        <v>46020.0</v>
      </c>
      <c r="R44" s="2" t="s">
        <v>225</v>
      </c>
      <c r="S44" s="2">
        <v>0.013</v>
      </c>
      <c r="T44" s="26">
        <f t="shared" si="2"/>
        <v>10.83797</v>
      </c>
      <c r="U44" s="2">
        <v>2.203741590926E12</v>
      </c>
    </row>
    <row r="45">
      <c r="C45" s="8"/>
      <c r="E45" s="8"/>
      <c r="G45" s="2"/>
      <c r="K45" s="18"/>
      <c r="L45" s="8"/>
      <c r="M45" s="8"/>
      <c r="P45" s="2" t="s">
        <v>98</v>
      </c>
      <c r="Q45" s="31">
        <v>46022.0</v>
      </c>
      <c r="R45" s="2" t="s">
        <v>230</v>
      </c>
      <c r="S45" s="2">
        <v>0.0</v>
      </c>
      <c r="T45" s="26">
        <f t="shared" si="2"/>
        <v>0</v>
      </c>
      <c r="U45" s="2">
        <v>262381.0</v>
      </c>
    </row>
    <row r="46">
      <c r="C46" s="8"/>
      <c r="E46" s="8"/>
      <c r="G46" s="2"/>
      <c r="K46" s="18"/>
      <c r="L46" s="8"/>
      <c r="M46" s="8"/>
      <c r="P46" s="2" t="s">
        <v>219</v>
      </c>
      <c r="Q46" s="29">
        <v>46043.0</v>
      </c>
      <c r="R46" s="2" t="s">
        <v>256</v>
      </c>
      <c r="S46" s="2">
        <v>0.5</v>
      </c>
      <c r="T46" s="26">
        <f t="shared" si="2"/>
        <v>65</v>
      </c>
      <c r="U46" s="2" t="s">
        <v>257</v>
      </c>
    </row>
    <row r="47">
      <c r="C47" s="8"/>
      <c r="G47" s="2"/>
      <c r="K47" s="18"/>
      <c r="L47" s="8"/>
      <c r="M47" s="8"/>
      <c r="P47" s="2" t="s">
        <v>220</v>
      </c>
      <c r="Q47" s="29">
        <v>46078.0</v>
      </c>
      <c r="R47" s="2" t="s">
        <v>225</v>
      </c>
      <c r="S47" s="2">
        <v>0.018</v>
      </c>
      <c r="T47" s="26">
        <f t="shared" si="2"/>
        <v>15.00642</v>
      </c>
      <c r="U47" s="2">
        <v>2.203741590926E12</v>
      </c>
    </row>
    <row r="48">
      <c r="C48" s="8"/>
      <c r="G48" s="2"/>
      <c r="K48" s="18"/>
      <c r="L48" s="8"/>
      <c r="M48" s="8"/>
      <c r="R48" s="8"/>
      <c r="T48" s="34" t="str">
        <f t="shared" si="2"/>
        <v/>
      </c>
    </row>
    <row r="49">
      <c r="C49" s="8"/>
      <c r="G49" s="2"/>
      <c r="K49" s="18"/>
      <c r="L49" s="8"/>
      <c r="M49" s="8"/>
      <c r="R49" s="8"/>
      <c r="T49" s="34" t="str">
        <f t="shared" si="2"/>
        <v/>
      </c>
    </row>
    <row r="50">
      <c r="C50" s="8"/>
      <c r="G50" s="2"/>
      <c r="K50" s="18"/>
      <c r="L50" s="8"/>
      <c r="M50" s="8"/>
      <c r="R50" s="8"/>
      <c r="T50" s="34" t="str">
        <f t="shared" si="2"/>
        <v/>
      </c>
    </row>
    <row r="51">
      <c r="C51" s="8"/>
      <c r="G51" s="2"/>
      <c r="K51" s="18"/>
      <c r="L51" s="8"/>
      <c r="M51" s="8"/>
      <c r="R51" s="8"/>
      <c r="T51" s="34" t="str">
        <f t="shared" si="2"/>
        <v/>
      </c>
    </row>
    <row r="52">
      <c r="C52" s="8"/>
      <c r="G52" s="2"/>
      <c r="K52" s="18"/>
      <c r="L52" s="8"/>
      <c r="M52" s="8"/>
      <c r="R52" s="8"/>
      <c r="T52" s="34" t="str">
        <f t="shared" si="2"/>
        <v/>
      </c>
    </row>
    <row r="53">
      <c r="C53" s="8"/>
      <c r="G53" s="2"/>
      <c r="K53" s="18"/>
      <c r="L53" s="8"/>
      <c r="M53" s="8"/>
      <c r="R53" s="8"/>
      <c r="T53" s="34" t="str">
        <f t="shared" si="2"/>
        <v/>
      </c>
    </row>
    <row r="54">
      <c r="C54" s="8"/>
      <c r="G54" s="2"/>
      <c r="K54" s="18"/>
      <c r="L54" s="8"/>
      <c r="M54" s="8"/>
      <c r="R54" s="8"/>
      <c r="T54" s="34" t="str">
        <f t="shared" si="2"/>
        <v/>
      </c>
    </row>
    <row r="55">
      <c r="C55" s="8"/>
      <c r="G55" s="2"/>
      <c r="K55" s="18"/>
      <c r="L55" s="8"/>
      <c r="M55" s="8"/>
      <c r="R55" s="8"/>
      <c r="T55" s="34" t="str">
        <f t="shared" si="2"/>
        <v/>
      </c>
    </row>
    <row r="56">
      <c r="C56" s="8"/>
      <c r="G56" s="2"/>
      <c r="K56" s="18"/>
      <c r="L56" s="8"/>
      <c r="M56" s="8"/>
      <c r="R56" s="8"/>
      <c r="T56" s="34" t="str">
        <f t="shared" si="2"/>
        <v/>
      </c>
    </row>
    <row r="57">
      <c r="C57" s="8"/>
      <c r="G57" s="2"/>
      <c r="K57" s="18"/>
      <c r="L57" s="8"/>
      <c r="M57" s="8"/>
      <c r="R57" s="8"/>
      <c r="T57" s="34" t="str">
        <f t="shared" si="2"/>
        <v/>
      </c>
    </row>
    <row r="58">
      <c r="C58" s="8"/>
      <c r="G58" s="2"/>
      <c r="K58" s="18"/>
      <c r="L58" s="8"/>
      <c r="M58" s="8"/>
      <c r="R58" s="8"/>
      <c r="T58" s="34" t="str">
        <f t="shared" si="2"/>
        <v/>
      </c>
    </row>
    <row r="59">
      <c r="C59" s="8"/>
      <c r="G59" s="2"/>
      <c r="K59" s="18"/>
      <c r="L59" s="8"/>
      <c r="M59" s="8"/>
      <c r="R59" s="8"/>
      <c r="T59" s="34" t="str">
        <f t="shared" si="2"/>
        <v/>
      </c>
    </row>
    <row r="60">
      <c r="C60" s="8"/>
      <c r="G60" s="2"/>
      <c r="K60" s="18"/>
      <c r="L60" s="8"/>
      <c r="M60" s="8"/>
      <c r="R60" s="8"/>
      <c r="T60" s="34" t="str">
        <f t="shared" si="2"/>
        <v/>
      </c>
    </row>
    <row r="61">
      <c r="C61" s="8"/>
      <c r="G61" s="2"/>
      <c r="K61" s="18"/>
      <c r="L61" s="8"/>
      <c r="M61" s="8"/>
      <c r="R61" s="8"/>
      <c r="T61" s="34" t="str">
        <f t="shared" si="2"/>
        <v/>
      </c>
    </row>
    <row r="62">
      <c r="C62" s="8"/>
      <c r="G62" s="2"/>
      <c r="K62" s="18"/>
      <c r="L62" s="8"/>
      <c r="M62" s="8"/>
      <c r="R62" s="8"/>
      <c r="T62" s="34" t="str">
        <f t="shared" si="2"/>
        <v/>
      </c>
    </row>
    <row r="63">
      <c r="C63" s="8"/>
      <c r="G63" s="2"/>
      <c r="K63" s="18"/>
      <c r="L63" s="8"/>
      <c r="M63" s="8"/>
      <c r="R63" s="8"/>
      <c r="T63" s="34" t="str">
        <f t="shared" si="2"/>
        <v/>
      </c>
    </row>
    <row r="64">
      <c r="C64" s="8"/>
      <c r="G64" s="2"/>
      <c r="K64" s="18"/>
      <c r="L64" s="8"/>
      <c r="M64" s="8"/>
      <c r="R64" s="8"/>
      <c r="T64" s="34" t="str">
        <f t="shared" si="2"/>
        <v/>
      </c>
    </row>
    <row r="65">
      <c r="C65" s="8"/>
      <c r="G65" s="2"/>
      <c r="K65" s="18"/>
      <c r="L65" s="8"/>
      <c r="M65" s="8"/>
      <c r="R65" s="8"/>
      <c r="T65" s="34" t="str">
        <f t="shared" si="2"/>
        <v/>
      </c>
    </row>
    <row r="66">
      <c r="C66" s="8"/>
      <c r="G66" s="2"/>
      <c r="K66" s="18"/>
      <c r="L66" s="8"/>
      <c r="M66" s="8"/>
      <c r="R66" s="8"/>
      <c r="T66" s="34" t="str">
        <f t="shared" si="2"/>
        <v/>
      </c>
    </row>
    <row r="67">
      <c r="C67" s="8"/>
      <c r="G67" s="2"/>
      <c r="K67" s="18"/>
      <c r="L67" s="8"/>
      <c r="M67" s="8"/>
      <c r="R67" s="8"/>
      <c r="T67" s="34" t="str">
        <f t="shared" si="2"/>
        <v/>
      </c>
    </row>
    <row r="68">
      <c r="C68" s="8"/>
      <c r="G68" s="2"/>
      <c r="K68" s="18"/>
      <c r="L68" s="8"/>
      <c r="M68" s="8"/>
      <c r="R68" s="8"/>
      <c r="T68" s="34" t="str">
        <f t="shared" si="2"/>
        <v/>
      </c>
    </row>
    <row r="69">
      <c r="C69" s="8"/>
      <c r="G69" s="2"/>
      <c r="K69" s="18"/>
      <c r="L69" s="8"/>
      <c r="M69" s="8"/>
      <c r="R69" s="8"/>
      <c r="T69" s="34" t="str">
        <f t="shared" si="2"/>
        <v/>
      </c>
    </row>
    <row r="70">
      <c r="C70" s="8"/>
      <c r="G70" s="2"/>
      <c r="K70" s="18"/>
      <c r="L70" s="8"/>
      <c r="M70" s="8"/>
      <c r="R70" s="8"/>
      <c r="T70" s="34" t="str">
        <f t="shared" si="2"/>
        <v/>
      </c>
    </row>
    <row r="71">
      <c r="C71" s="8"/>
      <c r="G71" s="2"/>
      <c r="K71" s="18"/>
      <c r="L71" s="8"/>
      <c r="M71" s="8"/>
      <c r="R71" s="8"/>
      <c r="T71" s="33"/>
    </row>
    <row r="72">
      <c r="C72" s="8"/>
      <c r="G72" s="2"/>
      <c r="K72" s="18"/>
      <c r="L72" s="8"/>
      <c r="M72" s="8"/>
      <c r="R72" s="8"/>
      <c r="T72" s="33"/>
    </row>
    <row r="73">
      <c r="C73" s="8"/>
      <c r="G73" s="2"/>
      <c r="K73" s="18"/>
      <c r="L73" s="8"/>
      <c r="M73" s="8"/>
      <c r="R73" s="8"/>
      <c r="T73" s="33"/>
    </row>
    <row r="74">
      <c r="C74" s="8"/>
      <c r="G74" s="2"/>
      <c r="K74" s="18"/>
      <c r="L74" s="8"/>
      <c r="M74" s="8"/>
      <c r="R74" s="8"/>
      <c r="T74" s="33"/>
    </row>
    <row r="75">
      <c r="C75" s="8"/>
      <c r="G75" s="2"/>
      <c r="K75" s="18"/>
      <c r="L75" s="8"/>
      <c r="M75" s="8"/>
      <c r="R75" s="8"/>
      <c r="T75" s="33"/>
    </row>
    <row r="76">
      <c r="C76" s="8"/>
      <c r="G76" s="2"/>
      <c r="K76" s="18"/>
      <c r="L76" s="8"/>
      <c r="M76" s="8"/>
      <c r="R76" s="8"/>
      <c r="T76" s="33"/>
    </row>
    <row r="77">
      <c r="C77" s="8"/>
      <c r="G77" s="2"/>
      <c r="K77" s="18"/>
      <c r="L77" s="8"/>
      <c r="M77" s="8"/>
      <c r="R77" s="8"/>
      <c r="T77" s="33"/>
    </row>
    <row r="78">
      <c r="C78" s="8"/>
      <c r="G78" s="2"/>
      <c r="K78" s="18"/>
      <c r="L78" s="8"/>
      <c r="M78" s="8"/>
      <c r="R78" s="8"/>
      <c r="T78" s="33"/>
    </row>
    <row r="79">
      <c r="C79" s="8"/>
      <c r="G79" s="2"/>
      <c r="K79" s="18"/>
      <c r="L79" s="8"/>
      <c r="M79" s="8"/>
      <c r="R79" s="8"/>
      <c r="T79" s="33"/>
    </row>
    <row r="80">
      <c r="C80" s="8"/>
      <c r="G80" s="2"/>
      <c r="K80" s="18"/>
      <c r="L80" s="8"/>
      <c r="M80" s="8"/>
      <c r="R80" s="8"/>
      <c r="T80" s="33"/>
    </row>
    <row r="81">
      <c r="C81" s="8"/>
      <c r="G81" s="2"/>
      <c r="K81" s="18"/>
      <c r="L81" s="8"/>
      <c r="M81" s="8"/>
      <c r="R81" s="8"/>
      <c r="T81" s="33"/>
    </row>
    <row r="82">
      <c r="C82" s="8"/>
      <c r="G82" s="2"/>
      <c r="K82" s="18"/>
      <c r="L82" s="8"/>
      <c r="M82" s="8"/>
      <c r="R82" s="8"/>
      <c r="T82" s="33"/>
    </row>
    <row r="83">
      <c r="C83" s="8"/>
      <c r="G83" s="2"/>
      <c r="K83" s="18"/>
      <c r="L83" s="8"/>
      <c r="M83" s="8"/>
      <c r="R83" s="8"/>
      <c r="T83" s="33"/>
    </row>
    <row r="84">
      <c r="C84" s="8"/>
      <c r="G84" s="2"/>
      <c r="K84" s="18"/>
      <c r="L84" s="8"/>
      <c r="M84" s="8"/>
      <c r="R84" s="8"/>
      <c r="T84" s="33"/>
    </row>
    <row r="85">
      <c r="C85" s="8"/>
      <c r="G85" s="2"/>
      <c r="K85" s="18"/>
      <c r="L85" s="8"/>
      <c r="M85" s="8"/>
      <c r="R85" s="8"/>
      <c r="T85" s="33"/>
    </row>
    <row r="86">
      <c r="C86" s="8"/>
      <c r="G86" s="2"/>
      <c r="K86" s="18"/>
      <c r="L86" s="8"/>
      <c r="M86" s="8"/>
      <c r="R86" s="8"/>
      <c r="T86" s="33"/>
    </row>
    <row r="87">
      <c r="C87" s="8"/>
      <c r="G87" s="2"/>
      <c r="K87" s="18"/>
      <c r="L87" s="8"/>
      <c r="M87" s="8"/>
      <c r="R87" s="8"/>
      <c r="T87" s="33"/>
    </row>
    <row r="88">
      <c r="C88" s="8"/>
      <c r="G88" s="2"/>
      <c r="K88" s="18"/>
      <c r="L88" s="8"/>
      <c r="M88" s="8"/>
      <c r="R88" s="8"/>
      <c r="T88" s="33"/>
    </row>
    <row r="89">
      <c r="C89" s="8"/>
      <c r="G89" s="2"/>
      <c r="K89" s="18"/>
      <c r="L89" s="8"/>
      <c r="M89" s="8"/>
      <c r="R89" s="8"/>
      <c r="T89" s="33"/>
    </row>
    <row r="90">
      <c r="C90" s="8"/>
      <c r="G90" s="2"/>
      <c r="K90" s="18"/>
      <c r="L90" s="8"/>
      <c r="M90" s="8"/>
      <c r="R90" s="8"/>
      <c r="T90" s="33"/>
    </row>
    <row r="91">
      <c r="C91" s="8"/>
      <c r="G91" s="2"/>
      <c r="K91" s="18"/>
      <c r="L91" s="8"/>
      <c r="M91" s="8"/>
      <c r="R91" s="8"/>
      <c r="T91" s="33"/>
    </row>
    <row r="92">
      <c r="C92" s="8"/>
      <c r="G92" s="2"/>
      <c r="K92" s="18"/>
      <c r="L92" s="8"/>
      <c r="M92" s="8"/>
      <c r="R92" s="8"/>
      <c r="T92" s="33"/>
    </row>
    <row r="93">
      <c r="C93" s="8"/>
      <c r="G93" s="2"/>
      <c r="K93" s="18"/>
      <c r="L93" s="8"/>
      <c r="M93" s="8"/>
      <c r="R93" s="8"/>
      <c r="T93" s="33"/>
    </row>
    <row r="94">
      <c r="C94" s="8"/>
      <c r="G94" s="2"/>
      <c r="K94" s="18"/>
      <c r="L94" s="8"/>
      <c r="M94" s="8"/>
      <c r="R94" s="8"/>
      <c r="T94" s="33"/>
    </row>
    <row r="95">
      <c r="C95" s="8"/>
      <c r="G95" s="2"/>
      <c r="K95" s="18"/>
      <c r="L95" s="8"/>
      <c r="M95" s="8"/>
      <c r="R95" s="8"/>
      <c r="T95" s="33"/>
    </row>
    <row r="96">
      <c r="C96" s="8"/>
      <c r="G96" s="2"/>
      <c r="K96" s="18"/>
      <c r="L96" s="8"/>
      <c r="M96" s="8"/>
      <c r="R96" s="8"/>
      <c r="T96" s="33"/>
    </row>
    <row r="97">
      <c r="C97" s="8"/>
      <c r="G97" s="2"/>
      <c r="K97" s="18"/>
      <c r="L97" s="8"/>
      <c r="M97" s="8"/>
      <c r="R97" s="8"/>
      <c r="T97" s="33"/>
    </row>
    <row r="98">
      <c r="C98" s="8"/>
      <c r="G98" s="2"/>
      <c r="K98" s="18"/>
      <c r="L98" s="8"/>
      <c r="M98" s="8"/>
      <c r="R98" s="8"/>
      <c r="T98" s="33"/>
    </row>
    <row r="99">
      <c r="C99" s="8"/>
      <c r="G99" s="2"/>
      <c r="K99" s="18"/>
      <c r="L99" s="8"/>
      <c r="M99" s="8"/>
      <c r="R99" s="8"/>
      <c r="T99" s="33"/>
    </row>
    <row r="100">
      <c r="C100" s="8"/>
      <c r="G100" s="2"/>
      <c r="K100" s="18"/>
      <c r="L100" s="8"/>
      <c r="M100" s="8"/>
      <c r="R100" s="8"/>
      <c r="T100" s="33"/>
    </row>
    <row r="101">
      <c r="C101" s="8"/>
      <c r="G101" s="2"/>
      <c r="K101" s="18"/>
      <c r="L101" s="8"/>
      <c r="M101" s="8"/>
      <c r="R101" s="8"/>
      <c r="T101" s="33"/>
    </row>
    <row r="102">
      <c r="C102" s="8"/>
      <c r="G102" s="2"/>
      <c r="K102" s="18"/>
      <c r="L102" s="8"/>
      <c r="M102" s="8"/>
      <c r="R102" s="8"/>
      <c r="T102" s="33"/>
    </row>
    <row r="103">
      <c r="C103" s="8"/>
      <c r="G103" s="2"/>
      <c r="K103" s="18"/>
      <c r="L103" s="8"/>
      <c r="M103" s="8"/>
      <c r="R103" s="8"/>
      <c r="T103" s="33"/>
    </row>
    <row r="104">
      <c r="C104" s="8"/>
      <c r="G104" s="2"/>
      <c r="K104" s="18"/>
      <c r="L104" s="8"/>
      <c r="M104" s="8"/>
      <c r="R104" s="8"/>
      <c r="T104" s="33"/>
    </row>
    <row r="105">
      <c r="C105" s="8"/>
      <c r="G105" s="2"/>
      <c r="K105" s="18"/>
      <c r="L105" s="8"/>
      <c r="M105" s="8"/>
      <c r="R105" s="8"/>
      <c r="T105" s="33"/>
    </row>
    <row r="106">
      <c r="C106" s="8"/>
      <c r="G106" s="2"/>
      <c r="K106" s="18"/>
      <c r="L106" s="8"/>
      <c r="M106" s="8"/>
      <c r="R106" s="8"/>
      <c r="T106" s="33"/>
    </row>
    <row r="107">
      <c r="C107" s="8"/>
      <c r="G107" s="2"/>
      <c r="K107" s="18"/>
      <c r="L107" s="8"/>
      <c r="M107" s="8"/>
      <c r="R107" s="8"/>
      <c r="T107" s="33"/>
    </row>
    <row r="108">
      <c r="C108" s="8"/>
      <c r="G108" s="2"/>
      <c r="K108" s="18"/>
      <c r="L108" s="8"/>
      <c r="M108" s="8"/>
      <c r="R108" s="8"/>
      <c r="T108" s="33"/>
    </row>
    <row r="109">
      <c r="C109" s="8"/>
      <c r="G109" s="2"/>
      <c r="K109" s="18"/>
      <c r="L109" s="8"/>
      <c r="M109" s="8"/>
      <c r="R109" s="8"/>
      <c r="T109" s="33"/>
    </row>
    <row r="110">
      <c r="C110" s="8"/>
      <c r="G110" s="2"/>
      <c r="K110" s="18"/>
      <c r="L110" s="8"/>
      <c r="M110" s="8"/>
      <c r="R110" s="8"/>
      <c r="T110" s="33"/>
    </row>
    <row r="111">
      <c r="C111" s="8"/>
      <c r="G111" s="2"/>
      <c r="K111" s="18"/>
      <c r="L111" s="8"/>
      <c r="M111" s="8"/>
      <c r="R111" s="8"/>
      <c r="T111" s="33"/>
    </row>
    <row r="112">
      <c r="C112" s="8"/>
      <c r="G112" s="2"/>
      <c r="K112" s="18"/>
      <c r="L112" s="8"/>
      <c r="M112" s="8"/>
      <c r="R112" s="8"/>
      <c r="T112" s="33"/>
    </row>
    <row r="113">
      <c r="C113" s="8"/>
      <c r="G113" s="2"/>
      <c r="K113" s="18"/>
      <c r="L113" s="8"/>
      <c r="M113" s="8"/>
      <c r="R113" s="8"/>
      <c r="T113" s="33"/>
    </row>
    <row r="114">
      <c r="C114" s="8"/>
      <c r="G114" s="2"/>
      <c r="K114" s="18"/>
      <c r="L114" s="8"/>
      <c r="M114" s="8"/>
      <c r="R114" s="8"/>
      <c r="T114" s="33"/>
    </row>
    <row r="115">
      <c r="C115" s="8"/>
      <c r="G115" s="2"/>
      <c r="K115" s="18"/>
      <c r="L115" s="8"/>
      <c r="M115" s="8"/>
      <c r="R115" s="8"/>
      <c r="T115" s="33"/>
    </row>
    <row r="116">
      <c r="C116" s="8"/>
      <c r="G116" s="2"/>
      <c r="K116" s="18"/>
      <c r="L116" s="8"/>
      <c r="M116" s="8"/>
      <c r="R116" s="8"/>
      <c r="T116" s="33"/>
    </row>
    <row r="117">
      <c r="C117" s="8"/>
      <c r="G117" s="2"/>
      <c r="K117" s="18"/>
      <c r="L117" s="8"/>
      <c r="M117" s="8"/>
      <c r="R117" s="8"/>
      <c r="T117" s="33"/>
    </row>
    <row r="118">
      <c r="C118" s="8"/>
      <c r="G118" s="2"/>
      <c r="K118" s="18"/>
      <c r="L118" s="8"/>
      <c r="M118" s="8"/>
      <c r="R118" s="8"/>
      <c r="T118" s="33"/>
    </row>
    <row r="119">
      <c r="C119" s="8"/>
      <c r="G119" s="2"/>
      <c r="K119" s="18"/>
      <c r="L119" s="8"/>
      <c r="M119" s="8"/>
      <c r="R119" s="8"/>
      <c r="T119" s="33"/>
    </row>
    <row r="120">
      <c r="C120" s="8"/>
      <c r="G120" s="2"/>
      <c r="K120" s="18"/>
      <c r="L120" s="8"/>
      <c r="M120" s="8"/>
      <c r="R120" s="8"/>
      <c r="T120" s="33"/>
    </row>
    <row r="121">
      <c r="C121" s="8"/>
      <c r="G121" s="2"/>
      <c r="K121" s="18"/>
      <c r="L121" s="8"/>
      <c r="M121" s="8"/>
      <c r="R121" s="8"/>
      <c r="T121" s="33"/>
    </row>
    <row r="122">
      <c r="C122" s="8"/>
      <c r="G122" s="2"/>
      <c r="K122" s="18"/>
      <c r="L122" s="8"/>
      <c r="M122" s="8"/>
      <c r="R122" s="8"/>
      <c r="T122" s="33"/>
    </row>
    <row r="123">
      <c r="C123" s="8"/>
      <c r="G123" s="2"/>
      <c r="K123" s="18"/>
      <c r="L123" s="8"/>
      <c r="M123" s="8"/>
      <c r="R123" s="8"/>
      <c r="T123" s="33"/>
    </row>
    <row r="124">
      <c r="C124" s="8"/>
      <c r="G124" s="2"/>
      <c r="K124" s="18"/>
      <c r="L124" s="8"/>
      <c r="M124" s="8"/>
      <c r="R124" s="8"/>
      <c r="T124" s="33"/>
    </row>
    <row r="125">
      <c r="C125" s="8"/>
      <c r="G125" s="8"/>
      <c r="K125" s="18"/>
      <c r="L125" s="8"/>
      <c r="M125" s="8"/>
      <c r="R125" s="8"/>
      <c r="T125" s="33"/>
    </row>
    <row r="126">
      <c r="C126" s="8"/>
      <c r="G126" s="8"/>
      <c r="K126" s="18"/>
      <c r="L126" s="8"/>
      <c r="M126" s="8"/>
      <c r="R126" s="8"/>
      <c r="T126" s="33"/>
    </row>
    <row r="127">
      <c r="C127" s="8"/>
      <c r="G127" s="8"/>
      <c r="K127" s="18"/>
      <c r="L127" s="8"/>
      <c r="M127" s="8"/>
      <c r="R127" s="8"/>
      <c r="T127" s="33"/>
    </row>
    <row r="128">
      <c r="C128" s="8"/>
      <c r="G128" s="8"/>
      <c r="K128" s="18"/>
      <c r="L128" s="8"/>
      <c r="M128" s="8"/>
      <c r="R128" s="8"/>
      <c r="T128" s="33"/>
    </row>
    <row r="129">
      <c r="C129" s="8"/>
      <c r="G129" s="8"/>
      <c r="K129" s="18"/>
      <c r="L129" s="8"/>
      <c r="M129" s="8"/>
      <c r="R129" s="8"/>
      <c r="T129" s="33"/>
    </row>
    <row r="130">
      <c r="C130" s="8"/>
      <c r="G130" s="8"/>
      <c r="K130" s="18"/>
      <c r="L130" s="8"/>
      <c r="M130" s="8"/>
      <c r="R130" s="8"/>
      <c r="T130" s="33"/>
    </row>
    <row r="131">
      <c r="C131" s="8"/>
      <c r="G131" s="8"/>
      <c r="K131" s="18"/>
      <c r="L131" s="8"/>
      <c r="M131" s="8"/>
      <c r="R131" s="8"/>
      <c r="T131" s="33"/>
    </row>
    <row r="132">
      <c r="C132" s="8"/>
      <c r="G132" s="8"/>
      <c r="K132" s="18"/>
      <c r="L132" s="8"/>
      <c r="M132" s="8"/>
      <c r="R132" s="8"/>
      <c r="T132" s="33"/>
    </row>
    <row r="133">
      <c r="C133" s="8"/>
      <c r="G133" s="8"/>
      <c r="K133" s="18"/>
      <c r="L133" s="8"/>
      <c r="M133" s="8"/>
      <c r="R133" s="8"/>
      <c r="T133" s="33"/>
    </row>
    <row r="134">
      <c r="C134" s="8"/>
      <c r="G134" s="8"/>
      <c r="K134" s="18"/>
      <c r="L134" s="8"/>
      <c r="M134" s="8"/>
      <c r="R134" s="8"/>
      <c r="T134" s="33"/>
    </row>
    <row r="135">
      <c r="C135" s="8"/>
      <c r="G135" s="8"/>
      <c r="K135" s="18"/>
      <c r="L135" s="8"/>
      <c r="M135" s="8"/>
      <c r="R135" s="8"/>
      <c r="T135" s="33"/>
    </row>
    <row r="136">
      <c r="C136" s="8"/>
      <c r="G136" s="8"/>
      <c r="K136" s="18"/>
      <c r="L136" s="8"/>
      <c r="M136" s="8"/>
      <c r="R136" s="8"/>
      <c r="T136" s="33"/>
    </row>
    <row r="137">
      <c r="C137" s="8"/>
      <c r="G137" s="8"/>
      <c r="K137" s="18"/>
      <c r="L137" s="8"/>
      <c r="M137" s="8"/>
      <c r="R137" s="8"/>
      <c r="T137" s="33"/>
    </row>
    <row r="138">
      <c r="C138" s="8"/>
      <c r="G138" s="8"/>
      <c r="K138" s="18"/>
      <c r="L138" s="8"/>
      <c r="M138" s="8"/>
      <c r="R138" s="8"/>
      <c r="T138" s="33"/>
    </row>
    <row r="139">
      <c r="C139" s="8"/>
      <c r="G139" s="8"/>
      <c r="K139" s="18"/>
      <c r="L139" s="8"/>
      <c r="M139" s="8"/>
      <c r="R139" s="8"/>
      <c r="T139" s="33"/>
    </row>
    <row r="140">
      <c r="C140" s="8"/>
      <c r="G140" s="8"/>
      <c r="K140" s="18"/>
      <c r="L140" s="8"/>
      <c r="M140" s="8"/>
      <c r="R140" s="8"/>
      <c r="T140" s="33"/>
    </row>
    <row r="141">
      <c r="C141" s="8"/>
      <c r="G141" s="8"/>
      <c r="K141" s="18"/>
      <c r="L141" s="8"/>
      <c r="M141" s="8"/>
      <c r="R141" s="8"/>
      <c r="T141" s="33"/>
    </row>
    <row r="142">
      <c r="C142" s="8"/>
      <c r="G142" s="8"/>
      <c r="K142" s="18"/>
      <c r="L142" s="8"/>
      <c r="M142" s="8"/>
      <c r="R142" s="8"/>
      <c r="T142" s="33"/>
    </row>
    <row r="143">
      <c r="C143" s="8"/>
      <c r="G143" s="8"/>
      <c r="K143" s="18"/>
      <c r="L143" s="8"/>
      <c r="M143" s="8"/>
      <c r="R143" s="8"/>
      <c r="T143" s="33"/>
    </row>
    <row r="144">
      <c r="C144" s="8"/>
      <c r="G144" s="8"/>
      <c r="K144" s="18"/>
      <c r="L144" s="8"/>
      <c r="M144" s="8"/>
      <c r="R144" s="8"/>
      <c r="T144" s="33"/>
    </row>
    <row r="145">
      <c r="C145" s="8"/>
      <c r="G145" s="8"/>
      <c r="K145" s="18"/>
      <c r="L145" s="8"/>
      <c r="M145" s="8"/>
      <c r="R145" s="8"/>
      <c r="T145" s="33"/>
    </row>
    <row r="146">
      <c r="C146" s="8"/>
      <c r="G146" s="8"/>
      <c r="K146" s="18"/>
      <c r="L146" s="8"/>
      <c r="M146" s="8"/>
      <c r="R146" s="8"/>
      <c r="T146" s="33"/>
    </row>
    <row r="147">
      <c r="C147" s="8"/>
      <c r="G147" s="8"/>
      <c r="K147" s="18"/>
      <c r="L147" s="8"/>
      <c r="M147" s="8"/>
      <c r="R147" s="8"/>
      <c r="T147" s="33"/>
    </row>
    <row r="148">
      <c r="C148" s="8"/>
      <c r="G148" s="8"/>
      <c r="K148" s="18"/>
      <c r="L148" s="8"/>
      <c r="M148" s="8"/>
      <c r="R148" s="8"/>
      <c r="T148" s="33"/>
    </row>
    <row r="149">
      <c r="C149" s="8"/>
      <c r="G149" s="8"/>
      <c r="K149" s="18"/>
      <c r="L149" s="8"/>
      <c r="M149" s="8"/>
      <c r="R149" s="8"/>
      <c r="T149" s="33"/>
    </row>
    <row r="150">
      <c r="C150" s="8"/>
      <c r="G150" s="8"/>
      <c r="K150" s="18"/>
      <c r="L150" s="8"/>
      <c r="M150" s="8"/>
      <c r="R150" s="8"/>
      <c r="T150" s="33"/>
    </row>
    <row r="151">
      <c r="C151" s="8"/>
      <c r="G151" s="8"/>
      <c r="K151" s="18"/>
      <c r="L151" s="8"/>
      <c r="M151" s="8"/>
      <c r="R151" s="8"/>
      <c r="T151" s="33"/>
    </row>
    <row r="152">
      <c r="C152" s="8"/>
      <c r="G152" s="8"/>
      <c r="K152" s="18"/>
      <c r="L152" s="8"/>
      <c r="M152" s="8"/>
      <c r="R152" s="8"/>
      <c r="T152" s="33"/>
    </row>
    <row r="153">
      <c r="C153" s="8"/>
      <c r="G153" s="8"/>
      <c r="K153" s="18"/>
      <c r="L153" s="8"/>
      <c r="M153" s="8"/>
      <c r="R153" s="8"/>
      <c r="T153" s="33"/>
    </row>
    <row r="154">
      <c r="C154" s="8"/>
      <c r="G154" s="8"/>
      <c r="K154" s="18"/>
      <c r="L154" s="8"/>
      <c r="M154" s="8"/>
      <c r="R154" s="8"/>
      <c r="T154" s="33"/>
    </row>
    <row r="155">
      <c r="C155" s="8"/>
      <c r="G155" s="8"/>
      <c r="K155" s="18"/>
      <c r="L155" s="8"/>
      <c r="M155" s="8"/>
      <c r="R155" s="8"/>
      <c r="T155" s="33"/>
    </row>
    <row r="156">
      <c r="C156" s="8"/>
      <c r="G156" s="8"/>
      <c r="K156" s="18"/>
      <c r="L156" s="8"/>
      <c r="M156" s="8"/>
      <c r="R156" s="8"/>
      <c r="T156" s="33"/>
    </row>
    <row r="157">
      <c r="C157" s="8"/>
      <c r="G157" s="8"/>
      <c r="K157" s="18"/>
      <c r="L157" s="8"/>
      <c r="M157" s="8"/>
      <c r="R157" s="8"/>
      <c r="T157" s="33"/>
    </row>
    <row r="158">
      <c r="C158" s="8"/>
      <c r="G158" s="8"/>
      <c r="K158" s="18"/>
      <c r="L158" s="8"/>
      <c r="M158" s="8"/>
      <c r="R158" s="8"/>
      <c r="T158" s="33"/>
    </row>
    <row r="159">
      <c r="C159" s="8"/>
      <c r="G159" s="8"/>
      <c r="K159" s="18"/>
      <c r="L159" s="8"/>
      <c r="M159" s="8"/>
      <c r="R159" s="8"/>
      <c r="T159" s="33"/>
    </row>
    <row r="160">
      <c r="C160" s="8"/>
      <c r="G160" s="8"/>
      <c r="K160" s="18"/>
      <c r="L160" s="8"/>
      <c r="M160" s="8"/>
      <c r="R160" s="8"/>
      <c r="T160" s="33"/>
    </row>
    <row r="161">
      <c r="C161" s="8"/>
      <c r="G161" s="8"/>
      <c r="K161" s="18"/>
      <c r="L161" s="8"/>
      <c r="M161" s="8"/>
      <c r="R161" s="8"/>
      <c r="T161" s="33"/>
    </row>
    <row r="162">
      <c r="C162" s="8"/>
      <c r="G162" s="8"/>
      <c r="K162" s="18"/>
      <c r="L162" s="8"/>
      <c r="M162" s="8"/>
      <c r="R162" s="8"/>
      <c r="T162" s="33"/>
    </row>
    <row r="163">
      <c r="C163" s="8"/>
      <c r="G163" s="8"/>
      <c r="K163" s="18"/>
      <c r="L163" s="8"/>
      <c r="M163" s="8"/>
      <c r="R163" s="8"/>
      <c r="T163" s="33"/>
    </row>
    <row r="164">
      <c r="C164" s="8"/>
      <c r="G164" s="8"/>
      <c r="K164" s="18"/>
      <c r="L164" s="8"/>
      <c r="M164" s="8"/>
      <c r="R164" s="8"/>
      <c r="T164" s="33"/>
    </row>
    <row r="165">
      <c r="C165" s="8"/>
      <c r="G165" s="8"/>
      <c r="K165" s="18"/>
      <c r="L165" s="8"/>
      <c r="M165" s="8"/>
      <c r="R165" s="8"/>
      <c r="T165" s="33"/>
    </row>
    <row r="166">
      <c r="C166" s="8"/>
      <c r="G166" s="8"/>
      <c r="K166" s="18"/>
      <c r="L166" s="8"/>
      <c r="M166" s="8"/>
      <c r="R166" s="8"/>
      <c r="T166" s="33"/>
    </row>
    <row r="167">
      <c r="C167" s="8"/>
      <c r="G167" s="8"/>
      <c r="K167" s="18"/>
      <c r="L167" s="8"/>
      <c r="M167" s="8"/>
      <c r="R167" s="8"/>
      <c r="T167" s="33"/>
    </row>
    <row r="168">
      <c r="C168" s="8"/>
      <c r="G168" s="8"/>
      <c r="K168" s="18"/>
      <c r="L168" s="8"/>
      <c r="M168" s="8"/>
      <c r="R168" s="8"/>
      <c r="T168" s="33"/>
    </row>
    <row r="169">
      <c r="C169" s="8"/>
      <c r="G169" s="8"/>
      <c r="K169" s="18"/>
      <c r="L169" s="8"/>
      <c r="M169" s="8"/>
      <c r="R169" s="8"/>
      <c r="T169" s="33"/>
    </row>
    <row r="170">
      <c r="C170" s="8"/>
      <c r="G170" s="8"/>
      <c r="K170" s="18"/>
      <c r="L170" s="8"/>
      <c r="M170" s="8"/>
      <c r="R170" s="8"/>
      <c r="T170" s="33"/>
    </row>
    <row r="171">
      <c r="C171" s="8"/>
      <c r="G171" s="8"/>
      <c r="K171" s="18"/>
      <c r="L171" s="8"/>
      <c r="M171" s="8"/>
      <c r="R171" s="8"/>
      <c r="T171" s="33"/>
    </row>
    <row r="172">
      <c r="C172" s="8"/>
      <c r="G172" s="8"/>
      <c r="K172" s="18"/>
      <c r="L172" s="8"/>
      <c r="M172" s="8"/>
      <c r="R172" s="8"/>
      <c r="T172" s="33"/>
    </row>
    <row r="173">
      <c r="C173" s="8"/>
      <c r="G173" s="8"/>
      <c r="K173" s="18"/>
      <c r="L173" s="8"/>
      <c r="M173" s="8"/>
      <c r="R173" s="8"/>
      <c r="T173" s="33"/>
    </row>
    <row r="174">
      <c r="C174" s="8"/>
      <c r="G174" s="8"/>
      <c r="K174" s="18"/>
      <c r="L174" s="8"/>
      <c r="M174" s="8"/>
      <c r="R174" s="8"/>
      <c r="T174" s="33"/>
    </row>
    <row r="175">
      <c r="C175" s="8"/>
      <c r="G175" s="8"/>
      <c r="K175" s="18"/>
      <c r="L175" s="8"/>
      <c r="M175" s="8"/>
      <c r="R175" s="8"/>
      <c r="T175" s="33"/>
    </row>
    <row r="176">
      <c r="C176" s="8"/>
      <c r="G176" s="8"/>
      <c r="K176" s="18"/>
      <c r="L176" s="8"/>
      <c r="M176" s="8"/>
      <c r="R176" s="8"/>
      <c r="T176" s="33"/>
    </row>
    <row r="177">
      <c r="C177" s="8"/>
      <c r="G177" s="8"/>
      <c r="K177" s="18"/>
      <c r="L177" s="8"/>
      <c r="M177" s="8"/>
      <c r="R177" s="8"/>
      <c r="T177" s="33"/>
    </row>
    <row r="178">
      <c r="C178" s="8"/>
      <c r="G178" s="8"/>
      <c r="K178" s="18"/>
      <c r="L178" s="8"/>
      <c r="M178" s="8"/>
      <c r="R178" s="8"/>
      <c r="T178" s="33"/>
    </row>
    <row r="179">
      <c r="C179" s="8"/>
      <c r="G179" s="8"/>
      <c r="K179" s="18"/>
      <c r="L179" s="8"/>
      <c r="M179" s="8"/>
      <c r="R179" s="8"/>
      <c r="T179" s="33"/>
    </row>
    <row r="180">
      <c r="C180" s="8"/>
      <c r="G180" s="8"/>
      <c r="K180" s="18"/>
      <c r="L180" s="8"/>
      <c r="M180" s="8"/>
      <c r="R180" s="8"/>
      <c r="T180" s="33"/>
    </row>
    <row r="181">
      <c r="C181" s="8"/>
      <c r="G181" s="8"/>
      <c r="K181" s="18"/>
      <c r="L181" s="8"/>
      <c r="M181" s="8"/>
      <c r="R181" s="8"/>
      <c r="T181" s="33"/>
    </row>
    <row r="182">
      <c r="C182" s="8"/>
      <c r="G182" s="8"/>
      <c r="K182" s="18"/>
      <c r="L182" s="8"/>
      <c r="M182" s="8"/>
      <c r="R182" s="8"/>
      <c r="T182" s="33"/>
    </row>
    <row r="183">
      <c r="C183" s="8"/>
      <c r="G183" s="8"/>
      <c r="K183" s="18"/>
      <c r="L183" s="8"/>
      <c r="M183" s="8"/>
      <c r="R183" s="8"/>
      <c r="T183" s="33"/>
    </row>
    <row r="184">
      <c r="C184" s="8"/>
      <c r="G184" s="8"/>
      <c r="K184" s="18"/>
      <c r="L184" s="8"/>
      <c r="M184" s="8"/>
      <c r="R184" s="8"/>
      <c r="T184" s="33"/>
    </row>
    <row r="185">
      <c r="C185" s="8"/>
      <c r="G185" s="8"/>
      <c r="K185" s="18"/>
      <c r="L185" s="8"/>
      <c r="M185" s="8"/>
      <c r="R185" s="8"/>
      <c r="T185" s="33"/>
    </row>
    <row r="186">
      <c r="C186" s="8"/>
      <c r="G186" s="8"/>
      <c r="K186" s="18"/>
      <c r="L186" s="8"/>
      <c r="M186" s="8"/>
      <c r="R186" s="8"/>
      <c r="T186" s="33"/>
    </row>
    <row r="187">
      <c r="C187" s="8"/>
      <c r="G187" s="8"/>
      <c r="K187" s="18"/>
      <c r="L187" s="8"/>
      <c r="M187" s="8"/>
      <c r="R187" s="8"/>
      <c r="T187" s="33"/>
    </row>
    <row r="188">
      <c r="C188" s="8"/>
      <c r="G188" s="8"/>
      <c r="K188" s="18"/>
      <c r="L188" s="8"/>
      <c r="M188" s="8"/>
      <c r="R188" s="8"/>
      <c r="T188" s="33"/>
    </row>
    <row r="189">
      <c r="C189" s="8"/>
      <c r="G189" s="8"/>
      <c r="K189" s="18"/>
      <c r="L189" s="8"/>
      <c r="M189" s="8"/>
      <c r="R189" s="8"/>
      <c r="T189" s="33"/>
    </row>
    <row r="190">
      <c r="C190" s="8"/>
      <c r="G190" s="8"/>
      <c r="K190" s="18"/>
      <c r="L190" s="8"/>
      <c r="M190" s="8"/>
      <c r="R190" s="8"/>
      <c r="T190" s="33"/>
    </row>
    <row r="191">
      <c r="C191" s="8"/>
      <c r="G191" s="8"/>
      <c r="K191" s="18"/>
      <c r="L191" s="8"/>
      <c r="M191" s="8"/>
      <c r="R191" s="8"/>
      <c r="T191" s="33"/>
    </row>
    <row r="192">
      <c r="C192" s="8"/>
      <c r="G192" s="8"/>
      <c r="K192" s="18"/>
      <c r="L192" s="8"/>
      <c r="M192" s="8"/>
      <c r="R192" s="8"/>
      <c r="T192" s="33"/>
    </row>
    <row r="193">
      <c r="C193" s="8"/>
      <c r="G193" s="8"/>
      <c r="K193" s="18"/>
      <c r="L193" s="8"/>
      <c r="M193" s="8"/>
      <c r="R193" s="8"/>
      <c r="T193" s="33"/>
    </row>
    <row r="194">
      <c r="C194" s="8"/>
      <c r="G194" s="8"/>
      <c r="K194" s="18"/>
      <c r="L194" s="8"/>
      <c r="M194" s="8"/>
      <c r="R194" s="8"/>
      <c r="T194" s="33"/>
    </row>
    <row r="195">
      <c r="C195" s="8"/>
      <c r="G195" s="8"/>
      <c r="K195" s="18"/>
      <c r="L195" s="8"/>
      <c r="M195" s="8"/>
      <c r="R195" s="8"/>
      <c r="T195" s="33"/>
    </row>
    <row r="196">
      <c r="C196" s="8"/>
      <c r="G196" s="8"/>
      <c r="K196" s="18"/>
      <c r="L196" s="8"/>
      <c r="M196" s="8"/>
      <c r="R196" s="8"/>
      <c r="T196" s="33"/>
    </row>
    <row r="197">
      <c r="C197" s="8"/>
      <c r="G197" s="8"/>
      <c r="K197" s="18"/>
      <c r="L197" s="8"/>
      <c r="M197" s="8"/>
      <c r="R197" s="8"/>
      <c r="T197" s="33"/>
    </row>
    <row r="198">
      <c r="C198" s="8"/>
      <c r="G198" s="8"/>
      <c r="K198" s="18"/>
      <c r="L198" s="8"/>
      <c r="M198" s="8"/>
      <c r="R198" s="8"/>
      <c r="T198" s="33"/>
    </row>
    <row r="199">
      <c r="C199" s="8"/>
      <c r="G199" s="8"/>
      <c r="K199" s="18"/>
      <c r="L199" s="8"/>
      <c r="M199" s="8"/>
      <c r="R199" s="8"/>
      <c r="T199" s="33"/>
    </row>
    <row r="200">
      <c r="C200" s="8"/>
      <c r="G200" s="8"/>
      <c r="K200" s="18"/>
      <c r="L200" s="8"/>
      <c r="M200" s="8"/>
      <c r="R200" s="8"/>
      <c r="T200" s="33"/>
    </row>
    <row r="201">
      <c r="C201" s="8"/>
      <c r="G201" s="8"/>
      <c r="K201" s="18"/>
      <c r="L201" s="8"/>
      <c r="M201" s="8"/>
      <c r="R201" s="8"/>
      <c r="T201" s="33"/>
    </row>
    <row r="202">
      <c r="C202" s="8"/>
      <c r="G202" s="8"/>
      <c r="K202" s="18"/>
      <c r="L202" s="8"/>
      <c r="M202" s="8"/>
      <c r="R202" s="8"/>
      <c r="T202" s="33"/>
    </row>
    <row r="203">
      <c r="C203" s="8"/>
      <c r="G203" s="8"/>
      <c r="K203" s="18"/>
      <c r="L203" s="8"/>
      <c r="M203" s="8"/>
      <c r="R203" s="8"/>
      <c r="T203" s="33"/>
    </row>
    <row r="204">
      <c r="C204" s="8"/>
      <c r="G204" s="8"/>
      <c r="K204" s="18"/>
      <c r="L204" s="8"/>
      <c r="M204" s="8"/>
      <c r="R204" s="8"/>
      <c r="T204" s="33"/>
    </row>
    <row r="205">
      <c r="C205" s="8"/>
      <c r="G205" s="8"/>
      <c r="K205" s="18"/>
      <c r="L205" s="8"/>
      <c r="M205" s="8"/>
      <c r="R205" s="8"/>
      <c r="T205" s="33"/>
    </row>
    <row r="206">
      <c r="C206" s="8"/>
      <c r="G206" s="8"/>
      <c r="K206" s="18"/>
      <c r="L206" s="8"/>
      <c r="M206" s="8"/>
      <c r="R206" s="8"/>
      <c r="T206" s="33"/>
    </row>
    <row r="207">
      <c r="C207" s="8"/>
      <c r="G207" s="8"/>
      <c r="K207" s="18"/>
      <c r="L207" s="8"/>
      <c r="M207" s="8"/>
      <c r="R207" s="8"/>
      <c r="T207" s="33"/>
    </row>
    <row r="208">
      <c r="C208" s="8"/>
      <c r="G208" s="8"/>
      <c r="K208" s="18"/>
      <c r="L208" s="8"/>
      <c r="M208" s="8"/>
      <c r="R208" s="8"/>
      <c r="T208" s="33"/>
    </row>
    <row r="209">
      <c r="C209" s="8"/>
      <c r="G209" s="8"/>
      <c r="K209" s="18"/>
      <c r="L209" s="8"/>
      <c r="M209" s="8"/>
      <c r="R209" s="8"/>
      <c r="T209" s="33"/>
    </row>
    <row r="210">
      <c r="C210" s="8"/>
      <c r="G210" s="8"/>
      <c r="K210" s="18"/>
      <c r="L210" s="8"/>
      <c r="M210" s="8"/>
      <c r="R210" s="8"/>
      <c r="T210" s="33"/>
    </row>
    <row r="211">
      <c r="C211" s="8"/>
      <c r="G211" s="8"/>
      <c r="K211" s="18"/>
      <c r="L211" s="8"/>
      <c r="M211" s="8"/>
      <c r="R211" s="8"/>
      <c r="T211" s="33"/>
    </row>
    <row r="212">
      <c r="C212" s="8"/>
      <c r="G212" s="8"/>
      <c r="K212" s="18"/>
      <c r="L212" s="8"/>
      <c r="M212" s="8"/>
      <c r="R212" s="8"/>
      <c r="T212" s="33"/>
    </row>
    <row r="213">
      <c r="C213" s="8"/>
      <c r="G213" s="8"/>
      <c r="K213" s="18"/>
      <c r="L213" s="8"/>
      <c r="M213" s="8"/>
      <c r="R213" s="8"/>
      <c r="T213" s="33"/>
    </row>
    <row r="214">
      <c r="C214" s="8"/>
      <c r="G214" s="8"/>
      <c r="K214" s="18"/>
      <c r="L214" s="8"/>
      <c r="M214" s="8"/>
      <c r="R214" s="8"/>
      <c r="T214" s="33"/>
    </row>
    <row r="215">
      <c r="C215" s="8"/>
      <c r="G215" s="8"/>
      <c r="K215" s="18"/>
      <c r="L215" s="8"/>
      <c r="M215" s="8"/>
      <c r="R215" s="8"/>
      <c r="T215" s="33"/>
    </row>
    <row r="216">
      <c r="C216" s="8"/>
      <c r="G216" s="8"/>
      <c r="K216" s="18"/>
      <c r="L216" s="8"/>
      <c r="M216" s="8"/>
      <c r="R216" s="8"/>
      <c r="T216" s="33"/>
    </row>
    <row r="217">
      <c r="C217" s="8"/>
      <c r="G217" s="8"/>
      <c r="K217" s="18"/>
      <c r="L217" s="8"/>
      <c r="M217" s="8"/>
      <c r="R217" s="8"/>
      <c r="T217" s="33"/>
    </row>
    <row r="218">
      <c r="C218" s="8"/>
      <c r="G218" s="8"/>
      <c r="K218" s="18"/>
      <c r="L218" s="8"/>
      <c r="M218" s="8"/>
      <c r="R218" s="8"/>
      <c r="T218" s="33"/>
    </row>
    <row r="219">
      <c r="C219" s="8"/>
      <c r="G219" s="8"/>
      <c r="K219" s="18"/>
      <c r="L219" s="8"/>
      <c r="M219" s="8"/>
      <c r="R219" s="8"/>
      <c r="T219" s="33"/>
    </row>
    <row r="220">
      <c r="C220" s="8"/>
      <c r="G220" s="8"/>
      <c r="K220" s="18"/>
      <c r="L220" s="8"/>
      <c r="M220" s="8"/>
      <c r="R220" s="8"/>
      <c r="T220" s="33"/>
    </row>
    <row r="221">
      <c r="C221" s="8"/>
      <c r="G221" s="8"/>
      <c r="K221" s="18"/>
      <c r="L221" s="8"/>
      <c r="M221" s="8"/>
      <c r="R221" s="8"/>
      <c r="T221" s="33"/>
    </row>
    <row r="222">
      <c r="C222" s="8"/>
      <c r="G222" s="8"/>
      <c r="K222" s="18"/>
      <c r="L222" s="8"/>
      <c r="M222" s="8"/>
      <c r="R222" s="8"/>
      <c r="T222" s="33"/>
    </row>
    <row r="223">
      <c r="C223" s="8"/>
      <c r="G223" s="8"/>
      <c r="K223" s="18"/>
      <c r="L223" s="8"/>
      <c r="M223" s="8"/>
      <c r="R223" s="8"/>
      <c r="T223" s="33"/>
    </row>
    <row r="224">
      <c r="C224" s="8"/>
      <c r="G224" s="8"/>
      <c r="K224" s="18"/>
      <c r="L224" s="8"/>
      <c r="M224" s="8"/>
      <c r="R224" s="8"/>
      <c r="T224" s="33"/>
    </row>
    <row r="225">
      <c r="C225" s="8"/>
      <c r="G225" s="8"/>
      <c r="K225" s="18"/>
      <c r="L225" s="8"/>
      <c r="M225" s="8"/>
      <c r="R225" s="8"/>
      <c r="T225" s="33"/>
    </row>
    <row r="226">
      <c r="C226" s="8"/>
      <c r="G226" s="8"/>
      <c r="K226" s="18"/>
      <c r="L226" s="8"/>
      <c r="M226" s="8"/>
      <c r="R226" s="8"/>
      <c r="T226" s="33"/>
    </row>
    <row r="227">
      <c r="C227" s="8"/>
      <c r="G227" s="8"/>
      <c r="K227" s="18"/>
      <c r="L227" s="8"/>
      <c r="M227" s="8"/>
      <c r="R227" s="8"/>
      <c r="T227" s="33"/>
    </row>
    <row r="228">
      <c r="C228" s="8"/>
      <c r="G228" s="8"/>
      <c r="K228" s="18"/>
      <c r="L228" s="8"/>
      <c r="M228" s="8"/>
      <c r="R228" s="8"/>
      <c r="T228" s="33"/>
    </row>
    <row r="229">
      <c r="C229" s="8"/>
      <c r="G229" s="8"/>
      <c r="K229" s="18"/>
      <c r="L229" s="8"/>
      <c r="M229" s="8"/>
      <c r="R229" s="8"/>
      <c r="T229" s="33"/>
    </row>
    <row r="230">
      <c r="C230" s="8"/>
      <c r="G230" s="8"/>
      <c r="K230" s="18"/>
      <c r="L230" s="8"/>
      <c r="M230" s="8"/>
      <c r="R230" s="8"/>
      <c r="T230" s="33"/>
    </row>
    <row r="231">
      <c r="C231" s="8"/>
      <c r="G231" s="8"/>
      <c r="K231" s="18"/>
      <c r="L231" s="8"/>
      <c r="M231" s="8"/>
      <c r="R231" s="8"/>
      <c r="T231" s="33"/>
    </row>
    <row r="232">
      <c r="C232" s="8"/>
      <c r="G232" s="8"/>
      <c r="K232" s="18"/>
      <c r="L232" s="8"/>
      <c r="M232" s="8"/>
      <c r="R232" s="8"/>
      <c r="T232" s="33"/>
    </row>
    <row r="233">
      <c r="C233" s="8"/>
      <c r="G233" s="8"/>
      <c r="K233" s="18"/>
      <c r="L233" s="8"/>
      <c r="M233" s="8"/>
      <c r="R233" s="8"/>
      <c r="T233" s="33"/>
    </row>
    <row r="234">
      <c r="C234" s="8"/>
      <c r="G234" s="8"/>
      <c r="K234" s="18"/>
      <c r="L234" s="8"/>
      <c r="M234" s="8"/>
      <c r="R234" s="8"/>
      <c r="T234" s="33"/>
    </row>
    <row r="235">
      <c r="C235" s="8"/>
      <c r="G235" s="8"/>
      <c r="K235" s="18"/>
      <c r="L235" s="8"/>
      <c r="M235" s="8"/>
      <c r="R235" s="8"/>
      <c r="T235" s="33"/>
    </row>
    <row r="236">
      <c r="C236" s="8"/>
      <c r="G236" s="8"/>
      <c r="K236" s="18"/>
      <c r="L236" s="8"/>
      <c r="M236" s="8"/>
      <c r="R236" s="8"/>
      <c r="T236" s="33"/>
    </row>
    <row r="237">
      <c r="C237" s="8"/>
      <c r="G237" s="8"/>
      <c r="K237" s="18"/>
      <c r="L237" s="8"/>
      <c r="M237" s="8"/>
      <c r="R237" s="8"/>
      <c r="T237" s="33"/>
    </row>
    <row r="238">
      <c r="C238" s="8"/>
      <c r="G238" s="8"/>
      <c r="K238" s="18"/>
      <c r="L238" s="8"/>
      <c r="M238" s="8"/>
      <c r="R238" s="8"/>
      <c r="T238" s="33"/>
    </row>
    <row r="239">
      <c r="C239" s="8"/>
      <c r="G239" s="8"/>
      <c r="K239" s="18"/>
      <c r="L239" s="8"/>
      <c r="M239" s="8"/>
      <c r="R239" s="8"/>
      <c r="T239" s="33"/>
    </row>
    <row r="240">
      <c r="C240" s="8"/>
      <c r="G240" s="8"/>
      <c r="K240" s="18"/>
      <c r="L240" s="8"/>
      <c r="M240" s="8"/>
      <c r="R240" s="8"/>
      <c r="T240" s="33"/>
    </row>
    <row r="241">
      <c r="C241" s="8"/>
      <c r="G241" s="8"/>
      <c r="K241" s="18"/>
      <c r="L241" s="8"/>
      <c r="M241" s="8"/>
      <c r="R241" s="8"/>
      <c r="T241" s="33"/>
    </row>
    <row r="242">
      <c r="C242" s="8"/>
      <c r="G242" s="8"/>
      <c r="K242" s="18"/>
      <c r="L242" s="8"/>
      <c r="M242" s="8"/>
      <c r="R242" s="8"/>
      <c r="T242" s="33"/>
    </row>
    <row r="243">
      <c r="C243" s="8"/>
      <c r="G243" s="8"/>
      <c r="K243" s="18"/>
      <c r="L243" s="8"/>
      <c r="M243" s="8"/>
      <c r="R243" s="8"/>
      <c r="T243" s="33"/>
    </row>
    <row r="244">
      <c r="C244" s="8"/>
      <c r="G244" s="8"/>
      <c r="K244" s="18"/>
      <c r="L244" s="8"/>
      <c r="M244" s="8"/>
      <c r="R244" s="8"/>
      <c r="T244" s="33"/>
    </row>
    <row r="245">
      <c r="C245" s="8"/>
      <c r="G245" s="8"/>
      <c r="K245" s="18"/>
      <c r="L245" s="8"/>
      <c r="M245" s="8"/>
      <c r="R245" s="8"/>
      <c r="T245" s="33"/>
    </row>
    <row r="246">
      <c r="C246" s="8"/>
      <c r="G246" s="8"/>
      <c r="K246" s="18"/>
      <c r="L246" s="8"/>
      <c r="M246" s="8"/>
      <c r="R246" s="8"/>
      <c r="T246" s="33"/>
    </row>
    <row r="247">
      <c r="C247" s="8"/>
      <c r="G247" s="8"/>
      <c r="K247" s="18"/>
      <c r="L247" s="8"/>
      <c r="M247" s="8"/>
      <c r="R247" s="8"/>
      <c r="T247" s="33"/>
    </row>
    <row r="248">
      <c r="C248" s="8"/>
      <c r="G248" s="8"/>
      <c r="K248" s="18"/>
      <c r="L248" s="8"/>
      <c r="M248" s="8"/>
      <c r="R248" s="8"/>
      <c r="T248" s="33"/>
    </row>
    <row r="249">
      <c r="C249" s="8"/>
      <c r="G249" s="8"/>
      <c r="K249" s="18"/>
      <c r="L249" s="8"/>
      <c r="M249" s="8"/>
      <c r="R249" s="8"/>
      <c r="T249" s="33"/>
    </row>
    <row r="250">
      <c r="C250" s="8"/>
      <c r="G250" s="8"/>
      <c r="K250" s="18"/>
      <c r="L250" s="8"/>
      <c r="M250" s="8"/>
      <c r="R250" s="8"/>
      <c r="T250" s="33"/>
    </row>
    <row r="251">
      <c r="C251" s="8"/>
      <c r="G251" s="8"/>
      <c r="K251" s="18"/>
      <c r="L251" s="8"/>
      <c r="M251" s="8"/>
      <c r="R251" s="8"/>
      <c r="T251" s="33"/>
    </row>
    <row r="252">
      <c r="C252" s="8"/>
      <c r="G252" s="8"/>
      <c r="K252" s="18"/>
      <c r="L252" s="8"/>
      <c r="M252" s="8"/>
      <c r="R252" s="8"/>
      <c r="T252" s="33"/>
    </row>
    <row r="253">
      <c r="C253" s="8"/>
      <c r="G253" s="8"/>
      <c r="K253" s="18"/>
      <c r="L253" s="8"/>
      <c r="M253" s="8"/>
      <c r="R253" s="8"/>
      <c r="T253" s="33"/>
    </row>
    <row r="254">
      <c r="C254" s="8"/>
      <c r="G254" s="8"/>
      <c r="K254" s="18"/>
      <c r="L254" s="8"/>
      <c r="M254" s="8"/>
      <c r="R254" s="8"/>
      <c r="T254" s="33"/>
    </row>
    <row r="255">
      <c r="C255" s="8"/>
      <c r="G255" s="8"/>
      <c r="K255" s="18"/>
      <c r="L255" s="8"/>
      <c r="M255" s="8"/>
      <c r="R255" s="8"/>
      <c r="T255" s="33"/>
    </row>
    <row r="256">
      <c r="C256" s="8"/>
      <c r="G256" s="8"/>
      <c r="K256" s="18"/>
      <c r="L256" s="8"/>
      <c r="M256" s="8"/>
      <c r="R256" s="8"/>
      <c r="T256" s="33"/>
    </row>
    <row r="257">
      <c r="C257" s="8"/>
      <c r="G257" s="8"/>
      <c r="K257" s="18"/>
      <c r="L257" s="8"/>
      <c r="M257" s="8"/>
      <c r="R257" s="8"/>
      <c r="T257" s="33"/>
    </row>
    <row r="258">
      <c r="C258" s="8"/>
      <c r="G258" s="8"/>
      <c r="K258" s="18"/>
      <c r="L258" s="8"/>
      <c r="M258" s="8"/>
      <c r="R258" s="8"/>
      <c r="T258" s="33"/>
    </row>
    <row r="259">
      <c r="C259" s="8"/>
      <c r="G259" s="8"/>
      <c r="K259" s="18"/>
      <c r="L259" s="8"/>
      <c r="M259" s="8"/>
      <c r="R259" s="8"/>
      <c r="T259" s="33"/>
    </row>
    <row r="260">
      <c r="C260" s="8"/>
      <c r="G260" s="8"/>
      <c r="K260" s="18"/>
      <c r="L260" s="8"/>
      <c r="M260" s="8"/>
      <c r="R260" s="8"/>
      <c r="T260" s="33"/>
    </row>
    <row r="261">
      <c r="C261" s="8"/>
      <c r="G261" s="8"/>
      <c r="K261" s="18"/>
      <c r="L261" s="8"/>
      <c r="M261" s="8"/>
      <c r="R261" s="8"/>
      <c r="T261" s="33"/>
    </row>
    <row r="262">
      <c r="C262" s="8"/>
      <c r="G262" s="8"/>
      <c r="K262" s="18"/>
      <c r="L262" s="8"/>
      <c r="M262" s="8"/>
      <c r="R262" s="8"/>
      <c r="T262" s="33"/>
    </row>
    <row r="263">
      <c r="C263" s="8"/>
      <c r="G263" s="8"/>
      <c r="K263" s="18"/>
      <c r="L263" s="8"/>
      <c r="M263" s="8"/>
      <c r="R263" s="8"/>
      <c r="T263" s="33"/>
    </row>
    <row r="264">
      <c r="C264" s="8"/>
      <c r="G264" s="8"/>
      <c r="K264" s="18"/>
      <c r="L264" s="8"/>
      <c r="M264" s="8"/>
      <c r="R264" s="8"/>
      <c r="T264" s="33"/>
    </row>
    <row r="265">
      <c r="C265" s="8"/>
      <c r="G265" s="8"/>
      <c r="K265" s="18"/>
      <c r="L265" s="8"/>
      <c r="M265" s="8"/>
      <c r="R265" s="8"/>
      <c r="T265" s="33"/>
    </row>
    <row r="266">
      <c r="C266" s="8"/>
      <c r="G266" s="8"/>
      <c r="K266" s="18"/>
      <c r="L266" s="8"/>
      <c r="M266" s="8"/>
      <c r="R266" s="8"/>
      <c r="T266" s="33"/>
    </row>
    <row r="267">
      <c r="C267" s="8"/>
      <c r="G267" s="8"/>
      <c r="K267" s="18"/>
      <c r="L267" s="8"/>
      <c r="M267" s="8"/>
      <c r="R267" s="8"/>
      <c r="T267" s="33"/>
    </row>
    <row r="268">
      <c r="C268" s="8"/>
      <c r="G268" s="8"/>
      <c r="K268" s="18"/>
      <c r="L268" s="8"/>
      <c r="M268" s="8"/>
      <c r="R268" s="8"/>
      <c r="T268" s="33"/>
    </row>
    <row r="269">
      <c r="C269" s="8"/>
      <c r="G269" s="8"/>
      <c r="K269" s="18"/>
      <c r="L269" s="8"/>
      <c r="M269" s="8"/>
      <c r="R269" s="8"/>
      <c r="T269" s="33"/>
    </row>
    <row r="270">
      <c r="C270" s="8"/>
      <c r="G270" s="8"/>
      <c r="K270" s="18"/>
      <c r="L270" s="8"/>
      <c r="M270" s="8"/>
      <c r="R270" s="8"/>
      <c r="T270" s="33"/>
    </row>
    <row r="271">
      <c r="C271" s="8"/>
      <c r="G271" s="8"/>
      <c r="K271" s="18"/>
      <c r="L271" s="8"/>
      <c r="M271" s="8"/>
      <c r="R271" s="8"/>
      <c r="T271" s="33"/>
    </row>
    <row r="272">
      <c r="C272" s="8"/>
      <c r="G272" s="8"/>
      <c r="K272" s="18"/>
      <c r="L272" s="8"/>
      <c r="M272" s="8"/>
      <c r="R272" s="8"/>
      <c r="T272" s="33"/>
    </row>
    <row r="273">
      <c r="C273" s="8"/>
      <c r="G273" s="8"/>
      <c r="K273" s="18"/>
      <c r="L273" s="8"/>
      <c r="M273" s="8"/>
      <c r="R273" s="8"/>
      <c r="T273" s="33"/>
    </row>
    <row r="274">
      <c r="C274" s="8"/>
      <c r="G274" s="8"/>
      <c r="K274" s="18"/>
      <c r="L274" s="8"/>
      <c r="M274" s="8"/>
      <c r="R274" s="8"/>
      <c r="T274" s="33"/>
    </row>
    <row r="275">
      <c r="C275" s="8"/>
      <c r="G275" s="8"/>
      <c r="K275" s="18"/>
      <c r="L275" s="8"/>
      <c r="M275" s="8"/>
      <c r="R275" s="8"/>
      <c r="T275" s="33"/>
    </row>
    <row r="276">
      <c r="C276" s="8"/>
      <c r="G276" s="8"/>
      <c r="K276" s="18"/>
      <c r="L276" s="8"/>
      <c r="M276" s="8"/>
      <c r="R276" s="8"/>
      <c r="T276" s="33"/>
    </row>
    <row r="277">
      <c r="C277" s="8"/>
      <c r="G277" s="8"/>
      <c r="K277" s="18"/>
      <c r="L277" s="8"/>
      <c r="M277" s="8"/>
      <c r="R277" s="8"/>
      <c r="T277" s="33"/>
    </row>
    <row r="278">
      <c r="C278" s="8"/>
      <c r="G278" s="8"/>
      <c r="K278" s="18"/>
      <c r="L278" s="8"/>
      <c r="M278" s="8"/>
      <c r="R278" s="8"/>
      <c r="T278" s="33"/>
    </row>
    <row r="279">
      <c r="C279" s="8"/>
      <c r="G279" s="8"/>
      <c r="K279" s="18"/>
      <c r="L279" s="8"/>
      <c r="M279" s="8"/>
      <c r="R279" s="8"/>
      <c r="T279" s="33"/>
    </row>
    <row r="280">
      <c r="C280" s="8"/>
      <c r="G280" s="8"/>
      <c r="K280" s="18"/>
      <c r="L280" s="8"/>
      <c r="M280" s="8"/>
      <c r="R280" s="8"/>
      <c r="T280" s="33"/>
    </row>
    <row r="281">
      <c r="C281" s="8"/>
      <c r="G281" s="8"/>
      <c r="K281" s="18"/>
      <c r="L281" s="8"/>
      <c r="M281" s="8"/>
      <c r="R281" s="8"/>
      <c r="T281" s="33"/>
    </row>
    <row r="282">
      <c r="C282" s="8"/>
      <c r="G282" s="8"/>
      <c r="K282" s="18"/>
      <c r="L282" s="8"/>
      <c r="M282" s="8"/>
      <c r="R282" s="8"/>
      <c r="T282" s="33"/>
    </row>
    <row r="283">
      <c r="C283" s="8"/>
      <c r="G283" s="8"/>
      <c r="K283" s="18"/>
      <c r="L283" s="8"/>
      <c r="M283" s="8"/>
      <c r="R283" s="8"/>
      <c r="T283" s="33"/>
    </row>
    <row r="284">
      <c r="G284" s="8"/>
      <c r="R284" s="8"/>
      <c r="T284" s="33"/>
    </row>
    <row r="285">
      <c r="G285" s="8"/>
      <c r="R285" s="8"/>
      <c r="T285" s="33"/>
    </row>
    <row r="286">
      <c r="G286" s="8"/>
      <c r="R286" s="8"/>
      <c r="T286" s="33"/>
    </row>
    <row r="287">
      <c r="G287" s="8"/>
      <c r="R287" s="8"/>
      <c r="T287" s="33"/>
    </row>
    <row r="288">
      <c r="G288" s="8"/>
      <c r="R288" s="8"/>
      <c r="T288" s="33"/>
    </row>
    <row r="289">
      <c r="G289" s="8"/>
      <c r="R289" s="8"/>
      <c r="T289" s="33"/>
    </row>
    <row r="290">
      <c r="G290" s="8"/>
      <c r="R290" s="8"/>
      <c r="T290" s="33"/>
    </row>
    <row r="291">
      <c r="G291" s="8"/>
      <c r="R291" s="8"/>
      <c r="T291" s="33"/>
    </row>
    <row r="292">
      <c r="G292" s="8"/>
      <c r="R292" s="8"/>
      <c r="T292" s="33"/>
    </row>
    <row r="293">
      <c r="G293" s="8"/>
      <c r="R293" s="8"/>
      <c r="T293" s="33"/>
    </row>
    <row r="294">
      <c r="G294" s="8"/>
      <c r="R294" s="8"/>
      <c r="T294" s="33"/>
    </row>
    <row r="295">
      <c r="G295" s="8"/>
      <c r="R295" s="8"/>
      <c r="T295" s="33"/>
    </row>
    <row r="296">
      <c r="G296" s="8"/>
      <c r="R296" s="8"/>
      <c r="T296" s="33"/>
    </row>
    <row r="297">
      <c r="G297" s="8"/>
      <c r="R297" s="8"/>
      <c r="T297" s="33"/>
    </row>
    <row r="298">
      <c r="G298" s="8"/>
      <c r="R298" s="8"/>
      <c r="T298" s="33"/>
    </row>
    <row r="299">
      <c r="G299" s="8"/>
      <c r="R299" s="8"/>
      <c r="T299" s="33"/>
    </row>
    <row r="300">
      <c r="G300" s="8"/>
      <c r="R300" s="8"/>
      <c r="T300" s="33"/>
    </row>
    <row r="301">
      <c r="G301" s="8"/>
      <c r="R301" s="8"/>
      <c r="T301" s="33"/>
    </row>
    <row r="302">
      <c r="G302" s="8"/>
      <c r="R302" s="8"/>
      <c r="T302" s="33"/>
    </row>
    <row r="303">
      <c r="G303" s="8"/>
      <c r="R303" s="8"/>
      <c r="T303" s="33"/>
    </row>
    <row r="304">
      <c r="G304" s="8"/>
      <c r="R304" s="8"/>
      <c r="T304" s="33"/>
    </row>
    <row r="305">
      <c r="G305" s="8"/>
      <c r="R305" s="8"/>
      <c r="T305" s="33"/>
    </row>
    <row r="306">
      <c r="G306" s="8"/>
      <c r="R306" s="8"/>
      <c r="T306" s="33"/>
    </row>
    <row r="307">
      <c r="G307" s="8"/>
      <c r="R307" s="8"/>
      <c r="T307" s="33"/>
    </row>
    <row r="308">
      <c r="G308" s="8"/>
      <c r="R308" s="8"/>
      <c r="T308" s="33"/>
    </row>
    <row r="309">
      <c r="G309" s="8"/>
      <c r="R309" s="8"/>
      <c r="T309" s="33"/>
    </row>
    <row r="310">
      <c r="G310" s="8"/>
      <c r="R310" s="8"/>
      <c r="T310" s="33"/>
    </row>
    <row r="311">
      <c r="G311" s="8"/>
      <c r="R311" s="8"/>
      <c r="T311" s="33"/>
    </row>
    <row r="312">
      <c r="G312" s="8"/>
      <c r="R312" s="8"/>
      <c r="T312" s="33"/>
    </row>
    <row r="313">
      <c r="G313" s="8"/>
      <c r="R313" s="8"/>
      <c r="T313" s="33"/>
    </row>
    <row r="314">
      <c r="G314" s="8"/>
      <c r="R314" s="8"/>
      <c r="T314" s="33"/>
    </row>
    <row r="315">
      <c r="G315" s="8"/>
      <c r="R315" s="8"/>
      <c r="T315" s="33"/>
    </row>
    <row r="316">
      <c r="G316" s="8"/>
      <c r="R316" s="8"/>
      <c r="T316" s="33"/>
    </row>
    <row r="317">
      <c r="G317" s="8"/>
      <c r="R317" s="8"/>
      <c r="T317" s="33"/>
    </row>
    <row r="318">
      <c r="G318" s="8"/>
      <c r="R318" s="8"/>
      <c r="T318" s="33"/>
    </row>
    <row r="319">
      <c r="G319" s="8"/>
      <c r="R319" s="8"/>
      <c r="T319" s="33"/>
    </row>
    <row r="320">
      <c r="G320" s="8"/>
      <c r="R320" s="8"/>
      <c r="T320" s="33"/>
    </row>
    <row r="321">
      <c r="G321" s="8"/>
      <c r="R321" s="8"/>
      <c r="T321" s="33"/>
    </row>
    <row r="322">
      <c r="G322" s="8"/>
      <c r="R322" s="8"/>
      <c r="T322" s="33"/>
    </row>
    <row r="323">
      <c r="G323" s="8"/>
      <c r="R323" s="8"/>
      <c r="T323" s="33"/>
    </row>
    <row r="324">
      <c r="G324" s="8"/>
      <c r="R324" s="8"/>
      <c r="T324" s="33"/>
    </row>
    <row r="325">
      <c r="G325" s="8"/>
      <c r="R325" s="8"/>
      <c r="T325" s="33"/>
    </row>
    <row r="326">
      <c r="G326" s="8"/>
      <c r="R326" s="8"/>
      <c r="T326" s="33"/>
    </row>
    <row r="327">
      <c r="G327" s="8"/>
      <c r="R327" s="8"/>
      <c r="T327" s="33"/>
    </row>
    <row r="328">
      <c r="G328" s="8"/>
      <c r="R328" s="8"/>
      <c r="T328" s="33"/>
    </row>
    <row r="329">
      <c r="G329" s="8"/>
      <c r="R329" s="8"/>
      <c r="T329" s="33"/>
    </row>
    <row r="330">
      <c r="G330" s="8"/>
      <c r="R330" s="8"/>
      <c r="T330" s="33"/>
    </row>
    <row r="331">
      <c r="G331" s="8"/>
      <c r="R331" s="8"/>
      <c r="T331" s="33"/>
    </row>
    <row r="332">
      <c r="G332" s="8"/>
      <c r="R332" s="8"/>
      <c r="T332" s="33"/>
    </row>
    <row r="333">
      <c r="G333" s="8"/>
      <c r="R333" s="8"/>
      <c r="T333" s="33"/>
    </row>
    <row r="334">
      <c r="G334" s="8"/>
      <c r="R334" s="8"/>
      <c r="T334" s="33"/>
    </row>
    <row r="335">
      <c r="G335" s="8"/>
      <c r="R335" s="8"/>
      <c r="T335" s="33"/>
    </row>
    <row r="336">
      <c r="G336" s="8"/>
      <c r="R336" s="8"/>
      <c r="T336" s="33"/>
    </row>
    <row r="337">
      <c r="G337" s="8"/>
      <c r="R337" s="8"/>
      <c r="T337" s="33"/>
    </row>
    <row r="338">
      <c r="G338" s="8"/>
      <c r="R338" s="8"/>
      <c r="T338" s="33"/>
    </row>
    <row r="339">
      <c r="G339" s="8"/>
      <c r="R339" s="8"/>
      <c r="T339" s="33"/>
    </row>
    <row r="340">
      <c r="G340" s="8"/>
      <c r="R340" s="8"/>
      <c r="T340" s="33"/>
    </row>
    <row r="341">
      <c r="G341" s="8"/>
      <c r="R341" s="8"/>
      <c r="T341" s="33"/>
    </row>
    <row r="342">
      <c r="G342" s="8"/>
      <c r="R342" s="8"/>
      <c r="T342" s="33"/>
    </row>
    <row r="343">
      <c r="G343" s="8"/>
      <c r="R343" s="8"/>
      <c r="T343" s="33"/>
    </row>
    <row r="344">
      <c r="G344" s="8"/>
      <c r="R344" s="8"/>
      <c r="T344" s="33"/>
    </row>
    <row r="345">
      <c r="G345" s="8"/>
      <c r="R345" s="8"/>
      <c r="T345" s="33"/>
    </row>
    <row r="346">
      <c r="G346" s="8"/>
      <c r="R346" s="8"/>
      <c r="T346" s="33"/>
    </row>
    <row r="347">
      <c r="G347" s="8"/>
      <c r="R347" s="8"/>
      <c r="T347" s="33"/>
    </row>
    <row r="348">
      <c r="G348" s="8"/>
      <c r="R348" s="8"/>
      <c r="T348" s="33"/>
    </row>
    <row r="349">
      <c r="G349" s="8"/>
      <c r="R349" s="8"/>
      <c r="T349" s="33"/>
    </row>
    <row r="350">
      <c r="G350" s="8"/>
      <c r="R350" s="8"/>
      <c r="T350" s="33"/>
    </row>
    <row r="351">
      <c r="G351" s="8"/>
      <c r="R351" s="8"/>
      <c r="T351" s="33"/>
    </row>
    <row r="352">
      <c r="G352" s="8"/>
      <c r="R352" s="8"/>
      <c r="T352" s="33"/>
    </row>
    <row r="353">
      <c r="G353" s="8"/>
      <c r="R353" s="8"/>
      <c r="T353" s="33"/>
    </row>
    <row r="354">
      <c r="G354" s="8"/>
      <c r="R354" s="8"/>
      <c r="T354" s="33"/>
    </row>
    <row r="355">
      <c r="G355" s="8"/>
      <c r="R355" s="8"/>
      <c r="T355" s="33"/>
    </row>
    <row r="356">
      <c r="G356" s="8"/>
      <c r="R356" s="8"/>
      <c r="T356" s="33"/>
    </row>
    <row r="357">
      <c r="G357" s="8"/>
      <c r="R357" s="8"/>
      <c r="T357" s="33"/>
    </row>
    <row r="358">
      <c r="G358" s="8"/>
      <c r="R358" s="8"/>
    </row>
    <row r="359">
      <c r="G359" s="8"/>
      <c r="R359" s="8"/>
    </row>
    <row r="360">
      <c r="G360" s="8"/>
      <c r="R360" s="8"/>
    </row>
    <row r="361">
      <c r="G361" s="8"/>
      <c r="R361" s="8"/>
    </row>
    <row r="362">
      <c r="G362" s="8"/>
      <c r="R362" s="8"/>
    </row>
    <row r="363">
      <c r="G363" s="8"/>
      <c r="R363" s="8"/>
    </row>
    <row r="364">
      <c r="G364" s="8"/>
      <c r="R364" s="8"/>
    </row>
    <row r="365">
      <c r="G365" s="8"/>
      <c r="R365" s="8"/>
    </row>
    <row r="366">
      <c r="G366" s="8"/>
      <c r="R366" s="8"/>
    </row>
    <row r="367">
      <c r="G367" s="8"/>
      <c r="R367" s="8"/>
    </row>
    <row r="368">
      <c r="G368" s="8"/>
      <c r="R368" s="8"/>
    </row>
    <row r="369">
      <c r="G369" s="8"/>
      <c r="R369" s="8"/>
    </row>
    <row r="370">
      <c r="G370" s="8"/>
      <c r="R370" s="8"/>
    </row>
    <row r="371">
      <c r="G371" s="8"/>
      <c r="R371" s="8"/>
    </row>
    <row r="372">
      <c r="G372" s="8"/>
      <c r="R372" s="8"/>
    </row>
    <row r="373">
      <c r="G373" s="8"/>
      <c r="R373" s="8"/>
    </row>
    <row r="374">
      <c r="G374" s="8"/>
      <c r="R374" s="8"/>
    </row>
    <row r="375">
      <c r="G375" s="8"/>
      <c r="R375" s="8"/>
    </row>
    <row r="376">
      <c r="G376" s="8"/>
      <c r="R376" s="8"/>
    </row>
    <row r="377">
      <c r="G377" s="8"/>
      <c r="R377" s="8"/>
    </row>
    <row r="378">
      <c r="G378" s="8"/>
      <c r="R378" s="8"/>
    </row>
    <row r="379">
      <c r="G379" s="8"/>
      <c r="R379" s="8"/>
    </row>
    <row r="380">
      <c r="G380" s="8"/>
      <c r="R380" s="8"/>
    </row>
    <row r="381">
      <c r="G381" s="8"/>
      <c r="R381" s="8"/>
    </row>
    <row r="382">
      <c r="G382" s="8"/>
      <c r="R382" s="8"/>
    </row>
    <row r="383">
      <c r="G383" s="8"/>
      <c r="R383" s="8"/>
    </row>
    <row r="384">
      <c r="G384" s="8"/>
      <c r="R384" s="8"/>
    </row>
    <row r="385">
      <c r="G385" s="8"/>
      <c r="R385" s="8"/>
    </row>
    <row r="386">
      <c r="G386" s="8"/>
      <c r="R386" s="8"/>
    </row>
    <row r="387">
      <c r="G387" s="8"/>
      <c r="R387" s="8"/>
    </row>
    <row r="388">
      <c r="G388" s="8"/>
      <c r="R388" s="8"/>
    </row>
    <row r="389">
      <c r="G389" s="8"/>
      <c r="R389" s="8"/>
    </row>
    <row r="390">
      <c r="G390" s="8"/>
      <c r="R390" s="8"/>
    </row>
    <row r="391">
      <c r="G391" s="8"/>
      <c r="R391" s="8"/>
    </row>
    <row r="392">
      <c r="G392" s="8"/>
      <c r="R392" s="8"/>
    </row>
    <row r="393">
      <c r="G393" s="8"/>
      <c r="R393" s="8"/>
    </row>
    <row r="394">
      <c r="G394" s="8"/>
      <c r="R394" s="8"/>
    </row>
    <row r="395">
      <c r="G395" s="8"/>
      <c r="R395" s="8"/>
    </row>
    <row r="396">
      <c r="G396" s="8"/>
      <c r="R396" s="8"/>
    </row>
    <row r="397">
      <c r="G397" s="8"/>
      <c r="R397" s="8"/>
    </row>
    <row r="398">
      <c r="G398" s="8"/>
      <c r="R398" s="8"/>
    </row>
    <row r="399">
      <c r="G399" s="8"/>
      <c r="R399" s="8"/>
    </row>
    <row r="400">
      <c r="G400" s="8"/>
      <c r="R400" s="8"/>
    </row>
    <row r="401">
      <c r="G401" s="8"/>
      <c r="R401" s="8"/>
    </row>
    <row r="402">
      <c r="G402" s="8"/>
      <c r="R402" s="8"/>
    </row>
    <row r="403">
      <c r="G403" s="8"/>
      <c r="R403" s="8"/>
    </row>
    <row r="404">
      <c r="G404" s="8"/>
      <c r="R404" s="8"/>
    </row>
    <row r="405">
      <c r="G405" s="8"/>
      <c r="R405" s="8"/>
    </row>
    <row r="406">
      <c r="G406" s="8"/>
      <c r="R406" s="8"/>
    </row>
    <row r="407">
      <c r="G407" s="8"/>
      <c r="R407" s="8"/>
    </row>
    <row r="408">
      <c r="G408" s="8"/>
      <c r="R408" s="8"/>
    </row>
    <row r="409">
      <c r="G409" s="8"/>
      <c r="R409" s="8"/>
    </row>
    <row r="410">
      <c r="G410" s="8"/>
      <c r="R410" s="8"/>
    </row>
    <row r="411">
      <c r="G411" s="8"/>
      <c r="R411" s="8"/>
    </row>
    <row r="412">
      <c r="G412" s="8"/>
      <c r="R412" s="8"/>
    </row>
    <row r="413">
      <c r="G413" s="8"/>
      <c r="R413" s="8"/>
    </row>
    <row r="414">
      <c r="G414" s="8"/>
      <c r="R414" s="8"/>
    </row>
    <row r="415">
      <c r="G415" s="8"/>
      <c r="R415" s="8"/>
    </row>
    <row r="416">
      <c r="G416" s="8"/>
      <c r="R416" s="8"/>
    </row>
    <row r="417">
      <c r="G417" s="8"/>
      <c r="R417" s="8"/>
    </row>
    <row r="418">
      <c r="G418" s="8"/>
      <c r="R418" s="8"/>
    </row>
    <row r="419">
      <c r="G419" s="8"/>
      <c r="R419" s="8"/>
    </row>
    <row r="420">
      <c r="G420" s="8"/>
      <c r="R420" s="8"/>
    </row>
    <row r="421">
      <c r="G421" s="8"/>
      <c r="R421" s="8"/>
    </row>
    <row r="422">
      <c r="G422" s="8"/>
      <c r="R422" s="8"/>
    </row>
    <row r="423">
      <c r="G423" s="8"/>
      <c r="R423" s="8"/>
    </row>
    <row r="424">
      <c r="G424" s="8"/>
      <c r="R424" s="8"/>
    </row>
    <row r="425">
      <c r="G425" s="8"/>
      <c r="R425" s="8"/>
    </row>
    <row r="426">
      <c r="G426" s="8"/>
      <c r="R426" s="8"/>
    </row>
    <row r="427">
      <c r="G427" s="8"/>
      <c r="R427" s="8"/>
    </row>
    <row r="428">
      <c r="G428" s="8"/>
      <c r="R428" s="8"/>
    </row>
    <row r="429">
      <c r="G429" s="8"/>
      <c r="R429" s="8"/>
    </row>
    <row r="430">
      <c r="G430" s="8"/>
      <c r="R430" s="8"/>
    </row>
    <row r="431">
      <c r="G431" s="8"/>
      <c r="R431" s="8"/>
    </row>
    <row r="432">
      <c r="G432" s="8"/>
      <c r="R432" s="8"/>
    </row>
    <row r="433">
      <c r="G433" s="8"/>
      <c r="R433" s="8"/>
    </row>
    <row r="434">
      <c r="G434" s="8"/>
      <c r="R434" s="8"/>
    </row>
    <row r="435">
      <c r="G435" s="8"/>
      <c r="R435" s="8"/>
    </row>
    <row r="436">
      <c r="G436" s="8"/>
      <c r="R436" s="8"/>
    </row>
    <row r="437">
      <c r="G437" s="8"/>
      <c r="R437" s="8"/>
    </row>
    <row r="438">
      <c r="G438" s="8"/>
      <c r="R438" s="8"/>
    </row>
    <row r="439">
      <c r="G439" s="8"/>
      <c r="R439" s="8"/>
    </row>
    <row r="440">
      <c r="G440" s="8"/>
      <c r="R440" s="8"/>
    </row>
    <row r="441">
      <c r="G441" s="8"/>
      <c r="R441" s="8"/>
    </row>
    <row r="442">
      <c r="G442" s="8"/>
      <c r="R442" s="8"/>
    </row>
    <row r="443">
      <c r="G443" s="8"/>
      <c r="R443" s="8"/>
    </row>
    <row r="444">
      <c r="G444" s="8"/>
      <c r="R444" s="8"/>
    </row>
    <row r="445">
      <c r="G445" s="8"/>
      <c r="R445" s="8"/>
    </row>
    <row r="446">
      <c r="G446" s="8"/>
      <c r="R446" s="8"/>
    </row>
    <row r="447">
      <c r="G447" s="8"/>
      <c r="R447" s="8"/>
    </row>
    <row r="448">
      <c r="G448" s="8"/>
      <c r="R448" s="8"/>
    </row>
    <row r="449">
      <c r="G449" s="8"/>
      <c r="R449" s="8"/>
    </row>
    <row r="450">
      <c r="G450" s="8"/>
      <c r="R450" s="8"/>
    </row>
    <row r="451">
      <c r="G451" s="8"/>
      <c r="R451" s="8"/>
    </row>
    <row r="452">
      <c r="G452" s="8"/>
      <c r="R452" s="8"/>
    </row>
    <row r="453">
      <c r="G453" s="8"/>
      <c r="R453" s="8"/>
    </row>
    <row r="454">
      <c r="G454" s="8"/>
      <c r="R454" s="8"/>
    </row>
    <row r="455">
      <c r="G455" s="8"/>
      <c r="R455" s="8"/>
    </row>
    <row r="456">
      <c r="G456" s="8"/>
      <c r="R456" s="8"/>
    </row>
    <row r="457">
      <c r="G457" s="8"/>
      <c r="R457" s="8"/>
    </row>
    <row r="458">
      <c r="G458" s="8"/>
      <c r="R458" s="8"/>
    </row>
    <row r="459">
      <c r="G459" s="8"/>
      <c r="R459" s="8"/>
    </row>
    <row r="460">
      <c r="G460" s="8"/>
      <c r="R460" s="8"/>
    </row>
    <row r="461">
      <c r="G461" s="8"/>
      <c r="R461" s="8"/>
    </row>
    <row r="462">
      <c r="G462" s="8"/>
      <c r="R462" s="8"/>
    </row>
    <row r="463">
      <c r="G463" s="8"/>
      <c r="R463" s="8"/>
    </row>
    <row r="464">
      <c r="G464" s="8"/>
      <c r="R464" s="8"/>
    </row>
    <row r="465">
      <c r="G465" s="8"/>
      <c r="R465" s="8"/>
    </row>
    <row r="466">
      <c r="G466" s="8"/>
      <c r="R466" s="8"/>
    </row>
    <row r="467">
      <c r="G467" s="8"/>
      <c r="R467" s="8"/>
    </row>
    <row r="468">
      <c r="G468" s="8"/>
      <c r="R468" s="8"/>
    </row>
    <row r="469">
      <c r="G469" s="8"/>
      <c r="R469" s="8"/>
    </row>
    <row r="470">
      <c r="G470" s="8"/>
      <c r="R470" s="8"/>
    </row>
    <row r="471">
      <c r="G471" s="8"/>
      <c r="R471" s="8"/>
    </row>
    <row r="472">
      <c r="G472" s="8"/>
      <c r="R472" s="8"/>
    </row>
    <row r="473">
      <c r="G473" s="8"/>
      <c r="R473" s="8"/>
    </row>
    <row r="474">
      <c r="G474" s="8"/>
      <c r="R474" s="8"/>
    </row>
    <row r="475">
      <c r="G475" s="8"/>
      <c r="R475" s="8"/>
    </row>
    <row r="476">
      <c r="G476" s="8"/>
      <c r="R476" s="8"/>
    </row>
    <row r="477">
      <c r="G477" s="8"/>
      <c r="R477" s="8"/>
    </row>
    <row r="478">
      <c r="G478" s="8"/>
      <c r="R478" s="8"/>
    </row>
    <row r="479">
      <c r="G479" s="8"/>
      <c r="R479" s="8"/>
    </row>
    <row r="480">
      <c r="G480" s="8"/>
      <c r="R480" s="8"/>
    </row>
    <row r="481">
      <c r="G481" s="8"/>
      <c r="R481" s="8"/>
    </row>
    <row r="482">
      <c r="G482" s="8"/>
      <c r="R482" s="8"/>
    </row>
    <row r="483">
      <c r="G483" s="8"/>
      <c r="R483" s="8"/>
    </row>
    <row r="484">
      <c r="G484" s="8"/>
      <c r="R484" s="8"/>
    </row>
    <row r="485">
      <c r="G485" s="8"/>
      <c r="R485" s="8"/>
    </row>
    <row r="486">
      <c r="G486" s="8"/>
      <c r="R486" s="8"/>
    </row>
    <row r="487">
      <c r="G487" s="8"/>
      <c r="R487" s="8"/>
    </row>
    <row r="488">
      <c r="G488" s="8"/>
      <c r="R488" s="8"/>
    </row>
    <row r="489">
      <c r="G489" s="8"/>
      <c r="R489" s="8"/>
    </row>
    <row r="490">
      <c r="G490" s="8"/>
      <c r="R490" s="8"/>
    </row>
    <row r="491">
      <c r="G491" s="8"/>
      <c r="R491" s="8"/>
    </row>
    <row r="492">
      <c r="G492" s="8"/>
      <c r="R492" s="8"/>
    </row>
    <row r="493">
      <c r="G493" s="8"/>
      <c r="R493" s="8"/>
    </row>
    <row r="494">
      <c r="G494" s="8"/>
      <c r="R494" s="8"/>
    </row>
    <row r="495">
      <c r="G495" s="8"/>
      <c r="R495" s="8"/>
    </row>
    <row r="496">
      <c r="G496" s="8"/>
      <c r="R496" s="8"/>
    </row>
    <row r="497">
      <c r="G497" s="8"/>
      <c r="R497" s="8"/>
    </row>
    <row r="498">
      <c r="G498" s="8"/>
      <c r="R498" s="8"/>
    </row>
    <row r="499">
      <c r="G499" s="8"/>
      <c r="R499" s="8"/>
    </row>
    <row r="500">
      <c r="G500" s="8"/>
      <c r="R500" s="8"/>
    </row>
    <row r="501">
      <c r="G501" s="8"/>
      <c r="R501" s="8"/>
    </row>
    <row r="502">
      <c r="G502" s="8"/>
      <c r="R502" s="8"/>
    </row>
    <row r="503">
      <c r="G503" s="8"/>
      <c r="R503" s="8"/>
    </row>
    <row r="504">
      <c r="G504" s="8"/>
      <c r="R504" s="8"/>
    </row>
    <row r="505">
      <c r="G505" s="8"/>
      <c r="R505" s="8"/>
    </row>
    <row r="506">
      <c r="G506" s="8"/>
      <c r="R506" s="8"/>
    </row>
    <row r="507">
      <c r="G507" s="8"/>
      <c r="R507" s="8"/>
    </row>
    <row r="508">
      <c r="G508" s="8"/>
      <c r="R508" s="8"/>
    </row>
    <row r="509">
      <c r="G509" s="8"/>
      <c r="R509" s="8"/>
    </row>
    <row r="510">
      <c r="G510" s="8"/>
      <c r="R510" s="8"/>
    </row>
    <row r="511">
      <c r="G511" s="8"/>
      <c r="R511" s="8"/>
    </row>
    <row r="512">
      <c r="G512" s="8"/>
      <c r="R512" s="8"/>
    </row>
    <row r="513">
      <c r="G513" s="8"/>
      <c r="R513" s="8"/>
    </row>
    <row r="514">
      <c r="G514" s="8"/>
      <c r="R514" s="8"/>
    </row>
    <row r="515">
      <c r="G515" s="8"/>
      <c r="R515" s="8"/>
    </row>
    <row r="516">
      <c r="G516" s="8"/>
      <c r="R516" s="8"/>
    </row>
    <row r="517">
      <c r="G517" s="8"/>
      <c r="R517" s="8"/>
    </row>
    <row r="518">
      <c r="G518" s="8"/>
      <c r="R518" s="8"/>
    </row>
    <row r="519">
      <c r="G519" s="8"/>
      <c r="R519" s="8"/>
    </row>
    <row r="520">
      <c r="G520" s="8"/>
      <c r="R520" s="8"/>
    </row>
    <row r="521">
      <c r="G521" s="8"/>
      <c r="R521" s="8"/>
    </row>
    <row r="522">
      <c r="G522" s="8"/>
      <c r="R522" s="8"/>
    </row>
    <row r="523">
      <c r="G523" s="8"/>
      <c r="R523" s="8"/>
    </row>
    <row r="524">
      <c r="G524" s="8"/>
      <c r="R524" s="8"/>
    </row>
    <row r="525">
      <c r="G525" s="8"/>
      <c r="R525" s="8"/>
    </row>
    <row r="526">
      <c r="G526" s="8"/>
      <c r="R526" s="8"/>
    </row>
    <row r="527">
      <c r="G527" s="8"/>
      <c r="R527" s="8"/>
    </row>
    <row r="528">
      <c r="G528" s="8"/>
      <c r="R528" s="8"/>
    </row>
    <row r="529">
      <c r="G529" s="8"/>
      <c r="R529" s="8"/>
    </row>
    <row r="530">
      <c r="G530" s="8"/>
      <c r="R530" s="8"/>
    </row>
    <row r="531">
      <c r="G531" s="8"/>
      <c r="R531" s="8"/>
    </row>
    <row r="532">
      <c r="G532" s="8"/>
      <c r="R532" s="8"/>
    </row>
    <row r="533">
      <c r="G533" s="8"/>
      <c r="R533" s="8"/>
    </row>
    <row r="534">
      <c r="G534" s="8"/>
      <c r="R534" s="8"/>
    </row>
    <row r="535">
      <c r="G535" s="8"/>
      <c r="R535" s="8"/>
    </row>
    <row r="536">
      <c r="G536" s="8"/>
      <c r="R536" s="8"/>
    </row>
    <row r="537">
      <c r="G537" s="8"/>
      <c r="R537" s="8"/>
    </row>
    <row r="538">
      <c r="G538" s="8"/>
      <c r="R538" s="8"/>
    </row>
    <row r="539">
      <c r="G539" s="8"/>
      <c r="R539" s="8"/>
    </row>
    <row r="540">
      <c r="G540" s="8"/>
      <c r="R540" s="8"/>
    </row>
    <row r="541">
      <c r="G541" s="8"/>
      <c r="R541" s="8"/>
    </row>
    <row r="542">
      <c r="G542" s="8"/>
      <c r="R542" s="8"/>
    </row>
    <row r="543">
      <c r="G543" s="8"/>
      <c r="R543" s="8"/>
    </row>
    <row r="544">
      <c r="G544" s="8"/>
      <c r="R544" s="8"/>
    </row>
    <row r="545">
      <c r="G545" s="8"/>
      <c r="R545" s="8"/>
    </row>
    <row r="546">
      <c r="G546" s="8"/>
      <c r="R546" s="8"/>
    </row>
    <row r="547">
      <c r="G547" s="8"/>
      <c r="R547" s="8"/>
    </row>
    <row r="548">
      <c r="G548" s="8"/>
      <c r="R548" s="8"/>
    </row>
    <row r="549">
      <c r="G549" s="8"/>
      <c r="R549" s="8"/>
    </row>
    <row r="550">
      <c r="G550" s="8"/>
      <c r="R550" s="8"/>
    </row>
    <row r="551">
      <c r="G551" s="8"/>
      <c r="R551" s="8"/>
    </row>
    <row r="552">
      <c r="G552" s="8"/>
      <c r="R552" s="8"/>
    </row>
    <row r="553">
      <c r="G553" s="8"/>
      <c r="R553" s="8"/>
    </row>
    <row r="554">
      <c r="G554" s="8"/>
      <c r="R554" s="8"/>
    </row>
    <row r="555">
      <c r="G555" s="8"/>
      <c r="R555" s="8"/>
    </row>
    <row r="556">
      <c r="G556" s="8"/>
      <c r="R556" s="8"/>
    </row>
    <row r="557">
      <c r="G557" s="8"/>
      <c r="R557" s="8"/>
    </row>
    <row r="558">
      <c r="G558" s="8"/>
      <c r="R558" s="8"/>
    </row>
    <row r="559">
      <c r="G559" s="8"/>
      <c r="R559" s="8"/>
    </row>
    <row r="560">
      <c r="G560" s="8"/>
      <c r="R560" s="8"/>
    </row>
    <row r="561">
      <c r="G561" s="8"/>
      <c r="R561" s="8"/>
    </row>
    <row r="562">
      <c r="G562" s="8"/>
      <c r="R562" s="8"/>
    </row>
    <row r="563">
      <c r="G563" s="8"/>
      <c r="R563" s="8"/>
    </row>
    <row r="564">
      <c r="G564" s="8"/>
      <c r="R564" s="8"/>
    </row>
    <row r="565">
      <c r="G565" s="8"/>
      <c r="R565" s="8"/>
    </row>
    <row r="566">
      <c r="G566" s="8"/>
      <c r="R566" s="8"/>
    </row>
    <row r="567">
      <c r="G567" s="8"/>
      <c r="R567" s="8"/>
    </row>
    <row r="568">
      <c r="G568" s="8"/>
      <c r="R568" s="8"/>
    </row>
    <row r="569">
      <c r="G569" s="8"/>
      <c r="R569" s="8"/>
    </row>
    <row r="570">
      <c r="G570" s="8"/>
      <c r="R570" s="8"/>
    </row>
    <row r="571">
      <c r="G571" s="8"/>
      <c r="R571" s="8"/>
    </row>
    <row r="572">
      <c r="G572" s="8"/>
      <c r="R572" s="8"/>
    </row>
    <row r="573">
      <c r="G573" s="8"/>
      <c r="R573" s="8"/>
    </row>
    <row r="574">
      <c r="G574" s="8"/>
      <c r="R574" s="8"/>
    </row>
    <row r="575">
      <c r="G575" s="8"/>
      <c r="R575" s="8"/>
    </row>
    <row r="576">
      <c r="G576" s="8"/>
      <c r="R576" s="8"/>
    </row>
    <row r="577">
      <c r="G577" s="8"/>
      <c r="R577" s="8"/>
    </row>
    <row r="578">
      <c r="G578" s="8"/>
      <c r="R578" s="8"/>
    </row>
    <row r="579">
      <c r="G579" s="8"/>
      <c r="R579" s="8"/>
    </row>
    <row r="580">
      <c r="G580" s="8"/>
      <c r="R580" s="8"/>
    </row>
    <row r="581">
      <c r="G581" s="8"/>
      <c r="R581" s="8"/>
    </row>
    <row r="582">
      <c r="G582" s="8"/>
      <c r="R582" s="8"/>
    </row>
    <row r="583">
      <c r="G583" s="8"/>
      <c r="R583" s="8"/>
    </row>
    <row r="584">
      <c r="G584" s="8"/>
      <c r="R584" s="8"/>
    </row>
    <row r="585">
      <c r="G585" s="8"/>
      <c r="R585" s="8"/>
    </row>
    <row r="586">
      <c r="G586" s="8"/>
      <c r="R586" s="8"/>
    </row>
    <row r="587">
      <c r="G587" s="8"/>
      <c r="R587" s="8"/>
    </row>
    <row r="588">
      <c r="G588" s="8"/>
      <c r="R588" s="8"/>
    </row>
    <row r="589">
      <c r="G589" s="8"/>
      <c r="R589" s="8"/>
    </row>
    <row r="590">
      <c r="G590" s="8"/>
      <c r="R590" s="8"/>
    </row>
    <row r="591">
      <c r="G591" s="8"/>
      <c r="R591" s="8"/>
    </row>
    <row r="592">
      <c r="G592" s="8"/>
      <c r="R592" s="8"/>
    </row>
    <row r="593">
      <c r="G593" s="8"/>
      <c r="R593" s="8"/>
    </row>
    <row r="594">
      <c r="G594" s="8"/>
      <c r="R594" s="8"/>
    </row>
    <row r="595">
      <c r="G595" s="8"/>
      <c r="R595" s="8"/>
    </row>
    <row r="596">
      <c r="G596" s="8"/>
      <c r="R596" s="8"/>
    </row>
    <row r="597">
      <c r="G597" s="8"/>
      <c r="R597" s="8"/>
    </row>
    <row r="598">
      <c r="G598" s="8"/>
      <c r="R598" s="8"/>
    </row>
    <row r="599">
      <c r="G599" s="8"/>
      <c r="R599" s="8"/>
    </row>
    <row r="600">
      <c r="G600" s="8"/>
      <c r="R600" s="8"/>
    </row>
    <row r="601">
      <c r="G601" s="8"/>
      <c r="R601" s="8"/>
    </row>
    <row r="602">
      <c r="G602" s="8"/>
      <c r="R602" s="8"/>
    </row>
    <row r="603">
      <c r="G603" s="8"/>
      <c r="R603" s="8"/>
    </row>
    <row r="604">
      <c r="G604" s="8"/>
      <c r="R604" s="8"/>
    </row>
    <row r="605">
      <c r="G605" s="8"/>
      <c r="R605" s="8"/>
    </row>
    <row r="606">
      <c r="G606" s="8"/>
      <c r="R606" s="8"/>
    </row>
    <row r="607">
      <c r="G607" s="8"/>
      <c r="R607" s="8"/>
    </row>
    <row r="608">
      <c r="G608" s="8"/>
      <c r="R608" s="8"/>
    </row>
    <row r="609">
      <c r="G609" s="8"/>
      <c r="R609" s="8"/>
    </row>
    <row r="610">
      <c r="G610" s="8"/>
      <c r="R610" s="8"/>
    </row>
    <row r="611">
      <c r="G611" s="8"/>
      <c r="R611" s="8"/>
    </row>
    <row r="612">
      <c r="G612" s="8"/>
      <c r="R612" s="8"/>
    </row>
    <row r="613">
      <c r="G613" s="8"/>
      <c r="R613" s="8"/>
    </row>
    <row r="614">
      <c r="G614" s="8"/>
      <c r="R614" s="8"/>
    </row>
    <row r="615">
      <c r="G615" s="8"/>
      <c r="R615" s="8"/>
    </row>
    <row r="616">
      <c r="G616" s="8"/>
      <c r="R616" s="8"/>
    </row>
    <row r="617">
      <c r="G617" s="8"/>
      <c r="R617" s="8"/>
    </row>
    <row r="618">
      <c r="G618" s="8"/>
      <c r="R618" s="8"/>
    </row>
    <row r="619">
      <c r="G619" s="8"/>
      <c r="R619" s="8"/>
    </row>
    <row r="620">
      <c r="G620" s="8"/>
      <c r="R620" s="8"/>
    </row>
    <row r="621">
      <c r="G621" s="8"/>
      <c r="R621" s="8"/>
    </row>
    <row r="622">
      <c r="G622" s="8"/>
      <c r="R622" s="8"/>
    </row>
    <row r="623">
      <c r="G623" s="8"/>
      <c r="R623" s="8"/>
    </row>
    <row r="624">
      <c r="G624" s="8"/>
      <c r="R624" s="8"/>
    </row>
    <row r="625">
      <c r="G625" s="8"/>
      <c r="R625" s="8"/>
    </row>
    <row r="626">
      <c r="G626" s="8"/>
      <c r="R626" s="8"/>
    </row>
    <row r="627">
      <c r="G627" s="8"/>
      <c r="R627" s="8"/>
    </row>
    <row r="628">
      <c r="G628" s="8"/>
      <c r="R628" s="8"/>
    </row>
    <row r="629">
      <c r="G629" s="8"/>
      <c r="R629" s="8"/>
    </row>
    <row r="630">
      <c r="G630" s="8"/>
      <c r="R630" s="8"/>
    </row>
    <row r="631">
      <c r="G631" s="8"/>
      <c r="R631" s="8"/>
    </row>
    <row r="632">
      <c r="G632" s="8"/>
      <c r="R632" s="8"/>
    </row>
    <row r="633">
      <c r="G633" s="8"/>
      <c r="R633" s="8"/>
    </row>
    <row r="634">
      <c r="G634" s="8"/>
      <c r="R634" s="8"/>
    </row>
    <row r="635">
      <c r="G635" s="8"/>
      <c r="R635" s="8"/>
    </row>
    <row r="636">
      <c r="G636" s="8"/>
      <c r="R636" s="8"/>
    </row>
    <row r="637">
      <c r="G637" s="8"/>
      <c r="R637" s="8"/>
    </row>
    <row r="638">
      <c r="G638" s="8"/>
      <c r="R638" s="8"/>
    </row>
    <row r="639">
      <c r="G639" s="8"/>
      <c r="R639" s="8"/>
    </row>
    <row r="640">
      <c r="G640" s="8"/>
      <c r="R640" s="8"/>
    </row>
    <row r="641">
      <c r="G641" s="8"/>
      <c r="R641" s="8"/>
    </row>
    <row r="642">
      <c r="G642" s="8"/>
      <c r="R642" s="8"/>
    </row>
    <row r="643">
      <c r="G643" s="8"/>
      <c r="R643" s="8"/>
    </row>
    <row r="644">
      <c r="G644" s="8"/>
      <c r="R644" s="8"/>
    </row>
    <row r="645">
      <c r="G645" s="8"/>
      <c r="R645" s="8"/>
    </row>
    <row r="646">
      <c r="G646" s="8"/>
      <c r="R646" s="8"/>
    </row>
    <row r="647">
      <c r="G647" s="8"/>
      <c r="R647" s="8"/>
    </row>
    <row r="648">
      <c r="G648" s="8"/>
      <c r="R648" s="8"/>
    </row>
    <row r="649">
      <c r="G649" s="8"/>
      <c r="R649" s="8"/>
    </row>
    <row r="650">
      <c r="G650" s="8"/>
      <c r="R650" s="8"/>
    </row>
    <row r="651">
      <c r="G651" s="8"/>
      <c r="R651" s="8"/>
    </row>
    <row r="652">
      <c r="G652" s="8"/>
      <c r="R652" s="8"/>
    </row>
    <row r="653">
      <c r="G653" s="8"/>
      <c r="R653" s="8"/>
    </row>
    <row r="654">
      <c r="G654" s="8"/>
      <c r="R654" s="8"/>
    </row>
    <row r="655">
      <c r="G655" s="8"/>
      <c r="R655" s="8"/>
    </row>
    <row r="656">
      <c r="G656" s="8"/>
      <c r="R656" s="8"/>
    </row>
    <row r="657">
      <c r="G657" s="8"/>
      <c r="R657" s="8"/>
    </row>
    <row r="658">
      <c r="G658" s="8"/>
      <c r="R658" s="8"/>
    </row>
    <row r="659">
      <c r="G659" s="8"/>
      <c r="R659" s="8"/>
    </row>
    <row r="660">
      <c r="G660" s="8"/>
      <c r="R660" s="8"/>
    </row>
    <row r="661">
      <c r="G661" s="8"/>
      <c r="R661" s="8"/>
    </row>
    <row r="662">
      <c r="G662" s="8"/>
      <c r="R662" s="8"/>
    </row>
    <row r="663">
      <c r="G663" s="8"/>
      <c r="R663" s="8"/>
    </row>
    <row r="664">
      <c r="G664" s="8"/>
      <c r="R664" s="8"/>
    </row>
    <row r="665">
      <c r="G665" s="8"/>
      <c r="R665" s="8"/>
    </row>
    <row r="666">
      <c r="G666" s="8"/>
      <c r="R666" s="8"/>
    </row>
    <row r="667">
      <c r="G667" s="8"/>
      <c r="R667" s="8"/>
    </row>
    <row r="668">
      <c r="G668" s="8"/>
      <c r="R668" s="8"/>
    </row>
    <row r="669">
      <c r="G669" s="8"/>
      <c r="R669" s="8"/>
    </row>
    <row r="670">
      <c r="G670" s="8"/>
      <c r="R670" s="8"/>
    </row>
    <row r="671">
      <c r="G671" s="8"/>
      <c r="R671" s="8"/>
    </row>
    <row r="672">
      <c r="G672" s="8"/>
      <c r="R672" s="8"/>
    </row>
    <row r="673">
      <c r="G673" s="8"/>
      <c r="R673" s="8"/>
    </row>
    <row r="674">
      <c r="G674" s="8"/>
      <c r="R674" s="8"/>
    </row>
    <row r="675">
      <c r="G675" s="8"/>
      <c r="R675" s="8"/>
    </row>
    <row r="676">
      <c r="G676" s="8"/>
      <c r="R676" s="8"/>
    </row>
    <row r="677">
      <c r="G677" s="8"/>
      <c r="R677" s="8"/>
    </row>
    <row r="678">
      <c r="G678" s="8"/>
      <c r="R678" s="8"/>
    </row>
    <row r="679">
      <c r="G679" s="8"/>
      <c r="R679" s="8"/>
    </row>
    <row r="680">
      <c r="G680" s="8"/>
      <c r="R680" s="8"/>
    </row>
    <row r="681">
      <c r="G681" s="8"/>
      <c r="R681" s="8"/>
    </row>
    <row r="682">
      <c r="G682" s="8"/>
      <c r="R682" s="8"/>
    </row>
    <row r="683">
      <c r="G683" s="8"/>
      <c r="R683" s="8"/>
    </row>
    <row r="684">
      <c r="G684" s="8"/>
      <c r="R684" s="8"/>
    </row>
    <row r="685">
      <c r="G685" s="8"/>
      <c r="R685" s="8"/>
    </row>
    <row r="686">
      <c r="G686" s="8"/>
      <c r="R686" s="8"/>
    </row>
    <row r="687">
      <c r="G687" s="8"/>
      <c r="R687" s="8"/>
    </row>
    <row r="688">
      <c r="G688" s="8"/>
      <c r="R688" s="8"/>
    </row>
    <row r="689">
      <c r="G689" s="8"/>
      <c r="R689" s="8"/>
    </row>
    <row r="690">
      <c r="G690" s="8"/>
      <c r="R690" s="8"/>
    </row>
    <row r="691">
      <c r="G691" s="8"/>
      <c r="R691" s="8"/>
    </row>
    <row r="692">
      <c r="G692" s="8"/>
      <c r="R692" s="8"/>
    </row>
    <row r="693">
      <c r="G693" s="8"/>
      <c r="R693" s="8"/>
    </row>
    <row r="694">
      <c r="G694" s="8"/>
      <c r="R694" s="8"/>
    </row>
    <row r="695">
      <c r="G695" s="8"/>
      <c r="R695" s="8"/>
    </row>
    <row r="696">
      <c r="G696" s="8"/>
      <c r="R696" s="8"/>
    </row>
    <row r="697">
      <c r="G697" s="8"/>
      <c r="R697" s="8"/>
    </row>
    <row r="698">
      <c r="G698" s="8"/>
      <c r="R698" s="8"/>
    </row>
    <row r="699">
      <c r="G699" s="8"/>
      <c r="R699" s="8"/>
    </row>
    <row r="700">
      <c r="G700" s="8"/>
      <c r="R700" s="8"/>
    </row>
    <row r="701">
      <c r="G701" s="8"/>
      <c r="R701" s="8"/>
    </row>
    <row r="702">
      <c r="G702" s="8"/>
      <c r="R702" s="8"/>
    </row>
    <row r="703">
      <c r="G703" s="8"/>
      <c r="R703" s="8"/>
    </row>
    <row r="704">
      <c r="G704" s="8"/>
      <c r="R704" s="8"/>
    </row>
    <row r="705">
      <c r="G705" s="8"/>
      <c r="R705" s="8"/>
    </row>
    <row r="706">
      <c r="G706" s="8"/>
      <c r="R706" s="8"/>
    </row>
    <row r="707">
      <c r="G707" s="8"/>
      <c r="R707" s="8"/>
    </row>
    <row r="708">
      <c r="G708" s="8"/>
      <c r="R708" s="8"/>
    </row>
    <row r="709">
      <c r="G709" s="8"/>
      <c r="R709" s="8"/>
    </row>
    <row r="710">
      <c r="G710" s="8"/>
      <c r="R710" s="8"/>
    </row>
    <row r="711">
      <c r="G711" s="8"/>
      <c r="R711" s="8"/>
    </row>
    <row r="712">
      <c r="G712" s="8"/>
      <c r="R712" s="8"/>
    </row>
    <row r="713">
      <c r="G713" s="8"/>
      <c r="R713" s="8"/>
    </row>
    <row r="714">
      <c r="G714" s="8"/>
      <c r="R714" s="8"/>
    </row>
    <row r="715">
      <c r="G715" s="8"/>
      <c r="R715" s="8"/>
    </row>
    <row r="716">
      <c r="G716" s="8"/>
      <c r="R716" s="8"/>
    </row>
    <row r="717">
      <c r="G717" s="8"/>
      <c r="R717" s="8"/>
    </row>
    <row r="718">
      <c r="G718" s="8"/>
      <c r="R718" s="8"/>
    </row>
    <row r="719">
      <c r="G719" s="8"/>
      <c r="R719" s="8"/>
    </row>
    <row r="720">
      <c r="G720" s="8"/>
      <c r="R720" s="8"/>
    </row>
    <row r="721">
      <c r="G721" s="8"/>
      <c r="R721" s="8"/>
    </row>
    <row r="722">
      <c r="G722" s="8"/>
      <c r="R722" s="8"/>
    </row>
    <row r="723">
      <c r="G723" s="8"/>
      <c r="R723" s="8"/>
    </row>
    <row r="724">
      <c r="G724" s="8"/>
      <c r="R724" s="8"/>
    </row>
    <row r="725">
      <c r="G725" s="8"/>
      <c r="R725" s="8"/>
    </row>
    <row r="726">
      <c r="G726" s="8"/>
      <c r="R726" s="8"/>
    </row>
    <row r="727">
      <c r="G727" s="8"/>
      <c r="R727" s="8"/>
    </row>
    <row r="728">
      <c r="G728" s="8"/>
      <c r="R728" s="8"/>
    </row>
    <row r="729">
      <c r="G729" s="8"/>
      <c r="R729" s="8"/>
    </row>
    <row r="730">
      <c r="G730" s="8"/>
      <c r="R730" s="8"/>
    </row>
    <row r="731">
      <c r="G731" s="8"/>
      <c r="R731" s="8"/>
    </row>
    <row r="732">
      <c r="G732" s="8"/>
      <c r="R732" s="8"/>
    </row>
    <row r="733">
      <c r="G733" s="8"/>
      <c r="R733" s="8"/>
    </row>
    <row r="734">
      <c r="G734" s="8"/>
      <c r="R734" s="8"/>
    </row>
    <row r="735">
      <c r="G735" s="8"/>
      <c r="R735" s="8"/>
    </row>
    <row r="736">
      <c r="G736" s="8"/>
      <c r="R736" s="8"/>
    </row>
    <row r="737">
      <c r="G737" s="8"/>
      <c r="R737" s="8"/>
    </row>
    <row r="738">
      <c r="G738" s="8"/>
      <c r="R738" s="8"/>
    </row>
    <row r="739">
      <c r="G739" s="8"/>
      <c r="R739" s="8"/>
    </row>
    <row r="740">
      <c r="G740" s="8"/>
      <c r="R740" s="8"/>
    </row>
    <row r="741">
      <c r="G741" s="8"/>
      <c r="R741" s="8"/>
    </row>
    <row r="742">
      <c r="G742" s="8"/>
      <c r="R742" s="8"/>
    </row>
    <row r="743">
      <c r="G743" s="8"/>
      <c r="R743" s="8"/>
    </row>
    <row r="744">
      <c r="G744" s="8"/>
      <c r="R744" s="8"/>
    </row>
    <row r="745">
      <c r="G745" s="8"/>
      <c r="R745" s="8"/>
    </row>
    <row r="746">
      <c r="G746" s="8"/>
      <c r="R746" s="8"/>
    </row>
    <row r="747">
      <c r="G747" s="8"/>
      <c r="R747" s="8"/>
    </row>
    <row r="748">
      <c r="G748" s="8"/>
      <c r="R748" s="8"/>
    </row>
    <row r="749">
      <c r="G749" s="8"/>
      <c r="R749" s="8"/>
    </row>
    <row r="750">
      <c r="G750" s="8"/>
      <c r="R750" s="8"/>
    </row>
    <row r="751">
      <c r="G751" s="8"/>
      <c r="R751" s="8"/>
    </row>
    <row r="752">
      <c r="G752" s="8"/>
      <c r="R752" s="8"/>
    </row>
    <row r="753">
      <c r="G753" s="8"/>
      <c r="R753" s="8"/>
    </row>
    <row r="754">
      <c r="G754" s="8"/>
      <c r="R754" s="8"/>
    </row>
    <row r="755">
      <c r="G755" s="8"/>
      <c r="R755" s="8"/>
    </row>
    <row r="756">
      <c r="G756" s="8"/>
      <c r="R756" s="8"/>
    </row>
    <row r="757">
      <c r="G757" s="8"/>
      <c r="R757" s="8"/>
    </row>
    <row r="758">
      <c r="G758" s="8"/>
      <c r="R758" s="8"/>
    </row>
    <row r="759">
      <c r="G759" s="8"/>
      <c r="R759" s="8"/>
    </row>
    <row r="760">
      <c r="G760" s="8"/>
      <c r="R760" s="8"/>
    </row>
    <row r="761">
      <c r="G761" s="8"/>
      <c r="R761" s="8"/>
    </row>
    <row r="762">
      <c r="G762" s="8"/>
      <c r="R762" s="8"/>
    </row>
    <row r="763">
      <c r="G763" s="8"/>
      <c r="R763" s="8"/>
    </row>
    <row r="764">
      <c r="G764" s="8"/>
      <c r="R764" s="8"/>
    </row>
    <row r="765">
      <c r="G765" s="8"/>
      <c r="R765" s="8"/>
    </row>
    <row r="766">
      <c r="G766" s="8"/>
      <c r="R766" s="8"/>
    </row>
    <row r="767">
      <c r="G767" s="8"/>
      <c r="R767" s="8"/>
    </row>
    <row r="768">
      <c r="G768" s="8"/>
      <c r="R768" s="8"/>
    </row>
    <row r="769">
      <c r="G769" s="8"/>
      <c r="R769" s="8"/>
    </row>
    <row r="770">
      <c r="G770" s="8"/>
      <c r="R770" s="8"/>
    </row>
    <row r="771">
      <c r="G771" s="8"/>
      <c r="R771" s="8"/>
    </row>
    <row r="772">
      <c r="G772" s="8"/>
      <c r="R772" s="8"/>
    </row>
    <row r="773">
      <c r="G773" s="8"/>
      <c r="R773" s="8"/>
    </row>
    <row r="774">
      <c r="G774" s="8"/>
      <c r="R774" s="8"/>
    </row>
    <row r="775">
      <c r="G775" s="8"/>
      <c r="R775" s="8"/>
    </row>
    <row r="776">
      <c r="G776" s="8"/>
      <c r="R776" s="8"/>
    </row>
    <row r="777">
      <c r="G777" s="8"/>
      <c r="R777" s="8"/>
    </row>
    <row r="778">
      <c r="G778" s="8"/>
      <c r="R778" s="8"/>
    </row>
    <row r="779">
      <c r="G779" s="8"/>
      <c r="R779" s="8"/>
    </row>
    <row r="780">
      <c r="G780" s="8"/>
      <c r="R780" s="8"/>
    </row>
    <row r="781">
      <c r="G781" s="8"/>
      <c r="R781" s="8"/>
    </row>
    <row r="782">
      <c r="G782" s="8"/>
      <c r="R782" s="8"/>
    </row>
    <row r="783">
      <c r="G783" s="8"/>
      <c r="R783" s="8"/>
    </row>
    <row r="784">
      <c r="G784" s="8"/>
      <c r="R784" s="8"/>
    </row>
    <row r="785">
      <c r="G785" s="8"/>
      <c r="R785" s="8"/>
    </row>
    <row r="786">
      <c r="G786" s="8"/>
      <c r="R786" s="8"/>
    </row>
    <row r="787">
      <c r="G787" s="8"/>
      <c r="R787" s="8"/>
    </row>
    <row r="788">
      <c r="G788" s="8"/>
      <c r="R788" s="8"/>
    </row>
    <row r="789">
      <c r="G789" s="8"/>
      <c r="R789" s="8"/>
    </row>
    <row r="790">
      <c r="G790" s="8"/>
      <c r="R790" s="8"/>
    </row>
    <row r="791">
      <c r="G791" s="8"/>
      <c r="R791" s="8"/>
    </row>
    <row r="792">
      <c r="G792" s="8"/>
      <c r="R792" s="8"/>
    </row>
    <row r="793">
      <c r="G793" s="8"/>
      <c r="R793" s="8"/>
    </row>
    <row r="794">
      <c r="G794" s="8"/>
      <c r="R794" s="8"/>
    </row>
    <row r="795">
      <c r="G795" s="8"/>
      <c r="R795" s="8"/>
    </row>
    <row r="796">
      <c r="G796" s="8"/>
      <c r="R796" s="8"/>
    </row>
    <row r="797">
      <c r="G797" s="8"/>
      <c r="R797" s="8"/>
    </row>
    <row r="798">
      <c r="G798" s="8"/>
      <c r="R798" s="8"/>
    </row>
    <row r="799">
      <c r="G799" s="8"/>
      <c r="R799" s="8"/>
    </row>
    <row r="800">
      <c r="G800" s="8"/>
      <c r="R800" s="8"/>
    </row>
    <row r="801">
      <c r="G801" s="8"/>
      <c r="R801" s="8"/>
    </row>
    <row r="802">
      <c r="G802" s="8"/>
      <c r="R802" s="8"/>
    </row>
    <row r="803">
      <c r="G803" s="8"/>
      <c r="R803" s="8"/>
    </row>
    <row r="804">
      <c r="G804" s="8"/>
      <c r="R804" s="8"/>
    </row>
    <row r="805">
      <c r="G805" s="8"/>
      <c r="R805" s="8"/>
    </row>
    <row r="806">
      <c r="G806" s="8"/>
      <c r="R806" s="8"/>
    </row>
    <row r="807">
      <c r="G807" s="8"/>
      <c r="R807" s="8"/>
    </row>
    <row r="808">
      <c r="G808" s="8"/>
      <c r="R808" s="8"/>
    </row>
    <row r="809">
      <c r="G809" s="8"/>
      <c r="R809" s="8"/>
    </row>
    <row r="810">
      <c r="G810" s="8"/>
      <c r="R810" s="8"/>
    </row>
    <row r="811">
      <c r="G811" s="8"/>
      <c r="R811" s="8"/>
    </row>
    <row r="812">
      <c r="G812" s="8"/>
      <c r="R812" s="8"/>
    </row>
    <row r="813">
      <c r="G813" s="8"/>
      <c r="R813" s="8"/>
    </row>
    <row r="814">
      <c r="G814" s="8"/>
      <c r="R814" s="8"/>
    </row>
    <row r="815">
      <c r="G815" s="8"/>
      <c r="R815" s="8"/>
    </row>
    <row r="816">
      <c r="G816" s="8"/>
      <c r="R816" s="8"/>
    </row>
    <row r="817">
      <c r="G817" s="8"/>
      <c r="R817" s="8"/>
    </row>
    <row r="818">
      <c r="G818" s="8"/>
      <c r="R818" s="8"/>
    </row>
    <row r="819">
      <c r="G819" s="8"/>
      <c r="R819" s="8"/>
    </row>
    <row r="820">
      <c r="G820" s="8"/>
      <c r="R820" s="8"/>
    </row>
    <row r="821">
      <c r="G821" s="8"/>
      <c r="R821" s="8"/>
    </row>
    <row r="822">
      <c r="G822" s="8"/>
      <c r="R822" s="8"/>
    </row>
    <row r="823">
      <c r="G823" s="8"/>
      <c r="R823" s="8"/>
    </row>
    <row r="824">
      <c r="G824" s="8"/>
      <c r="R824" s="8"/>
    </row>
    <row r="825">
      <c r="G825" s="8"/>
      <c r="R825" s="8"/>
    </row>
    <row r="826">
      <c r="G826" s="8"/>
      <c r="R826" s="8"/>
    </row>
    <row r="827">
      <c r="G827" s="8"/>
      <c r="R827" s="8"/>
    </row>
    <row r="828">
      <c r="G828" s="8"/>
      <c r="R828" s="8"/>
    </row>
    <row r="829">
      <c r="G829" s="8"/>
      <c r="R829" s="8"/>
    </row>
    <row r="830">
      <c r="G830" s="8"/>
      <c r="R830" s="8"/>
    </row>
    <row r="831">
      <c r="G831" s="8"/>
      <c r="R831" s="8"/>
    </row>
    <row r="832">
      <c r="G832" s="8"/>
      <c r="R832" s="8"/>
    </row>
    <row r="833">
      <c r="G833" s="8"/>
      <c r="R833" s="8"/>
    </row>
    <row r="834">
      <c r="G834" s="8"/>
      <c r="R834" s="8"/>
    </row>
    <row r="835">
      <c r="G835" s="8"/>
      <c r="R835" s="8"/>
    </row>
    <row r="836">
      <c r="G836" s="8"/>
      <c r="R836" s="8"/>
    </row>
    <row r="837">
      <c r="G837" s="8"/>
      <c r="R837" s="8"/>
    </row>
    <row r="838">
      <c r="G838" s="8"/>
      <c r="R838" s="8"/>
    </row>
    <row r="839">
      <c r="G839" s="8"/>
      <c r="R839" s="8"/>
    </row>
    <row r="840">
      <c r="G840" s="8"/>
      <c r="R840" s="8"/>
    </row>
    <row r="841">
      <c r="G841" s="8"/>
      <c r="R841" s="8"/>
    </row>
    <row r="842">
      <c r="G842" s="8"/>
      <c r="R842" s="8"/>
    </row>
    <row r="843">
      <c r="G843" s="8"/>
      <c r="R843" s="8"/>
    </row>
    <row r="844">
      <c r="G844" s="8"/>
      <c r="R844" s="8"/>
    </row>
    <row r="845">
      <c r="G845" s="8"/>
      <c r="R845" s="8"/>
    </row>
    <row r="846">
      <c r="G846" s="8"/>
      <c r="R846" s="8"/>
    </row>
    <row r="847">
      <c r="G847" s="8"/>
      <c r="R847" s="8"/>
    </row>
    <row r="848">
      <c r="G848" s="8"/>
      <c r="R848" s="8"/>
    </row>
    <row r="849">
      <c r="G849" s="8"/>
      <c r="R849" s="8"/>
    </row>
    <row r="850">
      <c r="G850" s="8"/>
      <c r="R850" s="8"/>
    </row>
    <row r="851">
      <c r="G851" s="8"/>
      <c r="R851" s="8"/>
    </row>
    <row r="852">
      <c r="G852" s="8"/>
      <c r="R852" s="8"/>
    </row>
    <row r="853">
      <c r="G853" s="8"/>
      <c r="R853" s="8"/>
    </row>
    <row r="854">
      <c r="G854" s="8"/>
      <c r="R854" s="8"/>
    </row>
    <row r="855">
      <c r="G855" s="8"/>
      <c r="R855" s="8"/>
    </row>
    <row r="856">
      <c r="G856" s="8"/>
      <c r="R856" s="8"/>
    </row>
    <row r="857">
      <c r="G857" s="8"/>
      <c r="R857" s="8"/>
    </row>
    <row r="858">
      <c r="G858" s="8"/>
      <c r="R858" s="8"/>
    </row>
    <row r="859">
      <c r="G859" s="8"/>
      <c r="R859" s="8"/>
    </row>
    <row r="860">
      <c r="G860" s="8"/>
      <c r="R860" s="8"/>
    </row>
    <row r="861">
      <c r="G861" s="8"/>
      <c r="R861" s="8"/>
    </row>
    <row r="862">
      <c r="G862" s="8"/>
      <c r="R862" s="8"/>
    </row>
    <row r="863">
      <c r="G863" s="8"/>
      <c r="R863" s="8"/>
    </row>
    <row r="864">
      <c r="G864" s="8"/>
      <c r="R864" s="8"/>
    </row>
    <row r="865">
      <c r="G865" s="8"/>
      <c r="R865" s="8"/>
    </row>
    <row r="866">
      <c r="G866" s="8"/>
      <c r="R866" s="8"/>
    </row>
    <row r="867">
      <c r="G867" s="8"/>
      <c r="R867" s="8"/>
    </row>
    <row r="868">
      <c r="G868" s="8"/>
      <c r="R868" s="8"/>
    </row>
    <row r="869">
      <c r="G869" s="8"/>
      <c r="R869" s="8"/>
    </row>
    <row r="870">
      <c r="G870" s="8"/>
      <c r="R870" s="8"/>
    </row>
    <row r="871">
      <c r="G871" s="8"/>
      <c r="R871" s="8"/>
    </row>
    <row r="872">
      <c r="G872" s="8"/>
      <c r="R872" s="8"/>
    </row>
    <row r="873">
      <c r="G873" s="8"/>
      <c r="R873" s="8"/>
    </row>
    <row r="874">
      <c r="G874" s="8"/>
      <c r="R874" s="8"/>
    </row>
    <row r="875">
      <c r="G875" s="8"/>
      <c r="R875" s="8"/>
    </row>
    <row r="876">
      <c r="G876" s="8"/>
      <c r="R876" s="8"/>
    </row>
    <row r="877">
      <c r="G877" s="8"/>
      <c r="R877" s="8"/>
    </row>
    <row r="878">
      <c r="G878" s="8"/>
      <c r="R878" s="8"/>
    </row>
    <row r="879">
      <c r="G879" s="8"/>
      <c r="R879" s="8"/>
    </row>
    <row r="880">
      <c r="G880" s="8"/>
      <c r="R880" s="8"/>
    </row>
    <row r="881">
      <c r="G881" s="8"/>
      <c r="R881" s="8"/>
    </row>
    <row r="882">
      <c r="G882" s="8"/>
      <c r="R882" s="8"/>
    </row>
    <row r="883">
      <c r="G883" s="8"/>
      <c r="R883" s="8"/>
    </row>
    <row r="884">
      <c r="G884" s="8"/>
      <c r="R884" s="8"/>
    </row>
    <row r="885">
      <c r="G885" s="8"/>
      <c r="R885" s="8"/>
    </row>
    <row r="886">
      <c r="G886" s="8"/>
      <c r="R886" s="8"/>
    </row>
    <row r="887">
      <c r="G887" s="8"/>
      <c r="R887" s="8"/>
    </row>
    <row r="888">
      <c r="G888" s="8"/>
      <c r="R888" s="8"/>
    </row>
    <row r="889">
      <c r="G889" s="8"/>
      <c r="R889" s="8"/>
    </row>
    <row r="890">
      <c r="G890" s="8"/>
      <c r="R890" s="8"/>
    </row>
    <row r="891">
      <c r="G891" s="8"/>
      <c r="R891" s="8"/>
    </row>
    <row r="892">
      <c r="G892" s="8"/>
      <c r="R892" s="8"/>
    </row>
    <row r="893">
      <c r="G893" s="8"/>
      <c r="R893" s="8"/>
    </row>
    <row r="894">
      <c r="G894" s="8"/>
      <c r="R894" s="8"/>
    </row>
    <row r="895">
      <c r="G895" s="8"/>
      <c r="R895" s="8"/>
    </row>
    <row r="896">
      <c r="G896" s="8"/>
      <c r="R896" s="8"/>
    </row>
    <row r="897">
      <c r="G897" s="8"/>
      <c r="R897" s="8"/>
    </row>
    <row r="898">
      <c r="G898" s="8"/>
      <c r="R898" s="8"/>
    </row>
    <row r="899">
      <c r="G899" s="8"/>
      <c r="R899" s="8"/>
    </row>
    <row r="900">
      <c r="G900" s="8"/>
      <c r="R900" s="8"/>
    </row>
    <row r="901">
      <c r="G901" s="8"/>
      <c r="R901" s="8"/>
    </row>
    <row r="902">
      <c r="G902" s="8"/>
      <c r="R902" s="8"/>
    </row>
    <row r="903">
      <c r="G903" s="8"/>
      <c r="R903" s="8"/>
    </row>
    <row r="904">
      <c r="G904" s="8"/>
      <c r="R904" s="8"/>
    </row>
    <row r="905">
      <c r="G905" s="8"/>
      <c r="R905" s="8"/>
    </row>
    <row r="906">
      <c r="G906" s="8"/>
      <c r="R906" s="8"/>
    </row>
    <row r="907">
      <c r="G907" s="8"/>
      <c r="R907" s="8"/>
    </row>
    <row r="908">
      <c r="G908" s="8"/>
      <c r="R908" s="8"/>
    </row>
    <row r="909">
      <c r="G909" s="8"/>
      <c r="R909" s="8"/>
    </row>
    <row r="910">
      <c r="G910" s="8"/>
      <c r="R910" s="8"/>
    </row>
    <row r="911">
      <c r="G911" s="8"/>
      <c r="R911" s="8"/>
    </row>
    <row r="912">
      <c r="G912" s="8"/>
      <c r="R912" s="8"/>
    </row>
    <row r="913">
      <c r="G913" s="8"/>
      <c r="R913" s="8"/>
    </row>
    <row r="914">
      <c r="G914" s="8"/>
      <c r="R914" s="8"/>
    </row>
    <row r="915">
      <c r="G915" s="8"/>
      <c r="R915" s="8"/>
    </row>
    <row r="916">
      <c r="G916" s="8"/>
      <c r="R916" s="8"/>
    </row>
    <row r="917">
      <c r="G917" s="8"/>
      <c r="R917" s="8"/>
    </row>
    <row r="918">
      <c r="G918" s="8"/>
      <c r="R918" s="8"/>
    </row>
    <row r="919">
      <c r="G919" s="8"/>
      <c r="R919" s="8"/>
    </row>
    <row r="920">
      <c r="G920" s="8"/>
      <c r="R920" s="8"/>
    </row>
    <row r="921">
      <c r="G921" s="8"/>
      <c r="R921" s="8"/>
    </row>
    <row r="922">
      <c r="G922" s="8"/>
      <c r="R922" s="8"/>
    </row>
    <row r="923">
      <c r="G923" s="8"/>
      <c r="R923" s="8"/>
    </row>
    <row r="924">
      <c r="G924" s="8"/>
      <c r="R924" s="8"/>
    </row>
    <row r="925">
      <c r="G925" s="8"/>
      <c r="R925" s="8"/>
    </row>
    <row r="926">
      <c r="G926" s="8"/>
      <c r="R926" s="8"/>
    </row>
    <row r="927">
      <c r="G927" s="8"/>
      <c r="R927" s="8"/>
    </row>
    <row r="928">
      <c r="G928" s="8"/>
      <c r="R928" s="8"/>
    </row>
    <row r="929">
      <c r="G929" s="8"/>
      <c r="R929" s="8"/>
    </row>
    <row r="930">
      <c r="G930" s="8"/>
      <c r="R930" s="8"/>
    </row>
    <row r="931">
      <c r="G931" s="8"/>
      <c r="R931" s="8"/>
    </row>
    <row r="932">
      <c r="G932" s="8"/>
      <c r="R932" s="8"/>
    </row>
    <row r="933">
      <c r="G933" s="8"/>
      <c r="R933" s="8"/>
    </row>
    <row r="934">
      <c r="G934" s="8"/>
      <c r="R934" s="8"/>
    </row>
    <row r="935">
      <c r="G935" s="8"/>
      <c r="R935" s="8"/>
    </row>
    <row r="936">
      <c r="G936" s="8"/>
      <c r="R936" s="8"/>
    </row>
    <row r="937">
      <c r="G937" s="8"/>
      <c r="R937" s="8"/>
    </row>
    <row r="938">
      <c r="G938" s="8"/>
      <c r="R938" s="8"/>
    </row>
    <row r="939">
      <c r="G939" s="8"/>
      <c r="R939" s="8"/>
    </row>
    <row r="940">
      <c r="G940" s="8"/>
      <c r="R940" s="8"/>
    </row>
    <row r="941">
      <c r="G941" s="8"/>
      <c r="R941" s="8"/>
    </row>
    <row r="942">
      <c r="G942" s="8"/>
      <c r="R942" s="8"/>
    </row>
    <row r="943">
      <c r="G943" s="8"/>
      <c r="R943" s="8"/>
    </row>
    <row r="944">
      <c r="G944" s="8"/>
      <c r="R944" s="8"/>
    </row>
    <row r="945">
      <c r="G945" s="8"/>
      <c r="R945" s="8"/>
    </row>
    <row r="946">
      <c r="G946" s="8"/>
      <c r="R946" s="8"/>
    </row>
    <row r="947">
      <c r="G947" s="8"/>
      <c r="R947" s="8"/>
    </row>
    <row r="948">
      <c r="G948" s="8"/>
      <c r="R948" s="8"/>
    </row>
    <row r="949">
      <c r="G949" s="8"/>
      <c r="R949" s="8"/>
    </row>
    <row r="950">
      <c r="G950" s="8"/>
      <c r="R950" s="8"/>
    </row>
    <row r="951">
      <c r="G951" s="8"/>
      <c r="R951" s="8"/>
    </row>
    <row r="952">
      <c r="G952" s="8"/>
      <c r="R952" s="8"/>
    </row>
    <row r="953">
      <c r="G953" s="8"/>
      <c r="R953" s="8"/>
    </row>
    <row r="954">
      <c r="G954" s="8"/>
      <c r="R954" s="8"/>
    </row>
    <row r="955">
      <c r="G955" s="8"/>
      <c r="R955" s="8"/>
    </row>
    <row r="956">
      <c r="G956" s="8"/>
      <c r="R956" s="8"/>
    </row>
    <row r="957">
      <c r="G957" s="8"/>
      <c r="R957" s="8"/>
    </row>
    <row r="958">
      <c r="G958" s="8"/>
      <c r="R958" s="8"/>
    </row>
    <row r="959">
      <c r="G959" s="8"/>
      <c r="R959" s="8"/>
    </row>
    <row r="960">
      <c r="G960" s="8"/>
      <c r="R960" s="8"/>
    </row>
    <row r="961">
      <c r="G961" s="8"/>
      <c r="R961" s="8"/>
    </row>
    <row r="962">
      <c r="G962" s="8"/>
      <c r="R962" s="8"/>
    </row>
    <row r="963">
      <c r="G963" s="8"/>
      <c r="R963" s="8"/>
    </row>
    <row r="964">
      <c r="G964" s="8"/>
      <c r="R964" s="8"/>
    </row>
    <row r="965">
      <c r="G965" s="8"/>
      <c r="R965" s="8"/>
    </row>
    <row r="966">
      <c r="G966" s="8"/>
      <c r="R966" s="8"/>
    </row>
    <row r="967">
      <c r="G967" s="8"/>
      <c r="R967" s="8"/>
    </row>
    <row r="968">
      <c r="G968" s="8"/>
      <c r="R968" s="8"/>
    </row>
    <row r="969">
      <c r="G969" s="8"/>
      <c r="R969" s="8"/>
    </row>
    <row r="970">
      <c r="G970" s="8"/>
      <c r="R970" s="8"/>
    </row>
    <row r="971">
      <c r="G971" s="8"/>
      <c r="R971" s="8"/>
    </row>
    <row r="972">
      <c r="G972" s="8"/>
      <c r="R972" s="8"/>
    </row>
    <row r="973">
      <c r="G973" s="8"/>
      <c r="R973" s="8"/>
    </row>
    <row r="974">
      <c r="G974" s="8"/>
      <c r="R974" s="8"/>
    </row>
    <row r="975">
      <c r="G975" s="8"/>
      <c r="R975" s="8"/>
    </row>
    <row r="976">
      <c r="G976" s="8"/>
      <c r="R976" s="8"/>
    </row>
    <row r="977">
      <c r="G977" s="8"/>
      <c r="R977" s="8"/>
    </row>
    <row r="978">
      <c r="G978" s="8"/>
      <c r="R978" s="8"/>
    </row>
    <row r="979">
      <c r="G979" s="8"/>
      <c r="R979" s="8"/>
    </row>
    <row r="980">
      <c r="G980" s="8"/>
      <c r="R980" s="8"/>
    </row>
    <row r="981">
      <c r="G981" s="8"/>
      <c r="R981" s="8"/>
    </row>
    <row r="982">
      <c r="G982" s="8"/>
      <c r="R982" s="8"/>
    </row>
    <row r="983">
      <c r="G983" s="8"/>
      <c r="R983" s="8"/>
    </row>
    <row r="984">
      <c r="G984" s="8"/>
      <c r="R984" s="8"/>
    </row>
    <row r="985">
      <c r="G985" s="8"/>
      <c r="R985" s="8"/>
    </row>
    <row r="986">
      <c r="G986" s="8"/>
      <c r="R986" s="8"/>
    </row>
    <row r="987">
      <c r="G987" s="8"/>
      <c r="R987" s="8"/>
    </row>
    <row r="988">
      <c r="G988" s="8"/>
      <c r="R988" s="8"/>
    </row>
    <row r="989">
      <c r="G989" s="8"/>
      <c r="R989" s="8"/>
    </row>
    <row r="990">
      <c r="G990" s="8"/>
      <c r="R990" s="8"/>
    </row>
    <row r="991">
      <c r="G991" s="8"/>
      <c r="R991" s="8"/>
    </row>
    <row r="992">
      <c r="G992" s="8"/>
      <c r="R992" s="8"/>
    </row>
    <row r="993">
      <c r="G993" s="8"/>
      <c r="R993" s="8"/>
    </row>
    <row r="994">
      <c r="G994" s="8"/>
      <c r="R994" s="8"/>
    </row>
    <row r="995">
      <c r="G995" s="8"/>
      <c r="R995" s="8"/>
    </row>
    <row r="996">
      <c r="G996" s="8"/>
      <c r="R996" s="8"/>
    </row>
    <row r="997">
      <c r="G997" s="8"/>
      <c r="R997" s="8"/>
    </row>
    <row r="998">
      <c r="G998" s="8"/>
      <c r="R998" s="8"/>
    </row>
    <row r="999">
      <c r="G999" s="8"/>
      <c r="R999" s="8"/>
    </row>
  </sheetData>
  <mergeCells count="3">
    <mergeCell ref="A1:U2"/>
    <mergeCell ref="A3:N4"/>
    <mergeCell ref="P3:U4"/>
  </mergeCells>
  <dataValidations>
    <dataValidation type="list" allowBlank="1" showErrorMessage="1" sqref="M6:M283">
      <formula1>Uitleg!$C$2:$C$5</formula1>
    </dataValidation>
    <dataValidation type="list" allowBlank="1" showErrorMessage="1" sqref="L6:L283">
      <formula1>Uitleg!$B$2:$B$7</formula1>
    </dataValidation>
    <dataValidation type="list" allowBlank="1" showErrorMessage="1" sqref="C6:C283">
      <formula1>Uitleg!$A$2:$A$3</formula1>
    </dataValidation>
    <dataValidation type="list" allowBlank="1" showErrorMessage="1" sqref="G6:G999 R6:R999">
      <formula1>'Grondstof soorten'!$D$7:$D$999</formula1>
    </dataValidation>
    <dataValidation type="list" allowBlank="1" showErrorMessage="1" sqref="E22:E46">
      <formula1>Leveranciers!$A$4:$A$999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3.5"/>
    <col customWidth="1" min="7" max="7" width="20.63"/>
  </cols>
  <sheetData>
    <row r="1">
      <c r="A1" s="1" t="s">
        <v>8</v>
      </c>
    </row>
    <row r="3">
      <c r="A3" s="20" t="s">
        <v>102</v>
      </c>
      <c r="P3" s="21" t="s">
        <v>103</v>
      </c>
    </row>
    <row r="5">
      <c r="A5" s="22" t="s">
        <v>104</v>
      </c>
      <c r="B5" s="22" t="s">
        <v>105</v>
      </c>
      <c r="C5" s="22" t="s">
        <v>106</v>
      </c>
      <c r="D5" s="22" t="s">
        <v>107</v>
      </c>
      <c r="E5" s="22" t="s">
        <v>108</v>
      </c>
      <c r="F5" s="22" t="s">
        <v>109</v>
      </c>
      <c r="G5" s="22" t="s">
        <v>110</v>
      </c>
      <c r="H5" s="22" t="s">
        <v>111</v>
      </c>
      <c r="I5" s="22" t="s">
        <v>112</v>
      </c>
      <c r="J5" s="22" t="s">
        <v>113</v>
      </c>
      <c r="K5" s="36" t="s">
        <v>114</v>
      </c>
      <c r="L5" s="22" t="s">
        <v>115</v>
      </c>
      <c r="M5" s="22" t="s">
        <v>116</v>
      </c>
      <c r="N5" s="22" t="s">
        <v>117</v>
      </c>
      <c r="P5" s="23" t="s">
        <v>118</v>
      </c>
      <c r="Q5" s="23" t="s">
        <v>107</v>
      </c>
      <c r="R5" s="23" t="s">
        <v>110</v>
      </c>
      <c r="S5" s="23" t="s">
        <v>113</v>
      </c>
      <c r="T5" s="37" t="s">
        <v>114</v>
      </c>
      <c r="U5" s="23" t="s">
        <v>111</v>
      </c>
    </row>
    <row r="6">
      <c r="A6" s="2">
        <v>3.72012518E8</v>
      </c>
      <c r="B6" s="2" t="s">
        <v>129</v>
      </c>
      <c r="C6" s="2" t="s">
        <v>130</v>
      </c>
      <c r="D6" s="24">
        <v>45013.0</v>
      </c>
      <c r="E6" s="2" t="s">
        <v>131</v>
      </c>
      <c r="G6" s="2" t="s">
        <v>260</v>
      </c>
      <c r="H6" s="2" t="s">
        <v>261</v>
      </c>
      <c r="I6" s="27">
        <v>46022.0</v>
      </c>
      <c r="J6" s="2">
        <v>1.0</v>
      </c>
      <c r="K6" s="17">
        <v>21.82</v>
      </c>
      <c r="L6" s="8"/>
      <c r="M6" s="8"/>
      <c r="P6" s="2" t="s">
        <v>64</v>
      </c>
      <c r="Q6" s="24">
        <v>45015.0</v>
      </c>
      <c r="R6" s="2" t="s">
        <v>260</v>
      </c>
      <c r="S6" s="2">
        <v>0.4</v>
      </c>
      <c r="T6" s="26">
        <f t="shared" ref="T6:T373" si="1">IF(ISBLANK(U6),"",VLOOKUP($U6,$H$6:$K$2000,4,FALSE)/VLOOKUP(U6,$H$6:$K$2000,3,FALSE)*$S6)</f>
        <v>8.728</v>
      </c>
      <c r="U6" s="2" t="s">
        <v>261</v>
      </c>
    </row>
    <row r="7">
      <c r="A7" s="2">
        <v>3.72012518E8</v>
      </c>
      <c r="B7" s="2" t="s">
        <v>129</v>
      </c>
      <c r="C7" s="2" t="s">
        <v>130</v>
      </c>
      <c r="D7" s="24">
        <v>45013.0</v>
      </c>
      <c r="E7" s="2" t="s">
        <v>131</v>
      </c>
      <c r="G7" s="2" t="s">
        <v>262</v>
      </c>
      <c r="H7" s="2" t="s">
        <v>263</v>
      </c>
      <c r="I7" s="27">
        <v>45754.0</v>
      </c>
      <c r="J7" s="2">
        <v>0.2</v>
      </c>
      <c r="K7" s="17">
        <v>15.92</v>
      </c>
      <c r="L7" s="8"/>
      <c r="M7" s="8"/>
      <c r="P7" s="2" t="s">
        <v>66</v>
      </c>
      <c r="Q7" s="24">
        <v>45020.0</v>
      </c>
      <c r="R7" s="2" t="s">
        <v>260</v>
      </c>
      <c r="S7" s="2">
        <v>0.6</v>
      </c>
      <c r="T7" s="26">
        <f t="shared" si="1"/>
        <v>13.092</v>
      </c>
      <c r="U7" s="2" t="s">
        <v>261</v>
      </c>
    </row>
    <row r="8">
      <c r="A8" s="2">
        <v>3.72012518E8</v>
      </c>
      <c r="B8" s="2" t="s">
        <v>129</v>
      </c>
      <c r="C8" s="2" t="s">
        <v>130</v>
      </c>
      <c r="D8" s="24">
        <v>45013.0</v>
      </c>
      <c r="E8" s="2" t="s">
        <v>131</v>
      </c>
      <c r="G8" s="2" t="s">
        <v>264</v>
      </c>
      <c r="H8" s="2">
        <v>1809.0</v>
      </c>
      <c r="I8" s="27">
        <v>45291.0</v>
      </c>
      <c r="J8" s="2">
        <v>0.1</v>
      </c>
      <c r="K8" s="17">
        <v>6.59</v>
      </c>
      <c r="L8" s="8"/>
      <c r="M8" s="8"/>
      <c r="P8" s="2" t="s">
        <v>65</v>
      </c>
      <c r="Q8" s="24">
        <v>45015.0</v>
      </c>
      <c r="R8" s="2" t="s">
        <v>262</v>
      </c>
      <c r="S8" s="2">
        <v>0.2</v>
      </c>
      <c r="T8" s="26">
        <f t="shared" si="1"/>
        <v>15.92</v>
      </c>
      <c r="U8" s="2" t="s">
        <v>263</v>
      </c>
    </row>
    <row r="9">
      <c r="A9" s="2">
        <v>3.72012518E8</v>
      </c>
      <c r="B9" s="2" t="s">
        <v>129</v>
      </c>
      <c r="C9" s="2" t="s">
        <v>130</v>
      </c>
      <c r="D9" s="24">
        <v>45013.0</v>
      </c>
      <c r="E9" s="2" t="s">
        <v>131</v>
      </c>
      <c r="G9" s="2" t="s">
        <v>265</v>
      </c>
      <c r="H9" s="2">
        <v>1809.0</v>
      </c>
      <c r="I9" s="27">
        <v>45291.0</v>
      </c>
      <c r="J9" s="2">
        <v>0.1</v>
      </c>
      <c r="K9" s="17">
        <v>8.95</v>
      </c>
      <c r="L9" s="8"/>
      <c r="M9" s="8"/>
      <c r="P9" s="2" t="s">
        <v>65</v>
      </c>
      <c r="Q9" s="24">
        <v>45015.0</v>
      </c>
      <c r="R9" s="2" t="s">
        <v>264</v>
      </c>
      <c r="S9" s="2">
        <v>0.1</v>
      </c>
      <c r="T9" s="26">
        <f t="shared" si="1"/>
        <v>6.59</v>
      </c>
      <c r="U9" s="2">
        <v>1809.0</v>
      </c>
    </row>
    <row r="10">
      <c r="B10" s="2" t="s">
        <v>229</v>
      </c>
      <c r="C10" s="2" t="s">
        <v>130</v>
      </c>
      <c r="D10" s="24">
        <v>45075.0</v>
      </c>
      <c r="E10" s="2" t="s">
        <v>131</v>
      </c>
      <c r="G10" s="2" t="s">
        <v>266</v>
      </c>
      <c r="H10" s="2" t="s">
        <v>267</v>
      </c>
      <c r="I10" s="27">
        <v>46053.0</v>
      </c>
      <c r="J10" s="2">
        <v>0.4</v>
      </c>
      <c r="K10" s="17">
        <v>15.24</v>
      </c>
      <c r="L10" s="8"/>
      <c r="M10" s="8"/>
      <c r="P10" s="2" t="s">
        <v>65</v>
      </c>
      <c r="Q10" s="24">
        <v>45015.0</v>
      </c>
      <c r="R10" s="2" t="s">
        <v>265</v>
      </c>
      <c r="S10" s="2">
        <v>0.1</v>
      </c>
      <c r="T10" s="26">
        <f t="shared" si="1"/>
        <v>6.59</v>
      </c>
      <c r="U10" s="2">
        <v>1809.0</v>
      </c>
    </row>
    <row r="11">
      <c r="B11" s="2" t="s">
        <v>268</v>
      </c>
      <c r="C11" s="2" t="s">
        <v>130</v>
      </c>
      <c r="D11" s="24">
        <v>45104.0</v>
      </c>
      <c r="E11" s="2" t="s">
        <v>121</v>
      </c>
      <c r="F11" s="28"/>
      <c r="G11" s="2" t="s">
        <v>269</v>
      </c>
      <c r="H11" s="2" t="s">
        <v>270</v>
      </c>
      <c r="I11" s="25"/>
      <c r="J11" s="2">
        <v>1.0</v>
      </c>
      <c r="K11" s="17">
        <v>21.2</v>
      </c>
      <c r="L11" s="8"/>
      <c r="M11" s="8"/>
      <c r="P11" s="2" t="s">
        <v>67</v>
      </c>
      <c r="Q11" s="24">
        <v>45106.0</v>
      </c>
      <c r="R11" s="2" t="s">
        <v>266</v>
      </c>
      <c r="S11" s="2">
        <v>0.4</v>
      </c>
      <c r="T11" s="26">
        <f t="shared" si="1"/>
        <v>15.24</v>
      </c>
      <c r="U11" s="2" t="s">
        <v>267</v>
      </c>
    </row>
    <row r="12">
      <c r="B12" s="2" t="s">
        <v>271</v>
      </c>
      <c r="C12" s="2" t="s">
        <v>130</v>
      </c>
      <c r="D12" s="24">
        <v>45139.0</v>
      </c>
      <c r="E12" s="2" t="s">
        <v>131</v>
      </c>
      <c r="G12" s="2" t="s">
        <v>260</v>
      </c>
      <c r="H12" s="2" t="s">
        <v>261</v>
      </c>
      <c r="I12" s="27">
        <v>46418.0</v>
      </c>
      <c r="J12" s="2">
        <v>0.4</v>
      </c>
      <c r="K12" s="17">
        <v>12.0</v>
      </c>
      <c r="L12" s="8"/>
      <c r="M12" s="8"/>
      <c r="P12" s="2" t="s">
        <v>68</v>
      </c>
      <c r="Q12" s="24">
        <v>45113.0</v>
      </c>
      <c r="R12" s="2" t="s">
        <v>269</v>
      </c>
      <c r="S12" s="2">
        <v>0.6</v>
      </c>
      <c r="T12" s="26">
        <f t="shared" si="1"/>
        <v>12.72</v>
      </c>
      <c r="U12" s="2" t="s">
        <v>270</v>
      </c>
    </row>
    <row r="13">
      <c r="B13" s="2" t="s">
        <v>271</v>
      </c>
      <c r="C13" s="2" t="s">
        <v>130</v>
      </c>
      <c r="D13" s="24">
        <v>45139.0</v>
      </c>
      <c r="E13" s="2" t="s">
        <v>131</v>
      </c>
      <c r="G13" s="2" t="s">
        <v>272</v>
      </c>
      <c r="H13" s="2" t="s">
        <v>273</v>
      </c>
      <c r="I13" s="27">
        <v>46022.0</v>
      </c>
      <c r="J13" s="2">
        <v>0.4</v>
      </c>
      <c r="K13" s="17">
        <v>10.91</v>
      </c>
      <c r="L13" s="8"/>
      <c r="M13" s="8"/>
      <c r="P13" s="2" t="s">
        <v>69</v>
      </c>
      <c r="Q13" s="24">
        <v>45141.0</v>
      </c>
      <c r="R13" s="2" t="s">
        <v>260</v>
      </c>
      <c r="S13" s="2">
        <v>0.2</v>
      </c>
      <c r="T13" s="26">
        <f t="shared" si="1"/>
        <v>4.364</v>
      </c>
      <c r="U13" s="2" t="s">
        <v>261</v>
      </c>
    </row>
    <row r="14">
      <c r="B14" s="2" t="s">
        <v>271</v>
      </c>
      <c r="C14" s="2" t="s">
        <v>130</v>
      </c>
      <c r="D14" s="24">
        <v>45139.0</v>
      </c>
      <c r="E14" s="2" t="s">
        <v>131</v>
      </c>
      <c r="F14" s="28"/>
      <c r="G14" s="2" t="s">
        <v>274</v>
      </c>
      <c r="I14" s="27"/>
      <c r="J14" s="2">
        <v>0.1</v>
      </c>
      <c r="K14" s="17">
        <v>3.54</v>
      </c>
      <c r="L14" s="8"/>
      <c r="M14" s="8"/>
      <c r="P14" s="2" t="s">
        <v>69</v>
      </c>
      <c r="Q14" s="24">
        <v>45141.0</v>
      </c>
      <c r="R14" s="2" t="s">
        <v>269</v>
      </c>
      <c r="S14" s="2">
        <v>0.2</v>
      </c>
      <c r="T14" s="26">
        <f t="shared" si="1"/>
        <v>4.24</v>
      </c>
      <c r="U14" s="2" t="s">
        <v>270</v>
      </c>
    </row>
    <row r="15">
      <c r="B15" s="2" t="s">
        <v>271</v>
      </c>
      <c r="C15" s="2" t="s">
        <v>130</v>
      </c>
      <c r="D15" s="24">
        <v>45139.0</v>
      </c>
      <c r="E15" s="2" t="s">
        <v>131</v>
      </c>
      <c r="F15" s="28"/>
      <c r="G15" s="2" t="s">
        <v>275</v>
      </c>
      <c r="H15" s="2" t="s">
        <v>276</v>
      </c>
      <c r="I15" s="29"/>
      <c r="J15" s="2">
        <v>0.2</v>
      </c>
      <c r="K15" s="17">
        <v>6.0</v>
      </c>
      <c r="L15" s="8"/>
      <c r="M15" s="8"/>
      <c r="P15" s="2" t="s">
        <v>70</v>
      </c>
      <c r="Q15" s="24">
        <v>45169.0</v>
      </c>
      <c r="R15" s="2" t="s">
        <v>272</v>
      </c>
      <c r="S15" s="2">
        <v>0.4</v>
      </c>
      <c r="T15" s="26">
        <f t="shared" si="1"/>
        <v>10.91</v>
      </c>
      <c r="U15" s="2" t="s">
        <v>273</v>
      </c>
    </row>
    <row r="16">
      <c r="B16" s="2" t="s">
        <v>271</v>
      </c>
      <c r="C16" s="2" t="s">
        <v>130</v>
      </c>
      <c r="D16" s="24">
        <v>45139.0</v>
      </c>
      <c r="E16" s="2" t="s">
        <v>131</v>
      </c>
      <c r="F16" s="28"/>
      <c r="G16" s="2" t="s">
        <v>277</v>
      </c>
      <c r="I16" s="27"/>
      <c r="J16" s="2">
        <v>0.1</v>
      </c>
      <c r="K16" s="17">
        <v>3.9</v>
      </c>
      <c r="L16" s="8"/>
      <c r="M16" s="8"/>
      <c r="P16" s="2" t="s">
        <v>70</v>
      </c>
      <c r="Q16" s="24">
        <v>45169.0</v>
      </c>
      <c r="R16" s="2" t="s">
        <v>269</v>
      </c>
      <c r="S16" s="2">
        <v>0.2</v>
      </c>
      <c r="T16" s="26">
        <f t="shared" si="1"/>
        <v>4.24</v>
      </c>
      <c r="U16" s="2" t="s">
        <v>270</v>
      </c>
    </row>
    <row r="17">
      <c r="C17" s="8"/>
      <c r="D17" s="24"/>
      <c r="E17" s="2" t="s">
        <v>131</v>
      </c>
      <c r="F17" s="28"/>
      <c r="G17" s="2" t="s">
        <v>272</v>
      </c>
      <c r="H17" s="2" t="s">
        <v>278</v>
      </c>
      <c r="I17" s="29">
        <v>46022.0</v>
      </c>
      <c r="J17" s="2">
        <v>0.2</v>
      </c>
      <c r="K17" s="8">
        <f>2*2.73</f>
        <v>5.46</v>
      </c>
      <c r="L17" s="8"/>
      <c r="M17" s="8"/>
      <c r="P17" s="2" t="s">
        <v>71</v>
      </c>
      <c r="Q17" s="24">
        <v>45204.0</v>
      </c>
      <c r="R17" s="2" t="s">
        <v>272</v>
      </c>
      <c r="S17" s="2">
        <v>0.2</v>
      </c>
      <c r="T17" s="26">
        <f t="shared" si="1"/>
        <v>5.46</v>
      </c>
      <c r="U17" s="2" t="s">
        <v>278</v>
      </c>
    </row>
    <row r="18">
      <c r="C18" s="28"/>
      <c r="D18" s="28"/>
      <c r="E18" s="2" t="s">
        <v>131</v>
      </c>
      <c r="F18" s="28"/>
      <c r="G18" s="2" t="s">
        <v>279</v>
      </c>
      <c r="H18" s="2" t="s">
        <v>280</v>
      </c>
      <c r="I18" s="29">
        <v>46356.0</v>
      </c>
      <c r="J18" s="2">
        <v>0.4</v>
      </c>
      <c r="K18" s="17">
        <v>16.94</v>
      </c>
      <c r="L18" s="8"/>
      <c r="M18" s="8"/>
      <c r="P18" s="2" t="s">
        <v>71</v>
      </c>
      <c r="Q18" s="24">
        <v>45204.0</v>
      </c>
      <c r="R18" s="2" t="s">
        <v>279</v>
      </c>
      <c r="S18" s="2">
        <v>0.4</v>
      </c>
      <c r="T18" s="26">
        <f t="shared" si="1"/>
        <v>16.94</v>
      </c>
      <c r="U18" s="2" t="s">
        <v>280</v>
      </c>
    </row>
    <row r="19">
      <c r="C19" s="28"/>
      <c r="D19" s="24"/>
      <c r="G19" s="8"/>
      <c r="I19" s="29"/>
      <c r="K19" s="17"/>
      <c r="L19" s="8"/>
      <c r="M19" s="8"/>
      <c r="P19" s="2" t="s">
        <v>74</v>
      </c>
      <c r="Q19" s="24">
        <v>45259.0</v>
      </c>
      <c r="R19" s="2" t="s">
        <v>272</v>
      </c>
      <c r="S19" s="2">
        <v>0.3</v>
      </c>
      <c r="T19" s="26">
        <f t="shared" si="1"/>
        <v>8.19</v>
      </c>
      <c r="U19" s="2" t="s">
        <v>278</v>
      </c>
    </row>
    <row r="20">
      <c r="C20" s="28"/>
      <c r="D20" s="24">
        <v>45246.0</v>
      </c>
      <c r="E20" s="2" t="s">
        <v>131</v>
      </c>
      <c r="F20" s="28"/>
      <c r="G20" s="2" t="s">
        <v>272</v>
      </c>
      <c r="H20" s="2" t="s">
        <v>278</v>
      </c>
      <c r="I20" s="29">
        <v>46022.0</v>
      </c>
      <c r="J20" s="2">
        <v>0.3</v>
      </c>
      <c r="K20" s="17">
        <f>3*2.73</f>
        <v>8.19</v>
      </c>
      <c r="L20" s="8"/>
      <c r="M20" s="8"/>
      <c r="P20" s="2" t="s">
        <v>76</v>
      </c>
      <c r="Q20" s="24">
        <v>45322.0</v>
      </c>
      <c r="R20" s="2" t="s">
        <v>281</v>
      </c>
      <c r="S20" s="2">
        <v>1.0</v>
      </c>
      <c r="T20" s="26">
        <f t="shared" si="1"/>
        <v>42.4</v>
      </c>
      <c r="U20" s="2" t="s">
        <v>282</v>
      </c>
    </row>
    <row r="21">
      <c r="C21" s="28"/>
      <c r="D21" s="28"/>
      <c r="E21" s="2" t="s">
        <v>131</v>
      </c>
      <c r="F21" s="28"/>
      <c r="G21" s="2" t="s">
        <v>260</v>
      </c>
      <c r="H21" s="28"/>
      <c r="J21" s="2">
        <v>0.2</v>
      </c>
      <c r="K21" s="18">
        <f>1.06*6</f>
        <v>6.36</v>
      </c>
      <c r="L21" s="8"/>
      <c r="M21" s="8"/>
      <c r="P21" s="2" t="s">
        <v>75</v>
      </c>
      <c r="Q21" s="24">
        <v>45287.0</v>
      </c>
      <c r="R21" s="2" t="s">
        <v>260</v>
      </c>
      <c r="S21" s="2">
        <v>1.0</v>
      </c>
      <c r="T21" s="26">
        <f t="shared" si="1"/>
        <v>21.82</v>
      </c>
      <c r="U21" s="2" t="s">
        <v>261</v>
      </c>
    </row>
    <row r="22">
      <c r="C22" s="28"/>
      <c r="D22" s="24">
        <v>45303.0</v>
      </c>
      <c r="E22" s="2" t="s">
        <v>131</v>
      </c>
      <c r="F22" s="28"/>
      <c r="G22" s="2" t="s">
        <v>283</v>
      </c>
      <c r="H22" s="2" t="s">
        <v>284</v>
      </c>
      <c r="I22" s="38">
        <v>45566.0</v>
      </c>
      <c r="J22" s="2">
        <v>1.0</v>
      </c>
      <c r="K22" s="17">
        <v>43.0</v>
      </c>
      <c r="L22" s="8"/>
      <c r="M22" s="8"/>
      <c r="P22" s="2" t="s">
        <v>78</v>
      </c>
      <c r="Q22" s="24">
        <v>45406.0</v>
      </c>
      <c r="R22" s="2" t="s">
        <v>283</v>
      </c>
      <c r="S22" s="2">
        <v>1.0</v>
      </c>
      <c r="T22" s="26">
        <f t="shared" si="1"/>
        <v>43</v>
      </c>
      <c r="U22" s="2" t="s">
        <v>284</v>
      </c>
    </row>
    <row r="23">
      <c r="C23" s="28"/>
      <c r="D23" s="31">
        <v>44938.0</v>
      </c>
      <c r="E23" s="2" t="s">
        <v>131</v>
      </c>
      <c r="F23" s="28"/>
      <c r="G23" s="2" t="s">
        <v>279</v>
      </c>
      <c r="H23" s="2" t="s">
        <v>280</v>
      </c>
      <c r="I23" s="38">
        <v>46356.0</v>
      </c>
      <c r="J23" s="2">
        <v>0.2</v>
      </c>
      <c r="K23" s="17">
        <v>8.47</v>
      </c>
      <c r="L23" s="8"/>
      <c r="M23" s="8"/>
      <c r="P23" s="2" t="s">
        <v>79</v>
      </c>
      <c r="Q23" s="24">
        <v>45437.0</v>
      </c>
      <c r="R23" s="2" t="s">
        <v>285</v>
      </c>
      <c r="S23" s="2">
        <v>1.0</v>
      </c>
      <c r="T23" s="26">
        <f t="shared" si="1"/>
        <v>42</v>
      </c>
      <c r="U23" s="2">
        <v>2206.0</v>
      </c>
    </row>
    <row r="24">
      <c r="C24" s="28"/>
      <c r="D24" s="31">
        <v>44938.0</v>
      </c>
      <c r="E24" s="2" t="s">
        <v>131</v>
      </c>
      <c r="F24" s="28"/>
      <c r="G24" s="2" t="s">
        <v>286</v>
      </c>
      <c r="H24" s="2">
        <v>2385.0</v>
      </c>
      <c r="I24" s="38">
        <v>45948.0</v>
      </c>
      <c r="J24" s="2">
        <v>0.2</v>
      </c>
      <c r="K24" s="17">
        <v>11.3</v>
      </c>
      <c r="L24" s="8"/>
      <c r="M24" s="8"/>
      <c r="P24" s="2" t="s">
        <v>80</v>
      </c>
      <c r="Q24" s="24">
        <v>45441.0</v>
      </c>
      <c r="R24" s="2" t="s">
        <v>287</v>
      </c>
      <c r="S24" s="2">
        <v>1.0</v>
      </c>
      <c r="T24" s="26">
        <f t="shared" si="1"/>
        <v>19.61</v>
      </c>
      <c r="U24" s="2" t="s">
        <v>288</v>
      </c>
    </row>
    <row r="25">
      <c r="C25" s="28"/>
      <c r="D25" s="31">
        <v>44938.0</v>
      </c>
      <c r="E25" s="2" t="s">
        <v>131</v>
      </c>
      <c r="F25" s="28"/>
      <c r="G25" s="2" t="s">
        <v>285</v>
      </c>
      <c r="H25" s="2">
        <v>2206.0</v>
      </c>
      <c r="I25" s="38">
        <v>45657.0</v>
      </c>
      <c r="J25" s="2">
        <v>1.0</v>
      </c>
      <c r="K25" s="17">
        <v>42.0</v>
      </c>
      <c r="L25" s="8"/>
      <c r="M25" s="8"/>
      <c r="P25" s="2" t="s">
        <v>81</v>
      </c>
      <c r="Q25" s="24">
        <v>45461.0</v>
      </c>
      <c r="R25" s="2" t="s">
        <v>272</v>
      </c>
      <c r="S25" s="2">
        <v>0.2</v>
      </c>
      <c r="T25" s="26">
        <f t="shared" si="1"/>
        <v>3.922</v>
      </c>
      <c r="U25" s="2" t="s">
        <v>288</v>
      </c>
    </row>
    <row r="26">
      <c r="C26" s="28"/>
      <c r="D26" s="24">
        <v>45287.0</v>
      </c>
      <c r="E26" s="2" t="s">
        <v>131</v>
      </c>
      <c r="F26" s="28"/>
      <c r="G26" s="2" t="s">
        <v>281</v>
      </c>
      <c r="H26" s="2" t="s">
        <v>282</v>
      </c>
      <c r="I26" s="31">
        <v>45566.0</v>
      </c>
      <c r="J26" s="2">
        <v>1.0</v>
      </c>
      <c r="K26" s="18">
        <f>40*1.06</f>
        <v>42.4</v>
      </c>
      <c r="L26" s="8"/>
      <c r="M26" s="8"/>
      <c r="P26" s="2" t="s">
        <v>81</v>
      </c>
      <c r="Q26" s="24">
        <v>45461.0</v>
      </c>
      <c r="R26" s="2" t="s">
        <v>279</v>
      </c>
      <c r="S26" s="2">
        <v>0.2</v>
      </c>
      <c r="T26" s="26">
        <f t="shared" si="1"/>
        <v>8.47</v>
      </c>
      <c r="U26" s="2" t="s">
        <v>280</v>
      </c>
    </row>
    <row r="27">
      <c r="C27" s="28"/>
      <c r="D27" s="24">
        <v>45287.0</v>
      </c>
      <c r="E27" s="2" t="s">
        <v>131</v>
      </c>
      <c r="F27" s="28"/>
      <c r="G27" s="2" t="s">
        <v>272</v>
      </c>
      <c r="H27" s="2" t="s">
        <v>289</v>
      </c>
      <c r="I27" s="31">
        <v>46022.0</v>
      </c>
      <c r="J27" s="2">
        <v>1.0</v>
      </c>
      <c r="K27" s="17">
        <v>17.0</v>
      </c>
      <c r="L27" s="8"/>
      <c r="M27" s="8"/>
      <c r="P27" s="2" t="s">
        <v>81</v>
      </c>
      <c r="Q27" s="24">
        <v>45461.0</v>
      </c>
      <c r="R27" s="2" t="s">
        <v>286</v>
      </c>
      <c r="S27" s="2">
        <v>0.2</v>
      </c>
      <c r="T27" s="26">
        <f t="shared" si="1"/>
        <v>11.3</v>
      </c>
      <c r="U27" s="2">
        <v>2385.0</v>
      </c>
    </row>
    <row r="28">
      <c r="C28" s="28"/>
      <c r="D28" s="24">
        <v>45287.0</v>
      </c>
      <c r="E28" s="2" t="s">
        <v>131</v>
      </c>
      <c r="F28" s="28"/>
      <c r="G28" s="2" t="s">
        <v>260</v>
      </c>
      <c r="H28" s="2" t="s">
        <v>261</v>
      </c>
      <c r="I28" s="31">
        <v>46418.0</v>
      </c>
      <c r="J28" s="2">
        <v>1.0</v>
      </c>
      <c r="K28" s="17">
        <v>21.2</v>
      </c>
      <c r="L28" s="8"/>
      <c r="M28" s="8"/>
      <c r="P28" s="2" t="s">
        <v>82</v>
      </c>
      <c r="Q28" s="24">
        <v>45491.0</v>
      </c>
      <c r="R28" s="2" t="s">
        <v>275</v>
      </c>
      <c r="S28" s="2">
        <v>0.2</v>
      </c>
      <c r="T28" s="26">
        <f t="shared" si="1"/>
        <v>6</v>
      </c>
      <c r="U28" s="2" t="s">
        <v>276</v>
      </c>
    </row>
    <row r="29">
      <c r="C29" s="28"/>
      <c r="D29" s="24">
        <v>45414.0</v>
      </c>
      <c r="E29" s="2" t="s">
        <v>131</v>
      </c>
      <c r="F29" s="28"/>
      <c r="G29" s="2" t="s">
        <v>287</v>
      </c>
      <c r="H29" s="2" t="s">
        <v>288</v>
      </c>
      <c r="I29" s="31">
        <v>46022.0</v>
      </c>
      <c r="J29" s="2">
        <v>1.0</v>
      </c>
      <c r="K29" s="18">
        <f>18.5*1.06</f>
        <v>19.61</v>
      </c>
      <c r="L29" s="8"/>
      <c r="M29" s="8"/>
      <c r="P29" s="2" t="s">
        <v>84</v>
      </c>
      <c r="Q29" s="24">
        <v>45630.0</v>
      </c>
      <c r="R29" s="2" t="s">
        <v>279</v>
      </c>
      <c r="S29" s="2">
        <v>1.0</v>
      </c>
      <c r="T29" s="26">
        <f t="shared" si="1"/>
        <v>22.99</v>
      </c>
      <c r="U29" s="2">
        <v>230023.0</v>
      </c>
    </row>
    <row r="30">
      <c r="C30" s="28"/>
      <c r="D30" s="24">
        <v>45414.0</v>
      </c>
      <c r="E30" s="2" t="s">
        <v>131</v>
      </c>
      <c r="F30" s="28"/>
      <c r="G30" s="2" t="s">
        <v>260</v>
      </c>
      <c r="H30" s="2" t="s">
        <v>261</v>
      </c>
      <c r="I30" s="31">
        <v>46418.0</v>
      </c>
      <c r="J30" s="2">
        <v>1.0</v>
      </c>
      <c r="K30" s="18">
        <f>18.04*1.06</f>
        <v>19.1224</v>
      </c>
      <c r="L30" s="8"/>
      <c r="M30" s="8"/>
      <c r="P30" s="2" t="s">
        <v>85</v>
      </c>
      <c r="Q30" s="24">
        <v>45662.0</v>
      </c>
      <c r="R30" s="2" t="s">
        <v>290</v>
      </c>
      <c r="S30" s="2">
        <v>1.0</v>
      </c>
      <c r="T30" s="26">
        <f t="shared" si="1"/>
        <v>21.9131</v>
      </c>
      <c r="U30" s="2">
        <v>10124.0</v>
      </c>
    </row>
    <row r="31">
      <c r="C31" s="28"/>
      <c r="D31" s="24">
        <v>45609.0</v>
      </c>
      <c r="E31" s="2" t="s">
        <v>131</v>
      </c>
      <c r="F31" s="28"/>
      <c r="G31" s="2" t="s">
        <v>291</v>
      </c>
      <c r="H31" s="2" t="s">
        <v>292</v>
      </c>
      <c r="I31" s="31">
        <v>46022.0</v>
      </c>
      <c r="J31" s="2">
        <v>1.0</v>
      </c>
      <c r="K31" s="17">
        <f>26.44*1.21</f>
        <v>31.9924</v>
      </c>
      <c r="L31" s="8"/>
      <c r="M31" s="8"/>
      <c r="P31" s="2" t="s">
        <v>85</v>
      </c>
      <c r="Q31" s="24">
        <v>45662.0</v>
      </c>
      <c r="R31" s="2" t="s">
        <v>291</v>
      </c>
      <c r="S31" s="2">
        <v>1.0</v>
      </c>
      <c r="T31" s="26">
        <f t="shared" si="1"/>
        <v>31.9924</v>
      </c>
      <c r="U31" s="2" t="s">
        <v>292</v>
      </c>
    </row>
    <row r="32">
      <c r="C32" s="28"/>
      <c r="D32" s="24">
        <v>45609.0</v>
      </c>
      <c r="E32" s="2" t="s">
        <v>131</v>
      </c>
      <c r="F32" s="28"/>
      <c r="G32" s="2" t="s">
        <v>290</v>
      </c>
      <c r="H32" s="2">
        <v>10124.0</v>
      </c>
      <c r="I32" s="31">
        <v>46022.0</v>
      </c>
      <c r="J32" s="2">
        <v>1.0</v>
      </c>
      <c r="K32" s="18">
        <f>18.11*1.21</f>
        <v>21.9131</v>
      </c>
      <c r="L32" s="8"/>
      <c r="M32" s="8"/>
      <c r="P32" s="2" t="s">
        <v>88</v>
      </c>
      <c r="Q32" s="24">
        <v>45679.0</v>
      </c>
      <c r="R32" s="2" t="s">
        <v>272</v>
      </c>
      <c r="S32" s="2">
        <v>0.8</v>
      </c>
      <c r="T32" s="26">
        <f t="shared" si="1"/>
        <v>13.6</v>
      </c>
      <c r="U32" s="2" t="s">
        <v>289</v>
      </c>
    </row>
    <row r="33">
      <c r="C33" s="8"/>
      <c r="D33" s="24">
        <v>45609.0</v>
      </c>
      <c r="E33" s="2" t="s">
        <v>131</v>
      </c>
      <c r="G33" s="2" t="s">
        <v>279</v>
      </c>
      <c r="H33" s="2">
        <v>230023.0</v>
      </c>
      <c r="I33" s="31">
        <v>46721.0</v>
      </c>
      <c r="J33" s="2">
        <v>1.0</v>
      </c>
      <c r="K33" s="18">
        <f>19*1.21</f>
        <v>22.99</v>
      </c>
      <c r="L33" s="8"/>
      <c r="M33" s="8"/>
      <c r="P33" s="2" t="s">
        <v>86</v>
      </c>
      <c r="Q33" s="24">
        <v>45686.0</v>
      </c>
      <c r="R33" s="2" t="s">
        <v>281</v>
      </c>
      <c r="S33" s="2">
        <v>1.0</v>
      </c>
      <c r="T33" s="26">
        <f t="shared" si="1"/>
        <v>40</v>
      </c>
      <c r="U33" s="2">
        <v>4.06721118E9</v>
      </c>
    </row>
    <row r="34">
      <c r="C34" s="8"/>
      <c r="D34" s="29">
        <v>45681.0</v>
      </c>
      <c r="E34" s="2" t="s">
        <v>249</v>
      </c>
      <c r="F34" s="2" t="s">
        <v>293</v>
      </c>
      <c r="G34" s="2" t="s">
        <v>281</v>
      </c>
      <c r="H34" s="2">
        <v>4.06721118E9</v>
      </c>
      <c r="I34" s="31">
        <v>45870.0</v>
      </c>
      <c r="J34" s="2">
        <v>1.0</v>
      </c>
      <c r="K34" s="17">
        <v>40.0</v>
      </c>
      <c r="L34" s="8"/>
      <c r="M34" s="8"/>
      <c r="P34" s="2" t="s">
        <v>90</v>
      </c>
      <c r="Q34" s="31">
        <v>45749.0</v>
      </c>
      <c r="R34" s="2" t="s">
        <v>260</v>
      </c>
      <c r="S34" s="2">
        <v>0.2</v>
      </c>
      <c r="T34" s="26">
        <f t="shared" si="1"/>
        <v>4.364</v>
      </c>
      <c r="U34" s="2" t="s">
        <v>261</v>
      </c>
    </row>
    <row r="35">
      <c r="C35" s="8"/>
      <c r="D35" s="29">
        <v>45681.0</v>
      </c>
      <c r="E35" s="2" t="s">
        <v>249</v>
      </c>
      <c r="F35" s="2" t="s">
        <v>293</v>
      </c>
      <c r="G35" s="2" t="s">
        <v>294</v>
      </c>
      <c r="H35" s="2">
        <v>4.067211099E9</v>
      </c>
      <c r="I35" s="31">
        <v>45949.0</v>
      </c>
      <c r="J35" s="2">
        <v>1.0</v>
      </c>
      <c r="K35" s="17">
        <v>38.0</v>
      </c>
      <c r="L35" s="8"/>
      <c r="M35" s="8"/>
      <c r="P35" s="2" t="s">
        <v>90</v>
      </c>
      <c r="Q35" s="31">
        <v>45749.0</v>
      </c>
      <c r="R35" s="2" t="s">
        <v>295</v>
      </c>
      <c r="S35" s="2">
        <v>0.2</v>
      </c>
      <c r="T35" s="26">
        <f t="shared" si="1"/>
        <v>8.2</v>
      </c>
      <c r="U35" s="2" t="s">
        <v>296</v>
      </c>
    </row>
    <row r="36">
      <c r="C36" s="8"/>
      <c r="D36" s="29">
        <v>45681.0</v>
      </c>
      <c r="E36" s="2" t="s">
        <v>249</v>
      </c>
      <c r="F36" s="2" t="s">
        <v>293</v>
      </c>
      <c r="G36" s="2" t="s">
        <v>297</v>
      </c>
      <c r="H36" s="2">
        <v>4.067211072E9</v>
      </c>
      <c r="I36" s="29">
        <v>46333.0</v>
      </c>
      <c r="J36" s="2">
        <v>1.0</v>
      </c>
      <c r="K36" s="17">
        <v>45.0</v>
      </c>
      <c r="L36" s="8"/>
      <c r="M36" s="8"/>
      <c r="P36" s="2" t="s">
        <v>90</v>
      </c>
      <c r="Q36" s="31">
        <v>45749.0</v>
      </c>
      <c r="R36" s="2" t="s">
        <v>283</v>
      </c>
      <c r="S36" s="2">
        <v>0.2</v>
      </c>
      <c r="T36" s="26">
        <f t="shared" si="1"/>
        <v>9</v>
      </c>
      <c r="U36" s="2" t="s">
        <v>298</v>
      </c>
    </row>
    <row r="37">
      <c r="C37" s="8"/>
      <c r="D37" s="29">
        <v>45708.0</v>
      </c>
      <c r="E37" s="2" t="s">
        <v>131</v>
      </c>
      <c r="F37" s="2" t="s">
        <v>210</v>
      </c>
      <c r="G37" s="2" t="s">
        <v>295</v>
      </c>
      <c r="H37" s="2" t="s">
        <v>296</v>
      </c>
      <c r="I37" s="31">
        <v>46123.0</v>
      </c>
      <c r="J37" s="2">
        <v>1.0</v>
      </c>
      <c r="K37" s="17">
        <v>41.0</v>
      </c>
      <c r="L37" s="8"/>
      <c r="M37" s="8"/>
      <c r="P37" s="2" t="s">
        <v>90</v>
      </c>
      <c r="Q37" s="31">
        <v>45781.0</v>
      </c>
      <c r="R37" s="2" t="s">
        <v>295</v>
      </c>
      <c r="S37" s="2">
        <v>0.8</v>
      </c>
      <c r="T37" s="26">
        <f t="shared" si="1"/>
        <v>32.8</v>
      </c>
      <c r="U37" s="2" t="s">
        <v>296</v>
      </c>
    </row>
    <row r="38">
      <c r="C38" s="8"/>
      <c r="D38" s="29">
        <v>45708.0</v>
      </c>
      <c r="E38" s="2" t="s">
        <v>131</v>
      </c>
      <c r="F38" s="2" t="s">
        <v>210</v>
      </c>
      <c r="G38" s="2" t="s">
        <v>272</v>
      </c>
      <c r="H38" s="2" t="s">
        <v>299</v>
      </c>
      <c r="I38" s="38" t="s">
        <v>300</v>
      </c>
      <c r="J38" s="2">
        <v>1.0</v>
      </c>
      <c r="K38" s="17">
        <v>19.0</v>
      </c>
      <c r="L38" s="8"/>
      <c r="M38" s="8"/>
      <c r="P38" s="2" t="s">
        <v>90</v>
      </c>
      <c r="Q38" s="31">
        <v>45781.0</v>
      </c>
      <c r="R38" s="2" t="s">
        <v>283</v>
      </c>
      <c r="S38" s="2">
        <v>0.8</v>
      </c>
      <c r="T38" s="26">
        <f t="shared" si="1"/>
        <v>36</v>
      </c>
      <c r="U38" s="2" t="s">
        <v>298</v>
      </c>
    </row>
    <row r="39">
      <c r="C39" s="8"/>
      <c r="D39" s="31">
        <v>45747.0</v>
      </c>
      <c r="E39" s="2" t="s">
        <v>131</v>
      </c>
      <c r="F39" s="2" t="s">
        <v>210</v>
      </c>
      <c r="G39" s="2" t="s">
        <v>283</v>
      </c>
      <c r="H39" s="2" t="s">
        <v>298</v>
      </c>
      <c r="I39" s="27">
        <v>46471.0</v>
      </c>
      <c r="J39" s="2">
        <v>1.0</v>
      </c>
      <c r="K39" s="17">
        <v>45.0</v>
      </c>
      <c r="L39" s="8"/>
      <c r="M39" s="8"/>
      <c r="P39" s="2" t="s">
        <v>91</v>
      </c>
      <c r="Q39" s="31">
        <v>45805.0</v>
      </c>
      <c r="R39" s="2" t="s">
        <v>294</v>
      </c>
      <c r="S39" s="2">
        <v>1.0</v>
      </c>
      <c r="T39" s="26">
        <f t="shared" si="1"/>
        <v>38</v>
      </c>
      <c r="U39" s="2">
        <v>4.067211099E9</v>
      </c>
    </row>
    <row r="40">
      <c r="C40" s="8"/>
      <c r="D40" s="29">
        <v>45829.0</v>
      </c>
      <c r="E40" s="2" t="s">
        <v>131</v>
      </c>
      <c r="F40" s="2" t="s">
        <v>210</v>
      </c>
      <c r="G40" s="2" t="s">
        <v>265</v>
      </c>
      <c r="H40" s="2" t="s">
        <v>301</v>
      </c>
      <c r="I40" s="27">
        <v>46446.0</v>
      </c>
      <c r="J40" s="2">
        <v>1.0</v>
      </c>
      <c r="K40" s="17">
        <v>46.0</v>
      </c>
      <c r="L40" s="8"/>
      <c r="M40" s="8"/>
      <c r="P40" s="2" t="s">
        <v>91</v>
      </c>
      <c r="Q40" s="31">
        <v>45805.0</v>
      </c>
      <c r="R40" s="2" t="s">
        <v>297</v>
      </c>
      <c r="S40" s="2">
        <v>1.0</v>
      </c>
      <c r="T40" s="26">
        <f t="shared" si="1"/>
        <v>45</v>
      </c>
      <c r="U40" s="2">
        <v>4.067211072E9</v>
      </c>
    </row>
    <row r="41">
      <c r="C41" s="8"/>
      <c r="D41" s="29">
        <v>45811.0</v>
      </c>
      <c r="E41" s="2" t="s">
        <v>131</v>
      </c>
      <c r="F41" s="2" t="s">
        <v>210</v>
      </c>
      <c r="G41" s="2" t="s">
        <v>264</v>
      </c>
      <c r="H41" s="2">
        <v>2973.0</v>
      </c>
      <c r="I41" s="31">
        <v>46716.0</v>
      </c>
      <c r="J41" s="2">
        <v>1.0</v>
      </c>
      <c r="K41" s="17">
        <v>45.3</v>
      </c>
      <c r="L41" s="8"/>
      <c r="M41" s="8"/>
      <c r="P41" s="2" t="s">
        <v>92</v>
      </c>
      <c r="Q41" s="29">
        <v>45847.0</v>
      </c>
      <c r="R41" s="2" t="s">
        <v>264</v>
      </c>
      <c r="S41" s="2">
        <v>1.0</v>
      </c>
      <c r="T41" s="26">
        <f t="shared" si="1"/>
        <v>45.3</v>
      </c>
      <c r="U41" s="2">
        <v>2973.0</v>
      </c>
    </row>
    <row r="42">
      <c r="C42" s="8"/>
      <c r="E42" s="2" t="s">
        <v>233</v>
      </c>
      <c r="G42" s="2" t="s">
        <v>275</v>
      </c>
      <c r="H42" s="2" t="s">
        <v>302</v>
      </c>
      <c r="J42" s="2">
        <v>5.0</v>
      </c>
      <c r="K42" s="17">
        <v>75.0</v>
      </c>
      <c r="L42" s="8"/>
      <c r="M42" s="8"/>
      <c r="P42" s="2" t="s">
        <v>93</v>
      </c>
      <c r="Q42" s="29">
        <v>45847.0</v>
      </c>
      <c r="R42" s="2" t="s">
        <v>265</v>
      </c>
      <c r="S42" s="2">
        <v>1.0</v>
      </c>
      <c r="T42" s="26">
        <f t="shared" si="1"/>
        <v>46</v>
      </c>
      <c r="U42" s="2" t="s">
        <v>301</v>
      </c>
    </row>
    <row r="43">
      <c r="C43" s="8"/>
      <c r="D43" s="31">
        <v>45901.0</v>
      </c>
      <c r="E43" s="2" t="s">
        <v>1</v>
      </c>
      <c r="G43" s="2" t="s">
        <v>303</v>
      </c>
      <c r="H43" s="2" t="s">
        <v>304</v>
      </c>
      <c r="I43" s="31">
        <v>45962.0</v>
      </c>
      <c r="J43" s="2">
        <v>4.0</v>
      </c>
      <c r="K43" s="17">
        <v>50.0</v>
      </c>
      <c r="L43" s="8"/>
      <c r="M43" s="8"/>
      <c r="P43" s="2" t="s">
        <v>94</v>
      </c>
      <c r="Q43" s="31">
        <v>45903.0</v>
      </c>
      <c r="R43" s="2" t="s">
        <v>272</v>
      </c>
      <c r="S43" s="2">
        <v>0.4</v>
      </c>
      <c r="T43" s="26">
        <f t="shared" si="1"/>
        <v>7.6</v>
      </c>
      <c r="U43" s="2" t="s">
        <v>299</v>
      </c>
    </row>
    <row r="44">
      <c r="C44" s="8"/>
      <c r="D44" s="29">
        <v>45929.0</v>
      </c>
      <c r="E44" s="2" t="s">
        <v>131</v>
      </c>
      <c r="F44" s="2" t="s">
        <v>210</v>
      </c>
      <c r="G44" s="2" t="s">
        <v>279</v>
      </c>
      <c r="H44" s="2" t="s">
        <v>305</v>
      </c>
      <c r="I44" s="31">
        <v>46752.0</v>
      </c>
      <c r="J44" s="2">
        <v>1.0</v>
      </c>
      <c r="K44" s="17">
        <v>26.0</v>
      </c>
      <c r="L44" s="8"/>
      <c r="M44" s="8"/>
      <c r="P44" s="2" t="s">
        <v>94</v>
      </c>
      <c r="Q44" s="31">
        <v>45903.0</v>
      </c>
      <c r="R44" s="2" t="s">
        <v>275</v>
      </c>
      <c r="S44" s="2">
        <v>0.2</v>
      </c>
      <c r="T44" s="26">
        <f t="shared" si="1"/>
        <v>3</v>
      </c>
      <c r="U44" s="2" t="s">
        <v>302</v>
      </c>
    </row>
    <row r="45">
      <c r="C45" s="8"/>
      <c r="D45" s="31">
        <v>45952.0</v>
      </c>
      <c r="E45" s="2" t="s">
        <v>131</v>
      </c>
      <c r="G45" s="2" t="s">
        <v>306</v>
      </c>
      <c r="H45" s="2" t="s">
        <v>307</v>
      </c>
      <c r="I45" s="31">
        <v>46387.0</v>
      </c>
      <c r="J45" s="2">
        <v>1.0</v>
      </c>
      <c r="K45" s="17">
        <v>18.5</v>
      </c>
      <c r="L45" s="8"/>
      <c r="M45" s="8"/>
      <c r="P45" s="2" t="s">
        <v>94</v>
      </c>
      <c r="Q45" s="31">
        <v>45931.0</v>
      </c>
      <c r="R45" s="2" t="s">
        <v>275</v>
      </c>
      <c r="S45" s="2">
        <v>1.0</v>
      </c>
      <c r="T45" s="26">
        <f t="shared" si="1"/>
        <v>15</v>
      </c>
      <c r="U45" s="2" t="s">
        <v>302</v>
      </c>
    </row>
    <row r="46">
      <c r="C46" s="8"/>
      <c r="D46" s="31">
        <v>45952.0</v>
      </c>
      <c r="E46" s="2" t="s">
        <v>131</v>
      </c>
      <c r="G46" s="2" t="s">
        <v>308</v>
      </c>
      <c r="H46" s="2" t="s">
        <v>309</v>
      </c>
      <c r="I46" s="31">
        <v>46387.0</v>
      </c>
      <c r="J46" s="2">
        <v>1.0</v>
      </c>
      <c r="K46" s="17">
        <v>22.0</v>
      </c>
      <c r="L46" s="8"/>
      <c r="M46" s="8"/>
      <c r="P46" s="2" t="s">
        <v>95</v>
      </c>
      <c r="Q46" s="31">
        <v>45938.0</v>
      </c>
      <c r="R46" s="2" t="s">
        <v>303</v>
      </c>
      <c r="S46" s="2">
        <v>4.0</v>
      </c>
      <c r="T46" s="26">
        <f t="shared" si="1"/>
        <v>50</v>
      </c>
      <c r="U46" s="2" t="s">
        <v>304</v>
      </c>
    </row>
    <row r="47">
      <c r="C47" s="8"/>
      <c r="D47" s="29">
        <v>46039.0</v>
      </c>
      <c r="E47" s="2" t="s">
        <v>42</v>
      </c>
      <c r="F47" s="2" t="s">
        <v>310</v>
      </c>
      <c r="G47" s="2" t="s">
        <v>272</v>
      </c>
      <c r="H47" s="2">
        <v>1002282.0</v>
      </c>
      <c r="I47" s="2" t="s">
        <v>311</v>
      </c>
      <c r="J47" s="2">
        <v>5.0</v>
      </c>
      <c r="K47" s="17">
        <v>75.0</v>
      </c>
      <c r="L47" s="8"/>
      <c r="M47" s="8"/>
      <c r="P47" s="2" t="s">
        <v>97</v>
      </c>
      <c r="Q47" s="31">
        <v>45959.0</v>
      </c>
      <c r="R47" s="2" t="s">
        <v>275</v>
      </c>
      <c r="S47" s="2">
        <v>0.3</v>
      </c>
      <c r="T47" s="26">
        <f t="shared" si="1"/>
        <v>4.5</v>
      </c>
      <c r="U47" s="2" t="s">
        <v>302</v>
      </c>
    </row>
    <row r="48">
      <c r="C48" s="8"/>
      <c r="E48" s="8"/>
      <c r="G48" s="2"/>
      <c r="K48" s="18"/>
      <c r="L48" s="8"/>
      <c r="M48" s="8"/>
      <c r="P48" s="2" t="s">
        <v>97</v>
      </c>
      <c r="Q48" s="31">
        <v>45959.0</v>
      </c>
      <c r="R48" s="2" t="s">
        <v>306</v>
      </c>
      <c r="S48" s="2">
        <v>0.3</v>
      </c>
      <c r="T48" s="26">
        <f t="shared" si="1"/>
        <v>5.55</v>
      </c>
      <c r="U48" s="2" t="s">
        <v>307</v>
      </c>
    </row>
    <row r="49">
      <c r="C49" s="8"/>
      <c r="E49" s="8"/>
      <c r="G49" s="2"/>
      <c r="K49" s="18"/>
      <c r="L49" s="8"/>
      <c r="M49" s="8"/>
      <c r="P49" s="2" t="s">
        <v>97</v>
      </c>
      <c r="Q49" s="31">
        <v>45959.0</v>
      </c>
      <c r="R49" s="2" t="s">
        <v>308</v>
      </c>
      <c r="S49" s="2">
        <v>0.3</v>
      </c>
      <c r="T49" s="26">
        <f t="shared" si="1"/>
        <v>6.6</v>
      </c>
      <c r="U49" s="2" t="s">
        <v>309</v>
      </c>
    </row>
    <row r="50">
      <c r="C50" s="8"/>
      <c r="E50" s="8"/>
      <c r="G50" s="2"/>
      <c r="K50" s="18"/>
      <c r="L50" s="8"/>
      <c r="M50" s="8"/>
      <c r="P50" s="2" t="s">
        <v>96</v>
      </c>
      <c r="Q50" s="31">
        <v>45966.0</v>
      </c>
      <c r="R50" s="2" t="s">
        <v>279</v>
      </c>
      <c r="S50" s="2">
        <v>1.0</v>
      </c>
      <c r="T50" s="26">
        <f t="shared" si="1"/>
        <v>26</v>
      </c>
      <c r="U50" s="2" t="s">
        <v>305</v>
      </c>
    </row>
    <row r="51">
      <c r="C51" s="8"/>
      <c r="E51" s="8"/>
      <c r="G51" s="2"/>
      <c r="K51" s="18"/>
      <c r="L51" s="8"/>
      <c r="M51" s="8"/>
      <c r="P51" s="2" t="s">
        <v>96</v>
      </c>
      <c r="Q51" s="31">
        <v>45966.0</v>
      </c>
      <c r="R51" s="2" t="s">
        <v>275</v>
      </c>
      <c r="S51" s="2">
        <v>0.8</v>
      </c>
      <c r="T51" s="26">
        <f t="shared" si="1"/>
        <v>12</v>
      </c>
      <c r="U51" s="2" t="s">
        <v>302</v>
      </c>
    </row>
    <row r="52">
      <c r="C52" s="8"/>
      <c r="E52" s="8"/>
      <c r="G52" s="2"/>
      <c r="K52" s="18"/>
      <c r="L52" s="8"/>
      <c r="M52" s="8"/>
      <c r="P52" s="2" t="s">
        <v>97</v>
      </c>
      <c r="Q52" s="31">
        <v>45966.0</v>
      </c>
      <c r="R52" s="2" t="s">
        <v>275</v>
      </c>
      <c r="S52" s="2">
        <v>0.7</v>
      </c>
      <c r="T52" s="26">
        <f t="shared" si="1"/>
        <v>10.5</v>
      </c>
      <c r="U52" s="2" t="s">
        <v>302</v>
      </c>
    </row>
    <row r="53">
      <c r="C53" s="8"/>
      <c r="E53" s="8"/>
      <c r="G53" s="2"/>
      <c r="K53" s="18"/>
      <c r="L53" s="8"/>
      <c r="M53" s="8"/>
      <c r="P53" s="2" t="s">
        <v>97</v>
      </c>
      <c r="Q53" s="31">
        <v>45966.0</v>
      </c>
      <c r="R53" s="2" t="s">
        <v>308</v>
      </c>
      <c r="S53" s="2">
        <v>0.7</v>
      </c>
      <c r="T53" s="26">
        <f t="shared" si="1"/>
        <v>15.4</v>
      </c>
      <c r="U53" s="2" t="s">
        <v>309</v>
      </c>
    </row>
    <row r="54">
      <c r="C54" s="8"/>
      <c r="E54" s="8"/>
      <c r="G54" s="2"/>
      <c r="K54" s="18"/>
      <c r="L54" s="8"/>
      <c r="M54" s="8"/>
      <c r="P54" s="2" t="s">
        <v>97</v>
      </c>
      <c r="Q54" s="31">
        <v>45966.0</v>
      </c>
      <c r="R54" s="2" t="s">
        <v>306</v>
      </c>
      <c r="S54" s="2">
        <v>0.7</v>
      </c>
      <c r="T54" s="26">
        <f t="shared" si="1"/>
        <v>12.95</v>
      </c>
      <c r="U54" s="2" t="s">
        <v>307</v>
      </c>
    </row>
    <row r="55">
      <c r="C55" s="8"/>
      <c r="E55" s="8"/>
      <c r="G55" s="2"/>
      <c r="K55" s="18"/>
      <c r="L55" s="8"/>
      <c r="M55" s="8"/>
      <c r="P55" s="2" t="s">
        <v>219</v>
      </c>
      <c r="Q55" s="29">
        <v>46043.0</v>
      </c>
      <c r="R55" s="2" t="s">
        <v>272</v>
      </c>
      <c r="S55" s="2">
        <v>0.2</v>
      </c>
      <c r="T55" s="26">
        <f t="shared" si="1"/>
        <v>3.8</v>
      </c>
      <c r="U55" s="2" t="s">
        <v>299</v>
      </c>
    </row>
    <row r="56">
      <c r="C56" s="8"/>
      <c r="E56" s="8"/>
      <c r="G56" s="2"/>
      <c r="K56" s="18"/>
      <c r="L56" s="8"/>
      <c r="M56" s="8"/>
      <c r="P56" s="2" t="s">
        <v>98</v>
      </c>
      <c r="Q56" s="29">
        <v>46043.0</v>
      </c>
      <c r="R56" s="2" t="s">
        <v>272</v>
      </c>
      <c r="S56" s="2">
        <v>1.0</v>
      </c>
      <c r="T56" s="26">
        <f t="shared" si="1"/>
        <v>15</v>
      </c>
      <c r="U56" s="2">
        <v>1002282.0</v>
      </c>
    </row>
    <row r="57">
      <c r="C57" s="8"/>
      <c r="E57" s="8"/>
      <c r="G57" s="2"/>
      <c r="K57" s="18"/>
      <c r="L57" s="8"/>
      <c r="M57" s="8"/>
      <c r="P57" s="2" t="s">
        <v>219</v>
      </c>
      <c r="Q57" s="29">
        <v>46043.0</v>
      </c>
      <c r="R57" s="2" t="s">
        <v>275</v>
      </c>
      <c r="S57" s="2">
        <v>0.2</v>
      </c>
      <c r="T57" s="26">
        <f t="shared" si="1"/>
        <v>3</v>
      </c>
      <c r="U57" s="2" t="s">
        <v>302</v>
      </c>
    </row>
    <row r="58">
      <c r="C58" s="8"/>
      <c r="E58" s="8"/>
      <c r="G58" s="2"/>
      <c r="K58" s="18"/>
      <c r="L58" s="8"/>
      <c r="M58" s="8"/>
      <c r="R58" s="8"/>
      <c r="T58" s="26" t="str">
        <f t="shared" si="1"/>
        <v/>
      </c>
    </row>
    <row r="59">
      <c r="C59" s="8"/>
      <c r="E59" s="8"/>
      <c r="G59" s="2"/>
      <c r="K59" s="18"/>
      <c r="L59" s="8"/>
      <c r="M59" s="8"/>
      <c r="R59" s="8"/>
      <c r="T59" s="26" t="str">
        <f t="shared" si="1"/>
        <v/>
      </c>
    </row>
    <row r="60">
      <c r="C60" s="8"/>
      <c r="E60" s="8"/>
      <c r="G60" s="2"/>
      <c r="K60" s="18"/>
      <c r="L60" s="8"/>
      <c r="M60" s="8"/>
      <c r="R60" s="8"/>
      <c r="T60" s="26" t="str">
        <f t="shared" si="1"/>
        <v/>
      </c>
    </row>
    <row r="61">
      <c r="C61" s="8"/>
      <c r="E61" s="8"/>
      <c r="G61" s="2"/>
      <c r="K61" s="18"/>
      <c r="L61" s="8"/>
      <c r="M61" s="8"/>
      <c r="R61" s="8"/>
      <c r="T61" s="26" t="str">
        <f t="shared" si="1"/>
        <v/>
      </c>
    </row>
    <row r="62">
      <c r="C62" s="8"/>
      <c r="E62" s="8"/>
      <c r="G62" s="2"/>
      <c r="K62" s="18"/>
      <c r="L62" s="8"/>
      <c r="M62" s="8"/>
      <c r="R62" s="8"/>
      <c r="T62" s="26" t="str">
        <f t="shared" si="1"/>
        <v/>
      </c>
    </row>
    <row r="63">
      <c r="C63" s="8"/>
      <c r="E63" s="8"/>
      <c r="G63" s="2"/>
      <c r="K63" s="18"/>
      <c r="L63" s="8"/>
      <c r="M63" s="8"/>
      <c r="R63" s="8"/>
      <c r="T63" s="26" t="str">
        <f t="shared" si="1"/>
        <v/>
      </c>
    </row>
    <row r="64">
      <c r="C64" s="8"/>
      <c r="E64" s="8"/>
      <c r="G64" s="2"/>
      <c r="K64" s="18"/>
      <c r="L64" s="8"/>
      <c r="M64" s="8"/>
      <c r="R64" s="8"/>
      <c r="T64" s="26" t="str">
        <f t="shared" si="1"/>
        <v/>
      </c>
    </row>
    <row r="65">
      <c r="C65" s="8"/>
      <c r="E65" s="8"/>
      <c r="G65" s="2"/>
      <c r="K65" s="18"/>
      <c r="L65" s="8"/>
      <c r="M65" s="8"/>
      <c r="R65" s="8"/>
      <c r="T65" s="26" t="str">
        <f t="shared" si="1"/>
        <v/>
      </c>
    </row>
    <row r="66">
      <c r="C66" s="8"/>
      <c r="E66" s="8"/>
      <c r="G66" s="2"/>
      <c r="K66" s="18"/>
      <c r="L66" s="8"/>
      <c r="M66" s="8"/>
      <c r="R66" s="8"/>
      <c r="T66" s="26" t="str">
        <f t="shared" si="1"/>
        <v/>
      </c>
    </row>
    <row r="67">
      <c r="C67" s="8"/>
      <c r="E67" s="8"/>
      <c r="G67" s="2"/>
      <c r="K67" s="18"/>
      <c r="L67" s="8"/>
      <c r="M67" s="8"/>
      <c r="R67" s="8"/>
      <c r="T67" s="26" t="str">
        <f t="shared" si="1"/>
        <v/>
      </c>
    </row>
    <row r="68">
      <c r="C68" s="8"/>
      <c r="E68" s="8"/>
      <c r="G68" s="2"/>
      <c r="K68" s="18"/>
      <c r="L68" s="8"/>
      <c r="M68" s="8"/>
      <c r="R68" s="8"/>
      <c r="T68" s="26" t="str">
        <f t="shared" si="1"/>
        <v/>
      </c>
    </row>
    <row r="69">
      <c r="C69" s="8"/>
      <c r="E69" s="8"/>
      <c r="G69" s="2"/>
      <c r="K69" s="18"/>
      <c r="L69" s="8"/>
      <c r="M69" s="8"/>
      <c r="R69" s="8"/>
      <c r="T69" s="26" t="str">
        <f t="shared" si="1"/>
        <v/>
      </c>
    </row>
    <row r="70">
      <c r="C70" s="8"/>
      <c r="E70" s="8"/>
      <c r="G70" s="2"/>
      <c r="K70" s="18"/>
      <c r="L70" s="8"/>
      <c r="M70" s="8"/>
      <c r="R70" s="8"/>
      <c r="T70" s="26" t="str">
        <f t="shared" si="1"/>
        <v/>
      </c>
    </row>
    <row r="71">
      <c r="C71" s="8"/>
      <c r="E71" s="8"/>
      <c r="G71" s="2"/>
      <c r="K71" s="18"/>
      <c r="L71" s="8"/>
      <c r="M71" s="8"/>
      <c r="R71" s="8"/>
      <c r="T71" s="26" t="str">
        <f t="shared" si="1"/>
        <v/>
      </c>
    </row>
    <row r="72">
      <c r="C72" s="8"/>
      <c r="E72" s="8"/>
      <c r="G72" s="2"/>
      <c r="K72" s="18"/>
      <c r="L72" s="8"/>
      <c r="M72" s="8"/>
      <c r="R72" s="8"/>
      <c r="T72" s="26" t="str">
        <f t="shared" si="1"/>
        <v/>
      </c>
    </row>
    <row r="73">
      <c r="C73" s="8"/>
      <c r="E73" s="8"/>
      <c r="G73" s="2"/>
      <c r="K73" s="18"/>
      <c r="L73" s="8"/>
      <c r="M73" s="8"/>
      <c r="R73" s="8"/>
      <c r="T73" s="26" t="str">
        <f t="shared" si="1"/>
        <v/>
      </c>
    </row>
    <row r="74">
      <c r="C74" s="8"/>
      <c r="G74" s="2"/>
      <c r="K74" s="18"/>
      <c r="L74" s="8"/>
      <c r="M74" s="8"/>
      <c r="R74" s="8"/>
      <c r="T74" s="26" t="str">
        <f t="shared" si="1"/>
        <v/>
      </c>
    </row>
    <row r="75">
      <c r="C75" s="8"/>
      <c r="G75" s="2"/>
      <c r="K75" s="18"/>
      <c r="L75" s="8"/>
      <c r="M75" s="8"/>
      <c r="R75" s="8"/>
      <c r="T75" s="26" t="str">
        <f t="shared" si="1"/>
        <v/>
      </c>
    </row>
    <row r="76">
      <c r="C76" s="8"/>
      <c r="G76" s="2"/>
      <c r="K76" s="18"/>
      <c r="L76" s="8"/>
      <c r="M76" s="8"/>
      <c r="R76" s="8"/>
      <c r="T76" s="26" t="str">
        <f t="shared" si="1"/>
        <v/>
      </c>
    </row>
    <row r="77">
      <c r="C77" s="8"/>
      <c r="G77" s="2"/>
      <c r="K77" s="18"/>
      <c r="L77" s="8"/>
      <c r="M77" s="8"/>
      <c r="R77" s="8"/>
      <c r="T77" s="26" t="str">
        <f t="shared" si="1"/>
        <v/>
      </c>
    </row>
    <row r="78">
      <c r="C78" s="8"/>
      <c r="G78" s="2"/>
      <c r="K78" s="18"/>
      <c r="L78" s="8"/>
      <c r="M78" s="8"/>
      <c r="R78" s="8"/>
      <c r="T78" s="26" t="str">
        <f t="shared" si="1"/>
        <v/>
      </c>
    </row>
    <row r="79">
      <c r="C79" s="8"/>
      <c r="G79" s="2"/>
      <c r="K79" s="18"/>
      <c r="L79" s="8"/>
      <c r="M79" s="8"/>
      <c r="R79" s="8"/>
      <c r="T79" s="26" t="str">
        <f t="shared" si="1"/>
        <v/>
      </c>
    </row>
    <row r="80">
      <c r="C80" s="8"/>
      <c r="G80" s="2"/>
      <c r="K80" s="18"/>
      <c r="L80" s="8"/>
      <c r="M80" s="8"/>
      <c r="R80" s="8"/>
      <c r="T80" s="26" t="str">
        <f t="shared" si="1"/>
        <v/>
      </c>
    </row>
    <row r="81">
      <c r="C81" s="8"/>
      <c r="G81" s="2"/>
      <c r="K81" s="18"/>
      <c r="L81" s="8"/>
      <c r="M81" s="8"/>
      <c r="R81" s="8"/>
      <c r="T81" s="26" t="str">
        <f t="shared" si="1"/>
        <v/>
      </c>
    </row>
    <row r="82">
      <c r="C82" s="8"/>
      <c r="G82" s="2"/>
      <c r="K82" s="18"/>
      <c r="L82" s="8"/>
      <c r="M82" s="8"/>
      <c r="R82" s="8"/>
      <c r="T82" s="26" t="str">
        <f t="shared" si="1"/>
        <v/>
      </c>
    </row>
    <row r="83">
      <c r="C83" s="8"/>
      <c r="G83" s="2"/>
      <c r="K83" s="18"/>
      <c r="L83" s="8"/>
      <c r="M83" s="8"/>
      <c r="R83" s="8"/>
      <c r="T83" s="26" t="str">
        <f t="shared" si="1"/>
        <v/>
      </c>
    </row>
    <row r="84">
      <c r="C84" s="8"/>
      <c r="G84" s="2"/>
      <c r="K84" s="18"/>
      <c r="L84" s="8"/>
      <c r="M84" s="8"/>
      <c r="R84" s="8"/>
      <c r="T84" s="26" t="str">
        <f t="shared" si="1"/>
        <v/>
      </c>
    </row>
    <row r="85">
      <c r="C85" s="8"/>
      <c r="G85" s="2"/>
      <c r="K85" s="18"/>
      <c r="L85" s="8"/>
      <c r="M85" s="8"/>
      <c r="R85" s="8"/>
      <c r="T85" s="26" t="str">
        <f t="shared" si="1"/>
        <v/>
      </c>
    </row>
    <row r="86">
      <c r="C86" s="8"/>
      <c r="G86" s="2"/>
      <c r="K86" s="18"/>
      <c r="L86" s="8"/>
      <c r="M86" s="8"/>
      <c r="R86" s="8"/>
      <c r="T86" s="26" t="str">
        <f t="shared" si="1"/>
        <v/>
      </c>
    </row>
    <row r="87">
      <c r="C87" s="8"/>
      <c r="G87" s="2"/>
      <c r="K87" s="18"/>
      <c r="L87" s="8"/>
      <c r="M87" s="8"/>
      <c r="R87" s="8"/>
      <c r="T87" s="26" t="str">
        <f t="shared" si="1"/>
        <v/>
      </c>
    </row>
    <row r="88">
      <c r="C88" s="8"/>
      <c r="G88" s="2"/>
      <c r="K88" s="18"/>
      <c r="L88" s="8"/>
      <c r="M88" s="8"/>
      <c r="R88" s="8"/>
      <c r="T88" s="26" t="str">
        <f t="shared" si="1"/>
        <v/>
      </c>
    </row>
    <row r="89">
      <c r="C89" s="8"/>
      <c r="G89" s="2"/>
      <c r="K89" s="18"/>
      <c r="L89" s="8"/>
      <c r="M89" s="8"/>
      <c r="R89" s="8"/>
      <c r="T89" s="26" t="str">
        <f t="shared" si="1"/>
        <v/>
      </c>
    </row>
    <row r="90">
      <c r="C90" s="8"/>
      <c r="G90" s="2"/>
      <c r="K90" s="18"/>
      <c r="L90" s="8"/>
      <c r="M90" s="8"/>
      <c r="R90" s="8"/>
      <c r="T90" s="26" t="str">
        <f t="shared" si="1"/>
        <v/>
      </c>
    </row>
    <row r="91">
      <c r="C91" s="8"/>
      <c r="G91" s="2"/>
      <c r="K91" s="18"/>
      <c r="L91" s="8"/>
      <c r="M91" s="8"/>
      <c r="R91" s="8"/>
      <c r="T91" s="26" t="str">
        <f t="shared" si="1"/>
        <v/>
      </c>
    </row>
    <row r="92">
      <c r="C92" s="8"/>
      <c r="G92" s="2"/>
      <c r="K92" s="18"/>
      <c r="L92" s="8"/>
      <c r="M92" s="8"/>
      <c r="R92" s="8"/>
      <c r="T92" s="26" t="str">
        <f t="shared" si="1"/>
        <v/>
      </c>
    </row>
    <row r="93">
      <c r="C93" s="8"/>
      <c r="G93" s="2"/>
      <c r="K93" s="18"/>
      <c r="L93" s="8"/>
      <c r="M93" s="8"/>
      <c r="R93" s="8"/>
      <c r="T93" s="26" t="str">
        <f t="shared" si="1"/>
        <v/>
      </c>
    </row>
    <row r="94">
      <c r="C94" s="8"/>
      <c r="G94" s="2"/>
      <c r="K94" s="18"/>
      <c r="L94" s="8"/>
      <c r="M94" s="8"/>
      <c r="R94" s="8"/>
      <c r="T94" s="26" t="str">
        <f t="shared" si="1"/>
        <v/>
      </c>
    </row>
    <row r="95">
      <c r="C95" s="8"/>
      <c r="G95" s="2"/>
      <c r="K95" s="18"/>
      <c r="L95" s="8"/>
      <c r="M95" s="8"/>
      <c r="R95" s="8"/>
      <c r="T95" s="26" t="str">
        <f t="shared" si="1"/>
        <v/>
      </c>
    </row>
    <row r="96">
      <c r="C96" s="8"/>
      <c r="G96" s="2"/>
      <c r="K96" s="18"/>
      <c r="L96" s="8"/>
      <c r="M96" s="8"/>
      <c r="R96" s="8"/>
      <c r="T96" s="26" t="str">
        <f t="shared" si="1"/>
        <v/>
      </c>
    </row>
    <row r="97">
      <c r="C97" s="8"/>
      <c r="G97" s="2"/>
      <c r="K97" s="18"/>
      <c r="L97" s="8"/>
      <c r="M97" s="8"/>
      <c r="R97" s="8"/>
      <c r="T97" s="26" t="str">
        <f t="shared" si="1"/>
        <v/>
      </c>
    </row>
    <row r="98">
      <c r="C98" s="8"/>
      <c r="G98" s="2"/>
      <c r="K98" s="18"/>
      <c r="L98" s="8"/>
      <c r="M98" s="8"/>
      <c r="R98" s="8"/>
      <c r="T98" s="26" t="str">
        <f t="shared" si="1"/>
        <v/>
      </c>
    </row>
    <row r="99">
      <c r="C99" s="8"/>
      <c r="G99" s="2"/>
      <c r="K99" s="18"/>
      <c r="L99" s="8"/>
      <c r="M99" s="8"/>
      <c r="R99" s="8"/>
      <c r="T99" s="26" t="str">
        <f t="shared" si="1"/>
        <v/>
      </c>
    </row>
    <row r="100">
      <c r="C100" s="8"/>
      <c r="G100" s="2"/>
      <c r="K100" s="18"/>
      <c r="L100" s="8"/>
      <c r="M100" s="8"/>
      <c r="R100" s="8"/>
      <c r="T100" s="26" t="str">
        <f t="shared" si="1"/>
        <v/>
      </c>
    </row>
    <row r="101">
      <c r="C101" s="8"/>
      <c r="G101" s="2"/>
      <c r="K101" s="18"/>
      <c r="L101" s="8"/>
      <c r="M101" s="8"/>
      <c r="R101" s="8"/>
      <c r="T101" s="26" t="str">
        <f t="shared" si="1"/>
        <v/>
      </c>
    </row>
    <row r="102">
      <c r="C102" s="8"/>
      <c r="G102" s="2"/>
      <c r="K102" s="18"/>
      <c r="L102" s="8"/>
      <c r="M102" s="8"/>
      <c r="R102" s="8"/>
      <c r="T102" s="26" t="str">
        <f t="shared" si="1"/>
        <v/>
      </c>
    </row>
    <row r="103">
      <c r="C103" s="8"/>
      <c r="G103" s="2"/>
      <c r="K103" s="18"/>
      <c r="L103" s="8"/>
      <c r="M103" s="8"/>
      <c r="R103" s="8"/>
      <c r="T103" s="26" t="str">
        <f t="shared" si="1"/>
        <v/>
      </c>
    </row>
    <row r="104">
      <c r="C104" s="8"/>
      <c r="G104" s="2"/>
      <c r="K104" s="18"/>
      <c r="L104" s="8"/>
      <c r="M104" s="8"/>
      <c r="R104" s="8"/>
      <c r="T104" s="26" t="str">
        <f t="shared" si="1"/>
        <v/>
      </c>
    </row>
    <row r="105">
      <c r="C105" s="8"/>
      <c r="G105" s="2"/>
      <c r="K105" s="18"/>
      <c r="L105" s="8"/>
      <c r="M105" s="8"/>
      <c r="R105" s="8"/>
      <c r="T105" s="26" t="str">
        <f t="shared" si="1"/>
        <v/>
      </c>
    </row>
    <row r="106">
      <c r="C106" s="8"/>
      <c r="G106" s="2"/>
      <c r="K106" s="18"/>
      <c r="L106" s="8"/>
      <c r="M106" s="8"/>
      <c r="R106" s="8"/>
      <c r="T106" s="26" t="str">
        <f t="shared" si="1"/>
        <v/>
      </c>
    </row>
    <row r="107">
      <c r="C107" s="8"/>
      <c r="G107" s="2"/>
      <c r="K107" s="18"/>
      <c r="L107" s="8"/>
      <c r="M107" s="8"/>
      <c r="R107" s="8"/>
      <c r="T107" s="26" t="str">
        <f t="shared" si="1"/>
        <v/>
      </c>
    </row>
    <row r="108">
      <c r="C108" s="8"/>
      <c r="G108" s="2"/>
      <c r="K108" s="18"/>
      <c r="L108" s="8"/>
      <c r="M108" s="8"/>
      <c r="R108" s="8"/>
      <c r="T108" s="26" t="str">
        <f t="shared" si="1"/>
        <v/>
      </c>
    </row>
    <row r="109">
      <c r="C109" s="8"/>
      <c r="G109" s="2"/>
      <c r="K109" s="18"/>
      <c r="L109" s="8"/>
      <c r="M109" s="8"/>
      <c r="R109" s="8"/>
      <c r="T109" s="26" t="str">
        <f t="shared" si="1"/>
        <v/>
      </c>
    </row>
    <row r="110">
      <c r="C110" s="8"/>
      <c r="G110" s="2"/>
      <c r="K110" s="18"/>
      <c r="L110" s="8"/>
      <c r="M110" s="8"/>
      <c r="R110" s="8"/>
      <c r="T110" s="26" t="str">
        <f t="shared" si="1"/>
        <v/>
      </c>
    </row>
    <row r="111">
      <c r="C111" s="8"/>
      <c r="G111" s="2"/>
      <c r="K111" s="18"/>
      <c r="L111" s="8"/>
      <c r="M111" s="8"/>
      <c r="R111" s="8"/>
      <c r="T111" s="26" t="str">
        <f t="shared" si="1"/>
        <v/>
      </c>
    </row>
    <row r="112">
      <c r="C112" s="8"/>
      <c r="G112" s="2"/>
      <c r="K112" s="18"/>
      <c r="L112" s="8"/>
      <c r="M112" s="8"/>
      <c r="R112" s="8"/>
      <c r="T112" s="26" t="str">
        <f t="shared" si="1"/>
        <v/>
      </c>
    </row>
    <row r="113">
      <c r="C113" s="8"/>
      <c r="G113" s="2"/>
      <c r="K113" s="18"/>
      <c r="L113" s="8"/>
      <c r="M113" s="8"/>
      <c r="R113" s="8"/>
      <c r="T113" s="26" t="str">
        <f t="shared" si="1"/>
        <v/>
      </c>
    </row>
    <row r="114">
      <c r="C114" s="8"/>
      <c r="G114" s="2"/>
      <c r="K114" s="18"/>
      <c r="L114" s="8"/>
      <c r="M114" s="8"/>
      <c r="R114" s="8"/>
      <c r="T114" s="26" t="str">
        <f t="shared" si="1"/>
        <v/>
      </c>
    </row>
    <row r="115">
      <c r="C115" s="8"/>
      <c r="G115" s="2"/>
      <c r="K115" s="18"/>
      <c r="L115" s="8"/>
      <c r="M115" s="8"/>
      <c r="R115" s="8"/>
      <c r="T115" s="26" t="str">
        <f t="shared" si="1"/>
        <v/>
      </c>
    </row>
    <row r="116">
      <c r="C116" s="8"/>
      <c r="G116" s="2"/>
      <c r="K116" s="18"/>
      <c r="L116" s="8"/>
      <c r="M116" s="8"/>
      <c r="R116" s="8"/>
      <c r="T116" s="26" t="str">
        <f t="shared" si="1"/>
        <v/>
      </c>
    </row>
    <row r="117">
      <c r="C117" s="8"/>
      <c r="G117" s="2"/>
      <c r="K117" s="18"/>
      <c r="L117" s="8"/>
      <c r="M117" s="8"/>
      <c r="R117" s="8"/>
      <c r="T117" s="26" t="str">
        <f t="shared" si="1"/>
        <v/>
      </c>
    </row>
    <row r="118">
      <c r="C118" s="8"/>
      <c r="G118" s="2"/>
      <c r="K118" s="18"/>
      <c r="L118" s="8"/>
      <c r="M118" s="8"/>
      <c r="R118" s="8"/>
      <c r="T118" s="26" t="str">
        <f t="shared" si="1"/>
        <v/>
      </c>
    </row>
    <row r="119">
      <c r="C119" s="8"/>
      <c r="G119" s="2"/>
      <c r="K119" s="18"/>
      <c r="L119" s="8"/>
      <c r="M119" s="8"/>
      <c r="R119" s="8"/>
      <c r="T119" s="26" t="str">
        <f t="shared" si="1"/>
        <v/>
      </c>
    </row>
    <row r="120">
      <c r="C120" s="8"/>
      <c r="G120" s="2"/>
      <c r="K120" s="18"/>
      <c r="L120" s="8"/>
      <c r="M120" s="8"/>
      <c r="R120" s="8"/>
      <c r="T120" s="26" t="str">
        <f t="shared" si="1"/>
        <v/>
      </c>
    </row>
    <row r="121">
      <c r="C121" s="8"/>
      <c r="G121" s="2"/>
      <c r="K121" s="18"/>
      <c r="L121" s="8"/>
      <c r="M121" s="8"/>
      <c r="R121" s="8"/>
      <c r="T121" s="26" t="str">
        <f t="shared" si="1"/>
        <v/>
      </c>
    </row>
    <row r="122">
      <c r="C122" s="8"/>
      <c r="G122" s="2"/>
      <c r="K122" s="18"/>
      <c r="L122" s="8"/>
      <c r="M122" s="8"/>
      <c r="R122" s="8"/>
      <c r="T122" s="26" t="str">
        <f t="shared" si="1"/>
        <v/>
      </c>
    </row>
    <row r="123">
      <c r="C123" s="8"/>
      <c r="G123" s="2"/>
      <c r="K123" s="18"/>
      <c r="L123" s="8"/>
      <c r="M123" s="8"/>
      <c r="R123" s="8"/>
      <c r="T123" s="26" t="str">
        <f t="shared" si="1"/>
        <v/>
      </c>
    </row>
    <row r="124">
      <c r="C124" s="8"/>
      <c r="G124" s="2"/>
      <c r="K124" s="18"/>
      <c r="L124" s="8"/>
      <c r="M124" s="8"/>
      <c r="R124" s="8"/>
      <c r="T124" s="26" t="str">
        <f t="shared" si="1"/>
        <v/>
      </c>
    </row>
    <row r="125">
      <c r="C125" s="8"/>
      <c r="G125" s="8"/>
      <c r="K125" s="18"/>
      <c r="L125" s="8"/>
      <c r="M125" s="8"/>
      <c r="R125" s="8"/>
      <c r="T125" s="26" t="str">
        <f t="shared" si="1"/>
        <v/>
      </c>
    </row>
    <row r="126">
      <c r="C126" s="8"/>
      <c r="G126" s="8"/>
      <c r="K126" s="18"/>
      <c r="L126" s="8"/>
      <c r="M126" s="8"/>
      <c r="R126" s="8"/>
      <c r="T126" s="26" t="str">
        <f t="shared" si="1"/>
        <v/>
      </c>
    </row>
    <row r="127">
      <c r="C127" s="8"/>
      <c r="G127" s="8"/>
      <c r="K127" s="18"/>
      <c r="L127" s="8"/>
      <c r="M127" s="8"/>
      <c r="R127" s="8"/>
      <c r="T127" s="26" t="str">
        <f t="shared" si="1"/>
        <v/>
      </c>
    </row>
    <row r="128">
      <c r="C128" s="8"/>
      <c r="G128" s="8"/>
      <c r="K128" s="18"/>
      <c r="L128" s="8"/>
      <c r="M128" s="8"/>
      <c r="R128" s="8"/>
      <c r="T128" s="26" t="str">
        <f t="shared" si="1"/>
        <v/>
      </c>
    </row>
    <row r="129">
      <c r="C129" s="8"/>
      <c r="G129" s="8"/>
      <c r="K129" s="18"/>
      <c r="L129" s="8"/>
      <c r="M129" s="8"/>
      <c r="R129" s="8"/>
      <c r="T129" s="26" t="str">
        <f t="shared" si="1"/>
        <v/>
      </c>
    </row>
    <row r="130">
      <c r="C130" s="8"/>
      <c r="G130" s="8"/>
      <c r="K130" s="18"/>
      <c r="L130" s="8"/>
      <c r="M130" s="8"/>
      <c r="R130" s="8"/>
      <c r="T130" s="26" t="str">
        <f t="shared" si="1"/>
        <v/>
      </c>
    </row>
    <row r="131">
      <c r="C131" s="8"/>
      <c r="G131" s="8"/>
      <c r="K131" s="18"/>
      <c r="L131" s="8"/>
      <c r="M131" s="8"/>
      <c r="R131" s="8"/>
      <c r="T131" s="26" t="str">
        <f t="shared" si="1"/>
        <v/>
      </c>
    </row>
    <row r="132">
      <c r="C132" s="8"/>
      <c r="G132" s="8"/>
      <c r="K132" s="18"/>
      <c r="L132" s="8"/>
      <c r="M132" s="8"/>
      <c r="R132" s="8"/>
      <c r="T132" s="26" t="str">
        <f t="shared" si="1"/>
        <v/>
      </c>
    </row>
    <row r="133">
      <c r="C133" s="8"/>
      <c r="G133" s="8"/>
      <c r="K133" s="18"/>
      <c r="L133" s="8"/>
      <c r="M133" s="8"/>
      <c r="R133" s="8"/>
      <c r="T133" s="26" t="str">
        <f t="shared" si="1"/>
        <v/>
      </c>
    </row>
    <row r="134">
      <c r="C134" s="8"/>
      <c r="G134" s="8"/>
      <c r="K134" s="18"/>
      <c r="L134" s="8"/>
      <c r="M134" s="8"/>
      <c r="R134" s="8"/>
      <c r="T134" s="26" t="str">
        <f t="shared" si="1"/>
        <v/>
      </c>
    </row>
    <row r="135">
      <c r="C135" s="8"/>
      <c r="G135" s="8"/>
      <c r="K135" s="18"/>
      <c r="L135" s="8"/>
      <c r="M135" s="8"/>
      <c r="R135" s="8"/>
      <c r="T135" s="26" t="str">
        <f t="shared" si="1"/>
        <v/>
      </c>
    </row>
    <row r="136">
      <c r="C136" s="8"/>
      <c r="G136" s="8"/>
      <c r="K136" s="18"/>
      <c r="L136" s="8"/>
      <c r="M136" s="8"/>
      <c r="R136" s="8"/>
      <c r="T136" s="26" t="str">
        <f t="shared" si="1"/>
        <v/>
      </c>
    </row>
    <row r="137">
      <c r="C137" s="8"/>
      <c r="G137" s="8"/>
      <c r="K137" s="18"/>
      <c r="L137" s="8"/>
      <c r="M137" s="8"/>
      <c r="R137" s="8"/>
      <c r="T137" s="26" t="str">
        <f t="shared" si="1"/>
        <v/>
      </c>
    </row>
    <row r="138">
      <c r="C138" s="8"/>
      <c r="G138" s="8"/>
      <c r="K138" s="18"/>
      <c r="L138" s="8"/>
      <c r="M138" s="8"/>
      <c r="R138" s="8"/>
      <c r="T138" s="26" t="str">
        <f t="shared" si="1"/>
        <v/>
      </c>
    </row>
    <row r="139">
      <c r="C139" s="8"/>
      <c r="G139" s="8"/>
      <c r="K139" s="18"/>
      <c r="L139" s="8"/>
      <c r="M139" s="8"/>
      <c r="R139" s="8"/>
      <c r="T139" s="26" t="str">
        <f t="shared" si="1"/>
        <v/>
      </c>
    </row>
    <row r="140">
      <c r="C140" s="8"/>
      <c r="G140" s="8"/>
      <c r="K140" s="18"/>
      <c r="L140" s="8"/>
      <c r="M140" s="8"/>
      <c r="R140" s="8"/>
      <c r="T140" s="26" t="str">
        <f t="shared" si="1"/>
        <v/>
      </c>
    </row>
    <row r="141">
      <c r="C141" s="8"/>
      <c r="G141" s="8"/>
      <c r="K141" s="18"/>
      <c r="L141" s="8"/>
      <c r="M141" s="8"/>
      <c r="R141" s="8"/>
      <c r="T141" s="26" t="str">
        <f t="shared" si="1"/>
        <v/>
      </c>
    </row>
    <row r="142">
      <c r="C142" s="8"/>
      <c r="G142" s="8"/>
      <c r="K142" s="18"/>
      <c r="L142" s="8"/>
      <c r="M142" s="8"/>
      <c r="R142" s="8"/>
      <c r="T142" s="26" t="str">
        <f t="shared" si="1"/>
        <v/>
      </c>
    </row>
    <row r="143">
      <c r="C143" s="8"/>
      <c r="G143" s="8"/>
      <c r="K143" s="18"/>
      <c r="L143" s="8"/>
      <c r="M143" s="8"/>
      <c r="R143" s="8"/>
      <c r="T143" s="26" t="str">
        <f t="shared" si="1"/>
        <v/>
      </c>
    </row>
    <row r="144">
      <c r="C144" s="8"/>
      <c r="G144" s="8"/>
      <c r="K144" s="18"/>
      <c r="L144" s="8"/>
      <c r="M144" s="8"/>
      <c r="R144" s="8"/>
      <c r="T144" s="26" t="str">
        <f t="shared" si="1"/>
        <v/>
      </c>
    </row>
    <row r="145">
      <c r="C145" s="8"/>
      <c r="G145" s="8"/>
      <c r="K145" s="18"/>
      <c r="L145" s="8"/>
      <c r="M145" s="8"/>
      <c r="R145" s="8"/>
      <c r="T145" s="26" t="str">
        <f t="shared" si="1"/>
        <v/>
      </c>
    </row>
    <row r="146">
      <c r="C146" s="8"/>
      <c r="G146" s="8"/>
      <c r="K146" s="18"/>
      <c r="L146" s="8"/>
      <c r="M146" s="8"/>
      <c r="R146" s="8"/>
      <c r="T146" s="26" t="str">
        <f t="shared" si="1"/>
        <v/>
      </c>
    </row>
    <row r="147">
      <c r="C147" s="8"/>
      <c r="G147" s="8"/>
      <c r="K147" s="18"/>
      <c r="L147" s="8"/>
      <c r="M147" s="8"/>
      <c r="R147" s="8"/>
      <c r="T147" s="26" t="str">
        <f t="shared" si="1"/>
        <v/>
      </c>
    </row>
    <row r="148">
      <c r="C148" s="8"/>
      <c r="G148" s="8"/>
      <c r="K148" s="18"/>
      <c r="L148" s="8"/>
      <c r="M148" s="8"/>
      <c r="R148" s="8"/>
      <c r="T148" s="26" t="str">
        <f t="shared" si="1"/>
        <v/>
      </c>
    </row>
    <row r="149">
      <c r="C149" s="8"/>
      <c r="G149" s="8"/>
      <c r="K149" s="18"/>
      <c r="L149" s="8"/>
      <c r="M149" s="8"/>
      <c r="R149" s="8"/>
      <c r="T149" s="26" t="str">
        <f t="shared" si="1"/>
        <v/>
      </c>
    </row>
    <row r="150">
      <c r="C150" s="8"/>
      <c r="G150" s="8"/>
      <c r="K150" s="18"/>
      <c r="L150" s="8"/>
      <c r="M150" s="8"/>
      <c r="R150" s="8"/>
      <c r="T150" s="26" t="str">
        <f t="shared" si="1"/>
        <v/>
      </c>
    </row>
    <row r="151">
      <c r="C151" s="8"/>
      <c r="G151" s="8"/>
      <c r="K151" s="18"/>
      <c r="L151" s="8"/>
      <c r="M151" s="8"/>
      <c r="R151" s="8"/>
      <c r="T151" s="26" t="str">
        <f t="shared" si="1"/>
        <v/>
      </c>
    </row>
    <row r="152">
      <c r="C152" s="8"/>
      <c r="G152" s="8"/>
      <c r="K152" s="18"/>
      <c r="L152" s="8"/>
      <c r="M152" s="8"/>
      <c r="R152" s="8"/>
      <c r="T152" s="26" t="str">
        <f t="shared" si="1"/>
        <v/>
      </c>
    </row>
    <row r="153">
      <c r="C153" s="8"/>
      <c r="G153" s="8"/>
      <c r="K153" s="18"/>
      <c r="L153" s="8"/>
      <c r="M153" s="8"/>
      <c r="R153" s="8"/>
      <c r="T153" s="26" t="str">
        <f t="shared" si="1"/>
        <v/>
      </c>
    </row>
    <row r="154">
      <c r="C154" s="8"/>
      <c r="G154" s="8"/>
      <c r="K154" s="18"/>
      <c r="L154" s="8"/>
      <c r="M154" s="8"/>
      <c r="R154" s="8"/>
      <c r="T154" s="26" t="str">
        <f t="shared" si="1"/>
        <v/>
      </c>
    </row>
    <row r="155">
      <c r="C155" s="8"/>
      <c r="G155" s="8"/>
      <c r="K155" s="18"/>
      <c r="L155" s="8"/>
      <c r="M155" s="8"/>
      <c r="R155" s="8"/>
      <c r="T155" s="26" t="str">
        <f t="shared" si="1"/>
        <v/>
      </c>
    </row>
    <row r="156">
      <c r="C156" s="8"/>
      <c r="G156" s="8"/>
      <c r="K156" s="18"/>
      <c r="L156" s="8"/>
      <c r="M156" s="8"/>
      <c r="R156" s="8"/>
      <c r="T156" s="26" t="str">
        <f t="shared" si="1"/>
        <v/>
      </c>
    </row>
    <row r="157">
      <c r="C157" s="8"/>
      <c r="G157" s="8"/>
      <c r="K157" s="18"/>
      <c r="L157" s="8"/>
      <c r="M157" s="8"/>
      <c r="R157" s="8"/>
      <c r="T157" s="26" t="str">
        <f t="shared" si="1"/>
        <v/>
      </c>
    </row>
    <row r="158">
      <c r="C158" s="8"/>
      <c r="G158" s="8"/>
      <c r="K158" s="18"/>
      <c r="L158" s="8"/>
      <c r="M158" s="8"/>
      <c r="R158" s="8"/>
      <c r="T158" s="26" t="str">
        <f t="shared" si="1"/>
        <v/>
      </c>
    </row>
    <row r="159">
      <c r="C159" s="8"/>
      <c r="G159" s="8"/>
      <c r="K159" s="18"/>
      <c r="L159" s="8"/>
      <c r="M159" s="8"/>
      <c r="R159" s="8"/>
      <c r="T159" s="26" t="str">
        <f t="shared" si="1"/>
        <v/>
      </c>
    </row>
    <row r="160">
      <c r="C160" s="8"/>
      <c r="G160" s="8"/>
      <c r="K160" s="18"/>
      <c r="L160" s="8"/>
      <c r="M160" s="8"/>
      <c r="R160" s="8"/>
      <c r="T160" s="26" t="str">
        <f t="shared" si="1"/>
        <v/>
      </c>
    </row>
    <row r="161">
      <c r="C161" s="8"/>
      <c r="G161" s="8"/>
      <c r="K161" s="18"/>
      <c r="L161" s="8"/>
      <c r="M161" s="8"/>
      <c r="R161" s="8"/>
      <c r="T161" s="26" t="str">
        <f t="shared" si="1"/>
        <v/>
      </c>
    </row>
    <row r="162">
      <c r="C162" s="8"/>
      <c r="G162" s="8"/>
      <c r="K162" s="18"/>
      <c r="L162" s="8"/>
      <c r="M162" s="8"/>
      <c r="R162" s="8"/>
      <c r="T162" s="26" t="str">
        <f t="shared" si="1"/>
        <v/>
      </c>
    </row>
    <row r="163">
      <c r="C163" s="8"/>
      <c r="G163" s="8"/>
      <c r="K163" s="18"/>
      <c r="L163" s="8"/>
      <c r="M163" s="8"/>
      <c r="R163" s="8"/>
      <c r="T163" s="26" t="str">
        <f t="shared" si="1"/>
        <v/>
      </c>
    </row>
    <row r="164">
      <c r="C164" s="8"/>
      <c r="G164" s="8"/>
      <c r="K164" s="18"/>
      <c r="L164" s="8"/>
      <c r="M164" s="8"/>
      <c r="R164" s="8"/>
      <c r="T164" s="26" t="str">
        <f t="shared" si="1"/>
        <v/>
      </c>
    </row>
    <row r="165">
      <c r="C165" s="8"/>
      <c r="G165" s="8"/>
      <c r="K165" s="18"/>
      <c r="L165" s="8"/>
      <c r="M165" s="8"/>
      <c r="R165" s="8"/>
      <c r="T165" s="26" t="str">
        <f t="shared" si="1"/>
        <v/>
      </c>
    </row>
    <row r="166">
      <c r="C166" s="8"/>
      <c r="G166" s="8"/>
      <c r="K166" s="18"/>
      <c r="L166" s="8"/>
      <c r="M166" s="8"/>
      <c r="R166" s="8"/>
      <c r="T166" s="26" t="str">
        <f t="shared" si="1"/>
        <v/>
      </c>
    </row>
    <row r="167">
      <c r="C167" s="8"/>
      <c r="G167" s="8"/>
      <c r="K167" s="18"/>
      <c r="L167" s="8"/>
      <c r="M167" s="8"/>
      <c r="R167" s="8"/>
      <c r="T167" s="26" t="str">
        <f t="shared" si="1"/>
        <v/>
      </c>
    </row>
    <row r="168">
      <c r="C168" s="8"/>
      <c r="G168" s="8"/>
      <c r="K168" s="18"/>
      <c r="L168" s="8"/>
      <c r="M168" s="8"/>
      <c r="R168" s="8"/>
      <c r="T168" s="26" t="str">
        <f t="shared" si="1"/>
        <v/>
      </c>
    </row>
    <row r="169">
      <c r="C169" s="8"/>
      <c r="G169" s="8"/>
      <c r="K169" s="18"/>
      <c r="L169" s="8"/>
      <c r="M169" s="8"/>
      <c r="R169" s="8"/>
      <c r="T169" s="26" t="str">
        <f t="shared" si="1"/>
        <v/>
      </c>
    </row>
    <row r="170">
      <c r="C170" s="8"/>
      <c r="G170" s="8"/>
      <c r="K170" s="18"/>
      <c r="L170" s="8"/>
      <c r="M170" s="8"/>
      <c r="R170" s="8"/>
      <c r="T170" s="26" t="str">
        <f t="shared" si="1"/>
        <v/>
      </c>
    </row>
    <row r="171">
      <c r="C171" s="8"/>
      <c r="G171" s="8"/>
      <c r="K171" s="18"/>
      <c r="L171" s="8"/>
      <c r="M171" s="8"/>
      <c r="R171" s="8"/>
      <c r="T171" s="26" t="str">
        <f t="shared" si="1"/>
        <v/>
      </c>
    </row>
    <row r="172">
      <c r="C172" s="8"/>
      <c r="G172" s="8"/>
      <c r="K172" s="18"/>
      <c r="L172" s="8"/>
      <c r="M172" s="8"/>
      <c r="R172" s="8"/>
      <c r="T172" s="26" t="str">
        <f t="shared" si="1"/>
        <v/>
      </c>
    </row>
    <row r="173">
      <c r="C173" s="8"/>
      <c r="G173" s="8"/>
      <c r="K173" s="18"/>
      <c r="L173" s="8"/>
      <c r="M173" s="8"/>
      <c r="R173" s="8"/>
      <c r="T173" s="26" t="str">
        <f t="shared" si="1"/>
        <v/>
      </c>
    </row>
    <row r="174">
      <c r="C174" s="8"/>
      <c r="G174" s="8"/>
      <c r="K174" s="18"/>
      <c r="L174" s="8"/>
      <c r="M174" s="8"/>
      <c r="R174" s="8"/>
      <c r="T174" s="26" t="str">
        <f t="shared" si="1"/>
        <v/>
      </c>
    </row>
    <row r="175">
      <c r="C175" s="8"/>
      <c r="G175" s="8"/>
      <c r="K175" s="18"/>
      <c r="L175" s="8"/>
      <c r="M175" s="8"/>
      <c r="R175" s="8"/>
      <c r="T175" s="26" t="str">
        <f t="shared" si="1"/>
        <v/>
      </c>
    </row>
    <row r="176">
      <c r="C176" s="8"/>
      <c r="G176" s="8"/>
      <c r="K176" s="18"/>
      <c r="L176" s="8"/>
      <c r="M176" s="8"/>
      <c r="R176" s="8"/>
      <c r="T176" s="26" t="str">
        <f t="shared" si="1"/>
        <v/>
      </c>
    </row>
    <row r="177">
      <c r="C177" s="8"/>
      <c r="G177" s="8"/>
      <c r="K177" s="18"/>
      <c r="L177" s="8"/>
      <c r="M177" s="8"/>
      <c r="R177" s="8"/>
      <c r="T177" s="26" t="str">
        <f t="shared" si="1"/>
        <v/>
      </c>
    </row>
    <row r="178">
      <c r="C178" s="8"/>
      <c r="G178" s="8"/>
      <c r="K178" s="18"/>
      <c r="L178" s="8"/>
      <c r="M178" s="8"/>
      <c r="R178" s="8"/>
      <c r="T178" s="26" t="str">
        <f t="shared" si="1"/>
        <v/>
      </c>
    </row>
    <row r="179">
      <c r="C179" s="8"/>
      <c r="G179" s="8"/>
      <c r="K179" s="18"/>
      <c r="L179" s="8"/>
      <c r="M179" s="8"/>
      <c r="R179" s="8"/>
      <c r="T179" s="26" t="str">
        <f t="shared" si="1"/>
        <v/>
      </c>
    </row>
    <row r="180">
      <c r="C180" s="8"/>
      <c r="G180" s="8"/>
      <c r="K180" s="18"/>
      <c r="L180" s="8"/>
      <c r="M180" s="8"/>
      <c r="R180" s="8"/>
      <c r="T180" s="26" t="str">
        <f t="shared" si="1"/>
        <v/>
      </c>
    </row>
    <row r="181">
      <c r="C181" s="8"/>
      <c r="G181" s="8"/>
      <c r="K181" s="18"/>
      <c r="L181" s="8"/>
      <c r="M181" s="8"/>
      <c r="R181" s="8"/>
      <c r="T181" s="26" t="str">
        <f t="shared" si="1"/>
        <v/>
      </c>
    </row>
    <row r="182">
      <c r="C182" s="8"/>
      <c r="G182" s="8"/>
      <c r="K182" s="18"/>
      <c r="L182" s="8"/>
      <c r="M182" s="8"/>
      <c r="R182" s="8"/>
      <c r="T182" s="26" t="str">
        <f t="shared" si="1"/>
        <v/>
      </c>
    </row>
    <row r="183">
      <c r="C183" s="8"/>
      <c r="G183" s="8"/>
      <c r="K183" s="18"/>
      <c r="L183" s="8"/>
      <c r="M183" s="8"/>
      <c r="R183" s="8"/>
      <c r="T183" s="26" t="str">
        <f t="shared" si="1"/>
        <v/>
      </c>
    </row>
    <row r="184">
      <c r="C184" s="8"/>
      <c r="G184" s="8"/>
      <c r="K184" s="18"/>
      <c r="L184" s="8"/>
      <c r="M184" s="8"/>
      <c r="R184" s="8"/>
      <c r="T184" s="26" t="str">
        <f t="shared" si="1"/>
        <v/>
      </c>
    </row>
    <row r="185">
      <c r="C185" s="8"/>
      <c r="G185" s="8"/>
      <c r="K185" s="18"/>
      <c r="L185" s="8"/>
      <c r="M185" s="8"/>
      <c r="R185" s="8"/>
      <c r="T185" s="26" t="str">
        <f t="shared" si="1"/>
        <v/>
      </c>
    </row>
    <row r="186">
      <c r="C186" s="8"/>
      <c r="G186" s="8"/>
      <c r="K186" s="18"/>
      <c r="L186" s="8"/>
      <c r="M186" s="8"/>
      <c r="R186" s="8"/>
      <c r="T186" s="26" t="str">
        <f t="shared" si="1"/>
        <v/>
      </c>
    </row>
    <row r="187">
      <c r="C187" s="8"/>
      <c r="G187" s="8"/>
      <c r="K187" s="18"/>
      <c r="L187" s="8"/>
      <c r="M187" s="8"/>
      <c r="R187" s="8"/>
      <c r="T187" s="26" t="str">
        <f t="shared" si="1"/>
        <v/>
      </c>
    </row>
    <row r="188">
      <c r="C188" s="8"/>
      <c r="G188" s="8"/>
      <c r="K188" s="18"/>
      <c r="L188" s="8"/>
      <c r="M188" s="8"/>
      <c r="R188" s="8"/>
      <c r="T188" s="26" t="str">
        <f t="shared" si="1"/>
        <v/>
      </c>
    </row>
    <row r="189">
      <c r="C189" s="8"/>
      <c r="G189" s="8"/>
      <c r="K189" s="18"/>
      <c r="L189" s="8"/>
      <c r="M189" s="8"/>
      <c r="R189" s="8"/>
      <c r="T189" s="26" t="str">
        <f t="shared" si="1"/>
        <v/>
      </c>
    </row>
    <row r="190">
      <c r="C190" s="8"/>
      <c r="G190" s="8"/>
      <c r="K190" s="18"/>
      <c r="L190" s="8"/>
      <c r="M190" s="8"/>
      <c r="R190" s="8"/>
      <c r="T190" s="26" t="str">
        <f t="shared" si="1"/>
        <v/>
      </c>
    </row>
    <row r="191">
      <c r="C191" s="8"/>
      <c r="G191" s="8"/>
      <c r="K191" s="18"/>
      <c r="L191" s="8"/>
      <c r="M191" s="8"/>
      <c r="R191" s="8"/>
      <c r="T191" s="26" t="str">
        <f t="shared" si="1"/>
        <v/>
      </c>
    </row>
    <row r="192">
      <c r="C192" s="8"/>
      <c r="G192" s="8"/>
      <c r="K192" s="18"/>
      <c r="L192" s="8"/>
      <c r="M192" s="8"/>
      <c r="R192" s="8"/>
      <c r="T192" s="26" t="str">
        <f t="shared" si="1"/>
        <v/>
      </c>
    </row>
    <row r="193">
      <c r="C193" s="8"/>
      <c r="G193" s="8"/>
      <c r="K193" s="18"/>
      <c r="L193" s="8"/>
      <c r="M193" s="8"/>
      <c r="R193" s="8"/>
      <c r="T193" s="26" t="str">
        <f t="shared" si="1"/>
        <v/>
      </c>
    </row>
    <row r="194">
      <c r="C194" s="8"/>
      <c r="G194" s="8"/>
      <c r="K194" s="18"/>
      <c r="L194" s="8"/>
      <c r="M194" s="8"/>
      <c r="R194" s="8"/>
      <c r="T194" s="26" t="str">
        <f t="shared" si="1"/>
        <v/>
      </c>
    </row>
    <row r="195">
      <c r="C195" s="8"/>
      <c r="G195" s="8"/>
      <c r="K195" s="18"/>
      <c r="L195" s="8"/>
      <c r="M195" s="8"/>
      <c r="R195" s="8"/>
      <c r="T195" s="26" t="str">
        <f t="shared" si="1"/>
        <v/>
      </c>
    </row>
    <row r="196">
      <c r="C196" s="8"/>
      <c r="G196" s="8"/>
      <c r="K196" s="18"/>
      <c r="L196" s="8"/>
      <c r="M196" s="8"/>
      <c r="R196" s="8"/>
      <c r="T196" s="26" t="str">
        <f t="shared" si="1"/>
        <v/>
      </c>
    </row>
    <row r="197">
      <c r="C197" s="8"/>
      <c r="G197" s="8"/>
      <c r="K197" s="18"/>
      <c r="L197" s="8"/>
      <c r="M197" s="8"/>
      <c r="R197" s="8"/>
      <c r="T197" s="26" t="str">
        <f t="shared" si="1"/>
        <v/>
      </c>
    </row>
    <row r="198">
      <c r="C198" s="8"/>
      <c r="G198" s="8"/>
      <c r="K198" s="18"/>
      <c r="L198" s="8"/>
      <c r="M198" s="8"/>
      <c r="R198" s="8"/>
      <c r="T198" s="26" t="str">
        <f t="shared" si="1"/>
        <v/>
      </c>
    </row>
    <row r="199">
      <c r="C199" s="8"/>
      <c r="G199" s="8"/>
      <c r="K199" s="18"/>
      <c r="L199" s="8"/>
      <c r="M199" s="8"/>
      <c r="R199" s="8"/>
      <c r="T199" s="26" t="str">
        <f t="shared" si="1"/>
        <v/>
      </c>
    </row>
    <row r="200">
      <c r="C200" s="8"/>
      <c r="G200" s="8"/>
      <c r="K200" s="18"/>
      <c r="L200" s="8"/>
      <c r="M200" s="8"/>
      <c r="R200" s="8"/>
      <c r="T200" s="26" t="str">
        <f t="shared" si="1"/>
        <v/>
      </c>
    </row>
    <row r="201">
      <c r="C201" s="8"/>
      <c r="G201" s="8"/>
      <c r="K201" s="18"/>
      <c r="L201" s="8"/>
      <c r="M201" s="8"/>
      <c r="R201" s="8"/>
      <c r="T201" s="26" t="str">
        <f t="shared" si="1"/>
        <v/>
      </c>
    </row>
    <row r="202">
      <c r="C202" s="8"/>
      <c r="G202" s="8"/>
      <c r="K202" s="18"/>
      <c r="L202" s="8"/>
      <c r="M202" s="8"/>
      <c r="R202" s="8"/>
      <c r="T202" s="26" t="str">
        <f t="shared" si="1"/>
        <v/>
      </c>
    </row>
    <row r="203">
      <c r="C203" s="8"/>
      <c r="G203" s="8"/>
      <c r="K203" s="18"/>
      <c r="L203" s="8"/>
      <c r="M203" s="8"/>
      <c r="R203" s="8"/>
      <c r="T203" s="26" t="str">
        <f t="shared" si="1"/>
        <v/>
      </c>
    </row>
    <row r="204">
      <c r="C204" s="8"/>
      <c r="G204" s="8"/>
      <c r="K204" s="18"/>
      <c r="L204" s="8"/>
      <c r="M204" s="8"/>
      <c r="R204" s="8"/>
      <c r="T204" s="26" t="str">
        <f t="shared" si="1"/>
        <v/>
      </c>
    </row>
    <row r="205">
      <c r="C205" s="8"/>
      <c r="G205" s="8"/>
      <c r="K205" s="18"/>
      <c r="L205" s="8"/>
      <c r="M205" s="8"/>
      <c r="R205" s="8"/>
      <c r="T205" s="26" t="str">
        <f t="shared" si="1"/>
        <v/>
      </c>
    </row>
    <row r="206">
      <c r="C206" s="8"/>
      <c r="G206" s="8"/>
      <c r="K206" s="18"/>
      <c r="L206" s="8"/>
      <c r="M206" s="8"/>
      <c r="R206" s="8"/>
      <c r="T206" s="26" t="str">
        <f t="shared" si="1"/>
        <v/>
      </c>
    </row>
    <row r="207">
      <c r="C207" s="8"/>
      <c r="G207" s="8"/>
      <c r="K207" s="18"/>
      <c r="L207" s="8"/>
      <c r="M207" s="8"/>
      <c r="R207" s="8"/>
      <c r="T207" s="26" t="str">
        <f t="shared" si="1"/>
        <v/>
      </c>
    </row>
    <row r="208">
      <c r="C208" s="8"/>
      <c r="G208" s="8"/>
      <c r="K208" s="18"/>
      <c r="L208" s="8"/>
      <c r="M208" s="8"/>
      <c r="R208" s="8"/>
      <c r="T208" s="26" t="str">
        <f t="shared" si="1"/>
        <v/>
      </c>
    </row>
    <row r="209">
      <c r="C209" s="8"/>
      <c r="G209" s="8"/>
      <c r="K209" s="18"/>
      <c r="L209" s="8"/>
      <c r="M209" s="8"/>
      <c r="R209" s="8"/>
      <c r="T209" s="26" t="str">
        <f t="shared" si="1"/>
        <v/>
      </c>
    </row>
    <row r="210">
      <c r="C210" s="8"/>
      <c r="G210" s="8"/>
      <c r="K210" s="18"/>
      <c r="L210" s="8"/>
      <c r="M210" s="8"/>
      <c r="R210" s="8"/>
      <c r="T210" s="26" t="str">
        <f t="shared" si="1"/>
        <v/>
      </c>
    </row>
    <row r="211">
      <c r="C211" s="8"/>
      <c r="G211" s="8"/>
      <c r="K211" s="18"/>
      <c r="L211" s="8"/>
      <c r="M211" s="8"/>
      <c r="R211" s="8"/>
      <c r="T211" s="26" t="str">
        <f t="shared" si="1"/>
        <v/>
      </c>
    </row>
    <row r="212">
      <c r="C212" s="8"/>
      <c r="G212" s="8"/>
      <c r="K212" s="18"/>
      <c r="L212" s="8"/>
      <c r="M212" s="8"/>
      <c r="R212" s="8"/>
      <c r="T212" s="26" t="str">
        <f t="shared" si="1"/>
        <v/>
      </c>
    </row>
    <row r="213">
      <c r="C213" s="8"/>
      <c r="G213" s="8"/>
      <c r="K213" s="18"/>
      <c r="L213" s="8"/>
      <c r="M213" s="8"/>
      <c r="R213" s="8"/>
      <c r="T213" s="26" t="str">
        <f t="shared" si="1"/>
        <v/>
      </c>
    </row>
    <row r="214">
      <c r="C214" s="8"/>
      <c r="G214" s="8"/>
      <c r="K214" s="18"/>
      <c r="L214" s="8"/>
      <c r="M214" s="8"/>
      <c r="R214" s="8"/>
      <c r="T214" s="26" t="str">
        <f t="shared" si="1"/>
        <v/>
      </c>
    </row>
    <row r="215">
      <c r="C215" s="8"/>
      <c r="G215" s="8"/>
      <c r="K215" s="18"/>
      <c r="L215" s="8"/>
      <c r="M215" s="8"/>
      <c r="R215" s="8"/>
      <c r="T215" s="26" t="str">
        <f t="shared" si="1"/>
        <v/>
      </c>
    </row>
    <row r="216">
      <c r="C216" s="8"/>
      <c r="G216" s="8"/>
      <c r="K216" s="18"/>
      <c r="L216" s="8"/>
      <c r="M216" s="8"/>
      <c r="R216" s="8"/>
      <c r="T216" s="26" t="str">
        <f t="shared" si="1"/>
        <v/>
      </c>
    </row>
    <row r="217">
      <c r="C217" s="8"/>
      <c r="G217" s="8"/>
      <c r="K217" s="18"/>
      <c r="L217" s="8"/>
      <c r="M217" s="8"/>
      <c r="R217" s="8"/>
      <c r="T217" s="26" t="str">
        <f t="shared" si="1"/>
        <v/>
      </c>
    </row>
    <row r="218">
      <c r="C218" s="8"/>
      <c r="G218" s="8"/>
      <c r="K218" s="18"/>
      <c r="L218" s="8"/>
      <c r="M218" s="8"/>
      <c r="R218" s="8"/>
      <c r="T218" s="26" t="str">
        <f t="shared" si="1"/>
        <v/>
      </c>
    </row>
    <row r="219">
      <c r="C219" s="8"/>
      <c r="G219" s="8"/>
      <c r="K219" s="18"/>
      <c r="L219" s="8"/>
      <c r="M219" s="8"/>
      <c r="R219" s="8"/>
      <c r="T219" s="26" t="str">
        <f t="shared" si="1"/>
        <v/>
      </c>
    </row>
    <row r="220">
      <c r="C220" s="8"/>
      <c r="G220" s="8"/>
      <c r="K220" s="18"/>
      <c r="L220" s="8"/>
      <c r="M220" s="8"/>
      <c r="R220" s="8"/>
      <c r="T220" s="26" t="str">
        <f t="shared" si="1"/>
        <v/>
      </c>
    </row>
    <row r="221">
      <c r="C221" s="8"/>
      <c r="G221" s="8"/>
      <c r="K221" s="18"/>
      <c r="L221" s="8"/>
      <c r="M221" s="8"/>
      <c r="R221" s="8"/>
      <c r="T221" s="26" t="str">
        <f t="shared" si="1"/>
        <v/>
      </c>
    </row>
    <row r="222">
      <c r="C222" s="8"/>
      <c r="G222" s="8"/>
      <c r="K222" s="18"/>
      <c r="L222" s="8"/>
      <c r="M222" s="8"/>
      <c r="R222" s="8"/>
      <c r="T222" s="26" t="str">
        <f t="shared" si="1"/>
        <v/>
      </c>
    </row>
    <row r="223">
      <c r="C223" s="8"/>
      <c r="G223" s="8"/>
      <c r="K223" s="18"/>
      <c r="L223" s="8"/>
      <c r="M223" s="8"/>
      <c r="R223" s="8"/>
      <c r="T223" s="26" t="str">
        <f t="shared" si="1"/>
        <v/>
      </c>
    </row>
    <row r="224">
      <c r="C224" s="8"/>
      <c r="G224" s="8"/>
      <c r="K224" s="18"/>
      <c r="L224" s="8"/>
      <c r="M224" s="8"/>
      <c r="R224" s="8"/>
      <c r="T224" s="26" t="str">
        <f t="shared" si="1"/>
        <v/>
      </c>
    </row>
    <row r="225">
      <c r="C225" s="8"/>
      <c r="G225" s="8"/>
      <c r="K225" s="18"/>
      <c r="L225" s="8"/>
      <c r="M225" s="8"/>
      <c r="R225" s="8"/>
      <c r="T225" s="26" t="str">
        <f t="shared" si="1"/>
        <v/>
      </c>
    </row>
    <row r="226">
      <c r="C226" s="8"/>
      <c r="G226" s="8"/>
      <c r="K226" s="18"/>
      <c r="L226" s="8"/>
      <c r="M226" s="8"/>
      <c r="R226" s="8"/>
      <c r="T226" s="26" t="str">
        <f t="shared" si="1"/>
        <v/>
      </c>
    </row>
    <row r="227">
      <c r="C227" s="8"/>
      <c r="G227" s="8"/>
      <c r="K227" s="18"/>
      <c r="L227" s="8"/>
      <c r="M227" s="8"/>
      <c r="R227" s="8"/>
      <c r="T227" s="26" t="str">
        <f t="shared" si="1"/>
        <v/>
      </c>
    </row>
    <row r="228">
      <c r="C228" s="8"/>
      <c r="G228" s="8"/>
      <c r="K228" s="18"/>
      <c r="L228" s="8"/>
      <c r="M228" s="8"/>
      <c r="R228" s="8"/>
      <c r="T228" s="26" t="str">
        <f t="shared" si="1"/>
        <v/>
      </c>
    </row>
    <row r="229">
      <c r="C229" s="8"/>
      <c r="G229" s="8"/>
      <c r="K229" s="18"/>
      <c r="L229" s="8"/>
      <c r="M229" s="8"/>
      <c r="R229" s="8"/>
      <c r="T229" s="26" t="str">
        <f t="shared" si="1"/>
        <v/>
      </c>
    </row>
    <row r="230">
      <c r="C230" s="8"/>
      <c r="G230" s="8"/>
      <c r="K230" s="18"/>
      <c r="L230" s="8"/>
      <c r="M230" s="8"/>
      <c r="R230" s="8"/>
      <c r="T230" s="26" t="str">
        <f t="shared" si="1"/>
        <v/>
      </c>
    </row>
    <row r="231">
      <c r="C231" s="8"/>
      <c r="G231" s="8"/>
      <c r="K231" s="18"/>
      <c r="L231" s="8"/>
      <c r="M231" s="8"/>
      <c r="R231" s="8"/>
      <c r="T231" s="26" t="str">
        <f t="shared" si="1"/>
        <v/>
      </c>
    </row>
    <row r="232">
      <c r="C232" s="8"/>
      <c r="G232" s="8"/>
      <c r="K232" s="18"/>
      <c r="L232" s="8"/>
      <c r="M232" s="8"/>
      <c r="R232" s="8"/>
      <c r="T232" s="26" t="str">
        <f t="shared" si="1"/>
        <v/>
      </c>
    </row>
    <row r="233">
      <c r="C233" s="8"/>
      <c r="G233" s="8"/>
      <c r="K233" s="18"/>
      <c r="L233" s="8"/>
      <c r="M233" s="8"/>
      <c r="R233" s="8"/>
      <c r="T233" s="26" t="str">
        <f t="shared" si="1"/>
        <v/>
      </c>
    </row>
    <row r="234">
      <c r="C234" s="8"/>
      <c r="G234" s="8"/>
      <c r="K234" s="18"/>
      <c r="L234" s="8"/>
      <c r="M234" s="8"/>
      <c r="R234" s="8"/>
      <c r="T234" s="26" t="str">
        <f t="shared" si="1"/>
        <v/>
      </c>
    </row>
    <row r="235">
      <c r="C235" s="8"/>
      <c r="G235" s="8"/>
      <c r="K235" s="18"/>
      <c r="L235" s="8"/>
      <c r="M235" s="8"/>
      <c r="R235" s="8"/>
      <c r="T235" s="26" t="str">
        <f t="shared" si="1"/>
        <v/>
      </c>
    </row>
    <row r="236">
      <c r="C236" s="8"/>
      <c r="G236" s="8"/>
      <c r="K236" s="18"/>
      <c r="L236" s="8"/>
      <c r="M236" s="8"/>
      <c r="R236" s="8"/>
      <c r="T236" s="26" t="str">
        <f t="shared" si="1"/>
        <v/>
      </c>
    </row>
    <row r="237">
      <c r="C237" s="8"/>
      <c r="G237" s="8"/>
      <c r="K237" s="18"/>
      <c r="L237" s="8"/>
      <c r="M237" s="8"/>
      <c r="R237" s="8"/>
      <c r="T237" s="26" t="str">
        <f t="shared" si="1"/>
        <v/>
      </c>
    </row>
    <row r="238">
      <c r="C238" s="8"/>
      <c r="G238" s="8"/>
      <c r="K238" s="18"/>
      <c r="L238" s="8"/>
      <c r="M238" s="8"/>
      <c r="R238" s="8"/>
      <c r="T238" s="26" t="str">
        <f t="shared" si="1"/>
        <v/>
      </c>
    </row>
    <row r="239">
      <c r="C239" s="8"/>
      <c r="G239" s="8"/>
      <c r="K239" s="18"/>
      <c r="L239" s="8"/>
      <c r="M239" s="8"/>
      <c r="R239" s="8"/>
      <c r="T239" s="26" t="str">
        <f t="shared" si="1"/>
        <v/>
      </c>
    </row>
    <row r="240">
      <c r="C240" s="8"/>
      <c r="G240" s="8"/>
      <c r="K240" s="18"/>
      <c r="L240" s="8"/>
      <c r="M240" s="8"/>
      <c r="R240" s="8"/>
      <c r="T240" s="26" t="str">
        <f t="shared" si="1"/>
        <v/>
      </c>
    </row>
    <row r="241">
      <c r="C241" s="8"/>
      <c r="G241" s="8"/>
      <c r="K241" s="18"/>
      <c r="L241" s="8"/>
      <c r="M241" s="8"/>
      <c r="R241" s="8"/>
      <c r="T241" s="26" t="str">
        <f t="shared" si="1"/>
        <v/>
      </c>
    </row>
    <row r="242">
      <c r="C242" s="8"/>
      <c r="G242" s="8"/>
      <c r="K242" s="18"/>
      <c r="L242" s="8"/>
      <c r="M242" s="8"/>
      <c r="R242" s="8"/>
      <c r="T242" s="26" t="str">
        <f t="shared" si="1"/>
        <v/>
      </c>
    </row>
    <row r="243">
      <c r="C243" s="8"/>
      <c r="G243" s="8"/>
      <c r="K243" s="18"/>
      <c r="L243" s="8"/>
      <c r="M243" s="8"/>
      <c r="R243" s="8"/>
      <c r="T243" s="26" t="str">
        <f t="shared" si="1"/>
        <v/>
      </c>
    </row>
    <row r="244">
      <c r="C244" s="8"/>
      <c r="G244" s="8"/>
      <c r="K244" s="18"/>
      <c r="L244" s="8"/>
      <c r="M244" s="8"/>
      <c r="R244" s="8"/>
      <c r="T244" s="26" t="str">
        <f t="shared" si="1"/>
        <v/>
      </c>
    </row>
    <row r="245">
      <c r="C245" s="8"/>
      <c r="G245" s="8"/>
      <c r="K245" s="18"/>
      <c r="L245" s="8"/>
      <c r="M245" s="8"/>
      <c r="R245" s="8"/>
      <c r="T245" s="26" t="str">
        <f t="shared" si="1"/>
        <v/>
      </c>
    </row>
    <row r="246">
      <c r="C246" s="8"/>
      <c r="G246" s="8"/>
      <c r="K246" s="18"/>
      <c r="L246" s="8"/>
      <c r="M246" s="8"/>
      <c r="R246" s="8"/>
      <c r="T246" s="26" t="str">
        <f t="shared" si="1"/>
        <v/>
      </c>
    </row>
    <row r="247">
      <c r="C247" s="8"/>
      <c r="G247" s="8"/>
      <c r="K247" s="18"/>
      <c r="L247" s="8"/>
      <c r="M247" s="8"/>
      <c r="R247" s="8"/>
      <c r="T247" s="26" t="str">
        <f t="shared" si="1"/>
        <v/>
      </c>
    </row>
    <row r="248">
      <c r="C248" s="8"/>
      <c r="G248" s="8"/>
      <c r="K248" s="18"/>
      <c r="L248" s="8"/>
      <c r="M248" s="8"/>
      <c r="R248" s="8"/>
      <c r="T248" s="26" t="str">
        <f t="shared" si="1"/>
        <v/>
      </c>
    </row>
    <row r="249">
      <c r="C249" s="8"/>
      <c r="G249" s="8"/>
      <c r="K249" s="18"/>
      <c r="L249" s="8"/>
      <c r="M249" s="8"/>
      <c r="R249" s="8"/>
      <c r="T249" s="26" t="str">
        <f t="shared" si="1"/>
        <v/>
      </c>
    </row>
    <row r="250">
      <c r="C250" s="8"/>
      <c r="G250" s="8"/>
      <c r="K250" s="18"/>
      <c r="L250" s="8"/>
      <c r="M250" s="8"/>
      <c r="R250" s="8"/>
      <c r="T250" s="26" t="str">
        <f t="shared" si="1"/>
        <v/>
      </c>
    </row>
    <row r="251">
      <c r="C251" s="8"/>
      <c r="G251" s="8"/>
      <c r="K251" s="18"/>
      <c r="L251" s="8"/>
      <c r="M251" s="8"/>
      <c r="R251" s="8"/>
      <c r="T251" s="26" t="str">
        <f t="shared" si="1"/>
        <v/>
      </c>
    </row>
    <row r="252">
      <c r="C252" s="8"/>
      <c r="G252" s="8"/>
      <c r="K252" s="18"/>
      <c r="L252" s="8"/>
      <c r="M252" s="8"/>
      <c r="R252" s="8"/>
      <c r="T252" s="26" t="str">
        <f t="shared" si="1"/>
        <v/>
      </c>
    </row>
    <row r="253">
      <c r="C253" s="8"/>
      <c r="G253" s="8"/>
      <c r="K253" s="18"/>
      <c r="L253" s="8"/>
      <c r="M253" s="8"/>
      <c r="R253" s="8"/>
      <c r="T253" s="26" t="str">
        <f t="shared" si="1"/>
        <v/>
      </c>
    </row>
    <row r="254">
      <c r="C254" s="8"/>
      <c r="G254" s="8"/>
      <c r="K254" s="18"/>
      <c r="L254" s="8"/>
      <c r="M254" s="8"/>
      <c r="R254" s="8"/>
      <c r="T254" s="26" t="str">
        <f t="shared" si="1"/>
        <v/>
      </c>
    </row>
    <row r="255">
      <c r="C255" s="8"/>
      <c r="G255" s="8"/>
      <c r="K255" s="18"/>
      <c r="L255" s="8"/>
      <c r="M255" s="8"/>
      <c r="R255" s="8"/>
      <c r="T255" s="26" t="str">
        <f t="shared" si="1"/>
        <v/>
      </c>
    </row>
    <row r="256">
      <c r="C256" s="8"/>
      <c r="G256" s="8"/>
      <c r="K256" s="18"/>
      <c r="L256" s="8"/>
      <c r="M256" s="8"/>
      <c r="R256" s="8"/>
      <c r="T256" s="26" t="str">
        <f t="shared" si="1"/>
        <v/>
      </c>
    </row>
    <row r="257">
      <c r="C257" s="8"/>
      <c r="G257" s="8"/>
      <c r="K257" s="18"/>
      <c r="L257" s="8"/>
      <c r="M257" s="8"/>
      <c r="R257" s="8"/>
      <c r="T257" s="26" t="str">
        <f t="shared" si="1"/>
        <v/>
      </c>
    </row>
    <row r="258">
      <c r="C258" s="8"/>
      <c r="G258" s="8"/>
      <c r="K258" s="18"/>
      <c r="L258" s="8"/>
      <c r="M258" s="8"/>
      <c r="R258" s="8"/>
      <c r="T258" s="26" t="str">
        <f t="shared" si="1"/>
        <v/>
      </c>
    </row>
    <row r="259">
      <c r="C259" s="8"/>
      <c r="G259" s="8"/>
      <c r="K259" s="18"/>
      <c r="L259" s="8"/>
      <c r="M259" s="8"/>
      <c r="R259" s="8"/>
      <c r="T259" s="26" t="str">
        <f t="shared" si="1"/>
        <v/>
      </c>
    </row>
    <row r="260">
      <c r="C260" s="8"/>
      <c r="G260" s="8"/>
      <c r="K260" s="18"/>
      <c r="L260" s="8"/>
      <c r="M260" s="8"/>
      <c r="R260" s="8"/>
      <c r="T260" s="26" t="str">
        <f t="shared" si="1"/>
        <v/>
      </c>
    </row>
    <row r="261">
      <c r="C261" s="8"/>
      <c r="G261" s="8"/>
      <c r="K261" s="18"/>
      <c r="L261" s="8"/>
      <c r="M261" s="8"/>
      <c r="R261" s="8"/>
      <c r="T261" s="26" t="str">
        <f t="shared" si="1"/>
        <v/>
      </c>
    </row>
    <row r="262">
      <c r="C262" s="8"/>
      <c r="G262" s="8"/>
      <c r="K262" s="18"/>
      <c r="L262" s="8"/>
      <c r="M262" s="8"/>
      <c r="R262" s="8"/>
      <c r="T262" s="26" t="str">
        <f t="shared" si="1"/>
        <v/>
      </c>
    </row>
    <row r="263">
      <c r="C263" s="8"/>
      <c r="G263" s="8"/>
      <c r="K263" s="18"/>
      <c r="L263" s="8"/>
      <c r="M263" s="8"/>
      <c r="R263" s="8"/>
      <c r="T263" s="26" t="str">
        <f t="shared" si="1"/>
        <v/>
      </c>
    </row>
    <row r="264">
      <c r="C264" s="8"/>
      <c r="G264" s="8"/>
      <c r="K264" s="18"/>
      <c r="L264" s="8"/>
      <c r="M264" s="8"/>
      <c r="R264" s="8"/>
      <c r="T264" s="26" t="str">
        <f t="shared" si="1"/>
        <v/>
      </c>
    </row>
    <row r="265">
      <c r="C265" s="8"/>
      <c r="G265" s="8"/>
      <c r="K265" s="18"/>
      <c r="L265" s="8"/>
      <c r="M265" s="8"/>
      <c r="R265" s="8"/>
      <c r="T265" s="26" t="str">
        <f t="shared" si="1"/>
        <v/>
      </c>
    </row>
    <row r="266">
      <c r="C266" s="8"/>
      <c r="G266" s="8"/>
      <c r="K266" s="18"/>
      <c r="L266" s="8"/>
      <c r="M266" s="8"/>
      <c r="R266" s="8"/>
      <c r="T266" s="26" t="str">
        <f t="shared" si="1"/>
        <v/>
      </c>
    </row>
    <row r="267">
      <c r="C267" s="8"/>
      <c r="G267" s="8"/>
      <c r="K267" s="18"/>
      <c r="L267" s="8"/>
      <c r="M267" s="8"/>
      <c r="R267" s="8"/>
      <c r="T267" s="26" t="str">
        <f t="shared" si="1"/>
        <v/>
      </c>
    </row>
    <row r="268">
      <c r="C268" s="8"/>
      <c r="G268" s="8"/>
      <c r="K268" s="18"/>
      <c r="L268" s="8"/>
      <c r="M268" s="8"/>
      <c r="R268" s="8"/>
      <c r="T268" s="26" t="str">
        <f t="shared" si="1"/>
        <v/>
      </c>
    </row>
    <row r="269">
      <c r="C269" s="8"/>
      <c r="G269" s="8"/>
      <c r="K269" s="18"/>
      <c r="L269" s="8"/>
      <c r="M269" s="8"/>
      <c r="R269" s="8"/>
      <c r="T269" s="26" t="str">
        <f t="shared" si="1"/>
        <v/>
      </c>
    </row>
    <row r="270">
      <c r="C270" s="8"/>
      <c r="G270" s="8"/>
      <c r="K270" s="18"/>
      <c r="L270" s="8"/>
      <c r="M270" s="8"/>
      <c r="R270" s="8"/>
      <c r="T270" s="26" t="str">
        <f t="shared" si="1"/>
        <v/>
      </c>
    </row>
    <row r="271">
      <c r="C271" s="8"/>
      <c r="G271" s="8"/>
      <c r="K271" s="18"/>
      <c r="L271" s="8"/>
      <c r="M271" s="8"/>
      <c r="R271" s="8"/>
      <c r="T271" s="26" t="str">
        <f t="shared" si="1"/>
        <v/>
      </c>
    </row>
    <row r="272">
      <c r="C272" s="8"/>
      <c r="G272" s="8"/>
      <c r="K272" s="18"/>
      <c r="L272" s="8"/>
      <c r="M272" s="8"/>
      <c r="R272" s="8"/>
      <c r="T272" s="26" t="str">
        <f t="shared" si="1"/>
        <v/>
      </c>
    </row>
    <row r="273">
      <c r="C273" s="8"/>
      <c r="G273" s="8"/>
      <c r="K273" s="18"/>
      <c r="L273" s="8"/>
      <c r="M273" s="8"/>
      <c r="R273" s="8"/>
      <c r="T273" s="26" t="str">
        <f t="shared" si="1"/>
        <v/>
      </c>
    </row>
    <row r="274">
      <c r="C274" s="8"/>
      <c r="G274" s="8"/>
      <c r="K274" s="18"/>
      <c r="L274" s="8"/>
      <c r="M274" s="8"/>
      <c r="R274" s="8"/>
      <c r="T274" s="26" t="str">
        <f t="shared" si="1"/>
        <v/>
      </c>
    </row>
    <row r="275">
      <c r="C275" s="8"/>
      <c r="G275" s="8"/>
      <c r="K275" s="18"/>
      <c r="L275" s="8"/>
      <c r="M275" s="8"/>
      <c r="R275" s="8"/>
      <c r="T275" s="26" t="str">
        <f t="shared" si="1"/>
        <v/>
      </c>
    </row>
    <row r="276">
      <c r="C276" s="8"/>
      <c r="G276" s="8"/>
      <c r="K276" s="18"/>
      <c r="L276" s="8"/>
      <c r="M276" s="8"/>
      <c r="R276" s="8"/>
      <c r="T276" s="26" t="str">
        <f t="shared" si="1"/>
        <v/>
      </c>
    </row>
    <row r="277">
      <c r="C277" s="8"/>
      <c r="G277" s="8"/>
      <c r="K277" s="18"/>
      <c r="L277" s="8"/>
      <c r="M277" s="8"/>
      <c r="R277" s="8"/>
      <c r="T277" s="26" t="str">
        <f t="shared" si="1"/>
        <v/>
      </c>
    </row>
    <row r="278">
      <c r="C278" s="8"/>
      <c r="G278" s="8"/>
      <c r="K278" s="18"/>
      <c r="L278" s="8"/>
      <c r="M278" s="8"/>
      <c r="R278" s="8"/>
      <c r="T278" s="26" t="str">
        <f t="shared" si="1"/>
        <v/>
      </c>
    </row>
    <row r="279">
      <c r="C279" s="8"/>
      <c r="G279" s="8"/>
      <c r="K279" s="18"/>
      <c r="L279" s="8"/>
      <c r="M279" s="8"/>
      <c r="R279" s="8"/>
      <c r="T279" s="26" t="str">
        <f t="shared" si="1"/>
        <v/>
      </c>
    </row>
    <row r="280">
      <c r="C280" s="8"/>
      <c r="G280" s="8"/>
      <c r="K280" s="18"/>
      <c r="L280" s="8"/>
      <c r="M280" s="8"/>
      <c r="R280" s="8"/>
      <c r="T280" s="26" t="str">
        <f t="shared" si="1"/>
        <v/>
      </c>
    </row>
    <row r="281">
      <c r="C281" s="8"/>
      <c r="G281" s="8"/>
      <c r="K281" s="18"/>
      <c r="L281" s="8"/>
      <c r="M281" s="8"/>
      <c r="R281" s="8"/>
      <c r="T281" s="26" t="str">
        <f t="shared" si="1"/>
        <v/>
      </c>
    </row>
    <row r="282">
      <c r="C282" s="8"/>
      <c r="G282" s="8"/>
      <c r="K282" s="18"/>
      <c r="L282" s="8"/>
      <c r="M282" s="8"/>
      <c r="R282" s="8"/>
      <c r="T282" s="26" t="str">
        <f t="shared" si="1"/>
        <v/>
      </c>
    </row>
    <row r="283">
      <c r="C283" s="8"/>
      <c r="G283" s="8"/>
      <c r="K283" s="18"/>
      <c r="L283" s="8"/>
      <c r="M283" s="8"/>
      <c r="R283" s="8"/>
      <c r="T283" s="26" t="str">
        <f t="shared" si="1"/>
        <v/>
      </c>
    </row>
    <row r="284">
      <c r="G284" s="8"/>
      <c r="K284" s="18"/>
      <c r="R284" s="8"/>
      <c r="T284" s="26" t="str">
        <f t="shared" si="1"/>
        <v/>
      </c>
    </row>
    <row r="285">
      <c r="G285" s="8"/>
      <c r="K285" s="18"/>
      <c r="R285" s="8"/>
      <c r="T285" s="26" t="str">
        <f t="shared" si="1"/>
        <v/>
      </c>
    </row>
    <row r="286">
      <c r="G286" s="8"/>
      <c r="K286" s="18"/>
      <c r="R286" s="8"/>
      <c r="T286" s="26" t="str">
        <f t="shared" si="1"/>
        <v/>
      </c>
    </row>
    <row r="287">
      <c r="G287" s="8"/>
      <c r="K287" s="18"/>
      <c r="R287" s="8"/>
      <c r="T287" s="26" t="str">
        <f t="shared" si="1"/>
        <v/>
      </c>
    </row>
    <row r="288">
      <c r="G288" s="8"/>
      <c r="K288" s="18"/>
      <c r="R288" s="8"/>
      <c r="T288" s="26" t="str">
        <f t="shared" si="1"/>
        <v/>
      </c>
    </row>
    <row r="289">
      <c r="G289" s="8"/>
      <c r="K289" s="18"/>
      <c r="R289" s="8"/>
      <c r="T289" s="26" t="str">
        <f t="shared" si="1"/>
        <v/>
      </c>
    </row>
    <row r="290">
      <c r="G290" s="8"/>
      <c r="K290" s="18"/>
      <c r="R290" s="8"/>
      <c r="T290" s="26" t="str">
        <f t="shared" si="1"/>
        <v/>
      </c>
    </row>
    <row r="291">
      <c r="G291" s="8"/>
      <c r="K291" s="18"/>
      <c r="R291" s="8"/>
      <c r="T291" s="26" t="str">
        <f t="shared" si="1"/>
        <v/>
      </c>
    </row>
    <row r="292">
      <c r="G292" s="8"/>
      <c r="K292" s="18"/>
      <c r="R292" s="8"/>
      <c r="T292" s="26" t="str">
        <f t="shared" si="1"/>
        <v/>
      </c>
    </row>
    <row r="293">
      <c r="G293" s="8"/>
      <c r="K293" s="18"/>
      <c r="R293" s="8"/>
      <c r="T293" s="26" t="str">
        <f t="shared" si="1"/>
        <v/>
      </c>
    </row>
    <row r="294">
      <c r="G294" s="8"/>
      <c r="K294" s="18"/>
      <c r="R294" s="8"/>
      <c r="T294" s="26" t="str">
        <f t="shared" si="1"/>
        <v/>
      </c>
    </row>
    <row r="295">
      <c r="G295" s="8"/>
      <c r="K295" s="18"/>
      <c r="R295" s="8"/>
      <c r="T295" s="26" t="str">
        <f t="shared" si="1"/>
        <v/>
      </c>
    </row>
    <row r="296">
      <c r="G296" s="8"/>
      <c r="K296" s="18"/>
      <c r="R296" s="8"/>
      <c r="T296" s="26" t="str">
        <f t="shared" si="1"/>
        <v/>
      </c>
    </row>
    <row r="297">
      <c r="G297" s="8"/>
      <c r="K297" s="18"/>
      <c r="R297" s="8"/>
      <c r="T297" s="26" t="str">
        <f t="shared" si="1"/>
        <v/>
      </c>
    </row>
    <row r="298">
      <c r="G298" s="8"/>
      <c r="K298" s="18"/>
      <c r="R298" s="8"/>
      <c r="T298" s="26" t="str">
        <f t="shared" si="1"/>
        <v/>
      </c>
    </row>
    <row r="299">
      <c r="G299" s="8"/>
      <c r="K299" s="18"/>
      <c r="R299" s="8"/>
      <c r="T299" s="26" t="str">
        <f t="shared" si="1"/>
        <v/>
      </c>
    </row>
    <row r="300">
      <c r="G300" s="8"/>
      <c r="K300" s="18"/>
      <c r="R300" s="8"/>
      <c r="T300" s="26" t="str">
        <f t="shared" si="1"/>
        <v/>
      </c>
    </row>
    <row r="301">
      <c r="G301" s="8"/>
      <c r="K301" s="18"/>
      <c r="R301" s="8"/>
      <c r="T301" s="26" t="str">
        <f t="shared" si="1"/>
        <v/>
      </c>
    </row>
    <row r="302">
      <c r="G302" s="8"/>
      <c r="K302" s="18"/>
      <c r="R302" s="8"/>
      <c r="T302" s="26" t="str">
        <f t="shared" si="1"/>
        <v/>
      </c>
    </row>
    <row r="303">
      <c r="G303" s="8"/>
      <c r="K303" s="18"/>
      <c r="R303" s="8"/>
      <c r="T303" s="26" t="str">
        <f t="shared" si="1"/>
        <v/>
      </c>
    </row>
    <row r="304">
      <c r="G304" s="8"/>
      <c r="K304" s="18"/>
      <c r="R304" s="8"/>
      <c r="T304" s="26" t="str">
        <f t="shared" si="1"/>
        <v/>
      </c>
    </row>
    <row r="305">
      <c r="G305" s="8"/>
      <c r="K305" s="18"/>
      <c r="R305" s="8"/>
      <c r="T305" s="26" t="str">
        <f t="shared" si="1"/>
        <v/>
      </c>
    </row>
    <row r="306">
      <c r="G306" s="8"/>
      <c r="K306" s="18"/>
      <c r="R306" s="8"/>
      <c r="T306" s="26" t="str">
        <f t="shared" si="1"/>
        <v/>
      </c>
    </row>
    <row r="307">
      <c r="G307" s="8"/>
      <c r="K307" s="18"/>
      <c r="R307" s="8"/>
      <c r="T307" s="26" t="str">
        <f t="shared" si="1"/>
        <v/>
      </c>
    </row>
    <row r="308">
      <c r="G308" s="8"/>
      <c r="K308" s="18"/>
      <c r="R308" s="8"/>
      <c r="T308" s="26" t="str">
        <f t="shared" si="1"/>
        <v/>
      </c>
    </row>
    <row r="309">
      <c r="G309" s="8"/>
      <c r="K309" s="18"/>
      <c r="R309" s="8"/>
      <c r="T309" s="26" t="str">
        <f t="shared" si="1"/>
        <v/>
      </c>
    </row>
    <row r="310">
      <c r="G310" s="8"/>
      <c r="K310" s="18"/>
      <c r="R310" s="8"/>
      <c r="T310" s="26" t="str">
        <f t="shared" si="1"/>
        <v/>
      </c>
    </row>
    <row r="311">
      <c r="G311" s="8"/>
      <c r="K311" s="18"/>
      <c r="R311" s="8"/>
      <c r="T311" s="26" t="str">
        <f t="shared" si="1"/>
        <v/>
      </c>
    </row>
    <row r="312">
      <c r="G312" s="8"/>
      <c r="K312" s="18"/>
      <c r="R312" s="8"/>
      <c r="T312" s="26" t="str">
        <f t="shared" si="1"/>
        <v/>
      </c>
    </row>
    <row r="313">
      <c r="G313" s="8"/>
      <c r="K313" s="18"/>
      <c r="R313" s="8"/>
      <c r="T313" s="26" t="str">
        <f t="shared" si="1"/>
        <v/>
      </c>
    </row>
    <row r="314">
      <c r="G314" s="8"/>
      <c r="K314" s="18"/>
      <c r="R314" s="8"/>
      <c r="T314" s="26" t="str">
        <f t="shared" si="1"/>
        <v/>
      </c>
    </row>
    <row r="315">
      <c r="G315" s="8"/>
      <c r="K315" s="18"/>
      <c r="R315" s="8"/>
      <c r="T315" s="26" t="str">
        <f t="shared" si="1"/>
        <v/>
      </c>
    </row>
    <row r="316">
      <c r="G316" s="8"/>
      <c r="K316" s="18"/>
      <c r="R316" s="8"/>
      <c r="T316" s="26" t="str">
        <f t="shared" si="1"/>
        <v/>
      </c>
    </row>
    <row r="317">
      <c r="G317" s="8"/>
      <c r="K317" s="18"/>
      <c r="R317" s="8"/>
      <c r="T317" s="26" t="str">
        <f t="shared" si="1"/>
        <v/>
      </c>
    </row>
    <row r="318">
      <c r="G318" s="8"/>
      <c r="K318" s="18"/>
      <c r="R318" s="8"/>
      <c r="T318" s="26" t="str">
        <f t="shared" si="1"/>
        <v/>
      </c>
    </row>
    <row r="319">
      <c r="G319" s="8"/>
      <c r="K319" s="18"/>
      <c r="R319" s="8"/>
      <c r="T319" s="26" t="str">
        <f t="shared" si="1"/>
        <v/>
      </c>
    </row>
    <row r="320">
      <c r="G320" s="8"/>
      <c r="K320" s="18"/>
      <c r="R320" s="8"/>
      <c r="T320" s="26" t="str">
        <f t="shared" si="1"/>
        <v/>
      </c>
    </row>
    <row r="321">
      <c r="G321" s="8"/>
      <c r="K321" s="18"/>
      <c r="R321" s="8"/>
      <c r="T321" s="26" t="str">
        <f t="shared" si="1"/>
        <v/>
      </c>
    </row>
    <row r="322">
      <c r="G322" s="8"/>
      <c r="K322" s="18"/>
      <c r="R322" s="8"/>
      <c r="T322" s="26" t="str">
        <f t="shared" si="1"/>
        <v/>
      </c>
    </row>
    <row r="323">
      <c r="G323" s="8"/>
      <c r="K323" s="18"/>
      <c r="R323" s="8"/>
      <c r="T323" s="26" t="str">
        <f t="shared" si="1"/>
        <v/>
      </c>
    </row>
    <row r="324">
      <c r="G324" s="8"/>
      <c r="K324" s="18"/>
      <c r="R324" s="8"/>
      <c r="T324" s="26" t="str">
        <f t="shared" si="1"/>
        <v/>
      </c>
    </row>
    <row r="325">
      <c r="G325" s="8"/>
      <c r="K325" s="18"/>
      <c r="R325" s="8"/>
      <c r="T325" s="26" t="str">
        <f t="shared" si="1"/>
        <v/>
      </c>
    </row>
    <row r="326">
      <c r="G326" s="8"/>
      <c r="K326" s="18"/>
      <c r="R326" s="8"/>
      <c r="T326" s="26" t="str">
        <f t="shared" si="1"/>
        <v/>
      </c>
    </row>
    <row r="327">
      <c r="G327" s="8"/>
      <c r="K327" s="18"/>
      <c r="R327" s="8"/>
      <c r="T327" s="26" t="str">
        <f t="shared" si="1"/>
        <v/>
      </c>
    </row>
    <row r="328">
      <c r="G328" s="8"/>
      <c r="K328" s="18"/>
      <c r="R328" s="8"/>
      <c r="T328" s="26" t="str">
        <f t="shared" si="1"/>
        <v/>
      </c>
    </row>
    <row r="329">
      <c r="G329" s="8"/>
      <c r="K329" s="18"/>
      <c r="R329" s="8"/>
      <c r="T329" s="26" t="str">
        <f t="shared" si="1"/>
        <v/>
      </c>
    </row>
    <row r="330">
      <c r="G330" s="8"/>
      <c r="K330" s="18"/>
      <c r="R330" s="8"/>
      <c r="T330" s="26" t="str">
        <f t="shared" si="1"/>
        <v/>
      </c>
    </row>
    <row r="331">
      <c r="G331" s="8"/>
      <c r="K331" s="18"/>
      <c r="R331" s="8"/>
      <c r="T331" s="26" t="str">
        <f t="shared" si="1"/>
        <v/>
      </c>
    </row>
    <row r="332">
      <c r="G332" s="8"/>
      <c r="K332" s="18"/>
      <c r="R332" s="8"/>
      <c r="T332" s="26" t="str">
        <f t="shared" si="1"/>
        <v/>
      </c>
    </row>
    <row r="333">
      <c r="G333" s="8"/>
      <c r="K333" s="18"/>
      <c r="R333" s="8"/>
      <c r="T333" s="26" t="str">
        <f t="shared" si="1"/>
        <v/>
      </c>
    </row>
    <row r="334">
      <c r="G334" s="8"/>
      <c r="K334" s="18"/>
      <c r="R334" s="8"/>
      <c r="T334" s="26" t="str">
        <f t="shared" si="1"/>
        <v/>
      </c>
    </row>
    <row r="335">
      <c r="G335" s="8"/>
      <c r="K335" s="18"/>
      <c r="R335" s="8"/>
      <c r="T335" s="26" t="str">
        <f t="shared" si="1"/>
        <v/>
      </c>
    </row>
    <row r="336">
      <c r="G336" s="8"/>
      <c r="K336" s="18"/>
      <c r="R336" s="8"/>
      <c r="T336" s="26" t="str">
        <f t="shared" si="1"/>
        <v/>
      </c>
    </row>
    <row r="337">
      <c r="G337" s="8"/>
      <c r="K337" s="18"/>
      <c r="R337" s="8"/>
      <c r="T337" s="26" t="str">
        <f t="shared" si="1"/>
        <v/>
      </c>
    </row>
    <row r="338">
      <c r="G338" s="8"/>
      <c r="K338" s="18"/>
      <c r="R338" s="8"/>
      <c r="T338" s="26" t="str">
        <f t="shared" si="1"/>
        <v/>
      </c>
    </row>
    <row r="339">
      <c r="G339" s="8"/>
      <c r="K339" s="18"/>
      <c r="R339" s="8"/>
      <c r="T339" s="26" t="str">
        <f t="shared" si="1"/>
        <v/>
      </c>
    </row>
    <row r="340">
      <c r="G340" s="8"/>
      <c r="K340" s="18"/>
      <c r="R340" s="8"/>
      <c r="T340" s="26" t="str">
        <f t="shared" si="1"/>
        <v/>
      </c>
    </row>
    <row r="341">
      <c r="G341" s="8"/>
      <c r="K341" s="18"/>
      <c r="R341" s="8"/>
      <c r="T341" s="26" t="str">
        <f t="shared" si="1"/>
        <v/>
      </c>
    </row>
    <row r="342">
      <c r="G342" s="8"/>
      <c r="K342" s="18"/>
      <c r="R342" s="8"/>
      <c r="T342" s="26" t="str">
        <f t="shared" si="1"/>
        <v/>
      </c>
    </row>
    <row r="343">
      <c r="G343" s="8"/>
      <c r="K343" s="18"/>
      <c r="R343" s="8"/>
      <c r="T343" s="26" t="str">
        <f t="shared" si="1"/>
        <v/>
      </c>
    </row>
    <row r="344">
      <c r="G344" s="8"/>
      <c r="K344" s="18"/>
      <c r="R344" s="8"/>
      <c r="T344" s="26" t="str">
        <f t="shared" si="1"/>
        <v/>
      </c>
    </row>
    <row r="345">
      <c r="G345" s="8"/>
      <c r="K345" s="18"/>
      <c r="R345" s="8"/>
      <c r="T345" s="26" t="str">
        <f t="shared" si="1"/>
        <v/>
      </c>
    </row>
    <row r="346">
      <c r="G346" s="8"/>
      <c r="K346" s="18"/>
      <c r="R346" s="8"/>
      <c r="T346" s="26" t="str">
        <f t="shared" si="1"/>
        <v/>
      </c>
    </row>
    <row r="347">
      <c r="G347" s="8"/>
      <c r="K347" s="18"/>
      <c r="R347" s="8"/>
      <c r="T347" s="26" t="str">
        <f t="shared" si="1"/>
        <v/>
      </c>
    </row>
    <row r="348">
      <c r="G348" s="8"/>
      <c r="K348" s="18"/>
      <c r="R348" s="8"/>
      <c r="T348" s="26" t="str">
        <f t="shared" si="1"/>
        <v/>
      </c>
    </row>
    <row r="349">
      <c r="G349" s="8"/>
      <c r="K349" s="18"/>
      <c r="R349" s="8"/>
      <c r="T349" s="26" t="str">
        <f t="shared" si="1"/>
        <v/>
      </c>
    </row>
    <row r="350">
      <c r="G350" s="8"/>
      <c r="K350" s="18"/>
      <c r="R350" s="8"/>
      <c r="T350" s="26" t="str">
        <f t="shared" si="1"/>
        <v/>
      </c>
    </row>
    <row r="351">
      <c r="G351" s="8"/>
      <c r="K351" s="18"/>
      <c r="R351" s="8"/>
      <c r="T351" s="26" t="str">
        <f t="shared" si="1"/>
        <v/>
      </c>
    </row>
    <row r="352">
      <c r="G352" s="8"/>
      <c r="K352" s="18"/>
      <c r="R352" s="8"/>
      <c r="T352" s="26" t="str">
        <f t="shared" si="1"/>
        <v/>
      </c>
    </row>
    <row r="353">
      <c r="G353" s="8"/>
      <c r="K353" s="18"/>
      <c r="R353" s="8"/>
      <c r="T353" s="26" t="str">
        <f t="shared" si="1"/>
        <v/>
      </c>
    </row>
    <row r="354">
      <c r="G354" s="8"/>
      <c r="K354" s="18"/>
      <c r="R354" s="8"/>
      <c r="T354" s="26" t="str">
        <f t="shared" si="1"/>
        <v/>
      </c>
    </row>
    <row r="355">
      <c r="G355" s="8"/>
      <c r="K355" s="18"/>
      <c r="R355" s="8"/>
      <c r="T355" s="26" t="str">
        <f t="shared" si="1"/>
        <v/>
      </c>
    </row>
    <row r="356">
      <c r="G356" s="8"/>
      <c r="K356" s="18"/>
      <c r="R356" s="8"/>
      <c r="T356" s="26" t="str">
        <f t="shared" si="1"/>
        <v/>
      </c>
    </row>
    <row r="357">
      <c r="G357" s="8"/>
      <c r="K357" s="18"/>
      <c r="R357" s="8"/>
      <c r="T357" s="26" t="str">
        <f t="shared" si="1"/>
        <v/>
      </c>
    </row>
    <row r="358">
      <c r="G358" s="8"/>
      <c r="K358" s="18"/>
      <c r="R358" s="8"/>
      <c r="T358" s="26" t="str">
        <f t="shared" si="1"/>
        <v/>
      </c>
    </row>
    <row r="359">
      <c r="G359" s="8"/>
      <c r="K359" s="18"/>
      <c r="R359" s="8"/>
      <c r="T359" s="26" t="str">
        <f t="shared" si="1"/>
        <v/>
      </c>
    </row>
    <row r="360">
      <c r="G360" s="8"/>
      <c r="K360" s="18"/>
      <c r="R360" s="8"/>
      <c r="T360" s="26" t="str">
        <f t="shared" si="1"/>
        <v/>
      </c>
    </row>
    <row r="361">
      <c r="G361" s="8"/>
      <c r="K361" s="18"/>
      <c r="R361" s="8"/>
      <c r="T361" s="26" t="str">
        <f t="shared" si="1"/>
        <v/>
      </c>
    </row>
    <row r="362">
      <c r="G362" s="8"/>
      <c r="K362" s="18"/>
      <c r="R362" s="8"/>
      <c r="T362" s="26" t="str">
        <f t="shared" si="1"/>
        <v/>
      </c>
    </row>
    <row r="363">
      <c r="G363" s="8"/>
      <c r="K363" s="18"/>
      <c r="R363" s="8"/>
      <c r="T363" s="26" t="str">
        <f t="shared" si="1"/>
        <v/>
      </c>
    </row>
    <row r="364">
      <c r="G364" s="8"/>
      <c r="K364" s="18"/>
      <c r="R364" s="8"/>
      <c r="T364" s="26" t="str">
        <f t="shared" si="1"/>
        <v/>
      </c>
    </row>
    <row r="365">
      <c r="G365" s="8"/>
      <c r="K365" s="18"/>
      <c r="R365" s="8"/>
      <c r="T365" s="26" t="str">
        <f t="shared" si="1"/>
        <v/>
      </c>
    </row>
    <row r="366">
      <c r="G366" s="8"/>
      <c r="K366" s="18"/>
      <c r="R366" s="8"/>
      <c r="T366" s="26" t="str">
        <f t="shared" si="1"/>
        <v/>
      </c>
    </row>
    <row r="367">
      <c r="G367" s="8"/>
      <c r="K367" s="18"/>
      <c r="R367" s="8"/>
      <c r="T367" s="26" t="str">
        <f t="shared" si="1"/>
        <v/>
      </c>
    </row>
    <row r="368">
      <c r="G368" s="8"/>
      <c r="K368" s="18"/>
      <c r="R368" s="8"/>
      <c r="T368" s="26" t="str">
        <f t="shared" si="1"/>
        <v/>
      </c>
    </row>
    <row r="369">
      <c r="G369" s="8"/>
      <c r="K369" s="18"/>
      <c r="R369" s="8"/>
      <c r="T369" s="26" t="str">
        <f t="shared" si="1"/>
        <v/>
      </c>
    </row>
    <row r="370">
      <c r="G370" s="8"/>
      <c r="K370" s="18"/>
      <c r="R370" s="8"/>
      <c r="T370" s="26" t="str">
        <f t="shared" si="1"/>
        <v/>
      </c>
    </row>
    <row r="371">
      <c r="G371" s="8"/>
      <c r="K371" s="18"/>
      <c r="R371" s="8"/>
      <c r="T371" s="26" t="str">
        <f t="shared" si="1"/>
        <v/>
      </c>
    </row>
    <row r="372">
      <c r="G372" s="8"/>
      <c r="K372" s="18"/>
      <c r="R372" s="8"/>
      <c r="T372" s="26" t="str">
        <f t="shared" si="1"/>
        <v/>
      </c>
    </row>
    <row r="373">
      <c r="G373" s="8"/>
      <c r="K373" s="18"/>
      <c r="R373" s="8"/>
      <c r="T373" s="26" t="str">
        <f t="shared" si="1"/>
        <v/>
      </c>
    </row>
    <row r="374">
      <c r="G374" s="8"/>
      <c r="K374" s="18"/>
      <c r="R374" s="8"/>
      <c r="T374" s="18"/>
    </row>
    <row r="375">
      <c r="G375" s="8"/>
      <c r="K375" s="18"/>
      <c r="R375" s="8"/>
      <c r="T375" s="18"/>
    </row>
    <row r="376">
      <c r="G376" s="8"/>
      <c r="K376" s="18"/>
      <c r="R376" s="8"/>
      <c r="T376" s="18"/>
    </row>
    <row r="377">
      <c r="G377" s="8"/>
      <c r="K377" s="18"/>
      <c r="R377" s="8"/>
      <c r="T377" s="18"/>
    </row>
    <row r="378">
      <c r="G378" s="8"/>
      <c r="K378" s="18"/>
      <c r="R378" s="8"/>
      <c r="T378" s="18"/>
    </row>
    <row r="379">
      <c r="G379" s="8"/>
      <c r="K379" s="18"/>
      <c r="R379" s="8"/>
      <c r="T379" s="18"/>
    </row>
    <row r="380">
      <c r="G380" s="8"/>
      <c r="K380" s="18"/>
      <c r="R380" s="8"/>
      <c r="T380" s="18"/>
    </row>
    <row r="381">
      <c r="G381" s="8"/>
      <c r="K381" s="18"/>
      <c r="R381" s="8"/>
      <c r="T381" s="18"/>
    </row>
    <row r="382">
      <c r="G382" s="8"/>
      <c r="K382" s="18"/>
      <c r="R382" s="8"/>
      <c r="T382" s="18"/>
    </row>
    <row r="383">
      <c r="G383" s="8"/>
      <c r="K383" s="18"/>
      <c r="R383" s="8"/>
      <c r="T383" s="18"/>
    </row>
    <row r="384">
      <c r="G384" s="8"/>
      <c r="K384" s="18"/>
      <c r="R384" s="8"/>
      <c r="T384" s="18"/>
    </row>
    <row r="385">
      <c r="G385" s="8"/>
      <c r="K385" s="18"/>
      <c r="R385" s="8"/>
      <c r="T385" s="18"/>
    </row>
    <row r="386">
      <c r="G386" s="8"/>
      <c r="K386" s="18"/>
      <c r="R386" s="8"/>
      <c r="T386" s="18"/>
    </row>
    <row r="387">
      <c r="G387" s="8"/>
      <c r="K387" s="18"/>
      <c r="R387" s="8"/>
      <c r="T387" s="18"/>
    </row>
    <row r="388">
      <c r="G388" s="8"/>
      <c r="K388" s="18"/>
      <c r="R388" s="8"/>
      <c r="T388" s="18"/>
    </row>
    <row r="389">
      <c r="G389" s="8"/>
      <c r="K389" s="18"/>
      <c r="R389" s="8"/>
      <c r="T389" s="18"/>
    </row>
    <row r="390">
      <c r="G390" s="8"/>
      <c r="K390" s="18"/>
      <c r="R390" s="8"/>
      <c r="T390" s="18"/>
    </row>
    <row r="391">
      <c r="G391" s="8"/>
      <c r="K391" s="18"/>
      <c r="R391" s="8"/>
      <c r="T391" s="18"/>
    </row>
    <row r="392">
      <c r="G392" s="8"/>
      <c r="K392" s="18"/>
      <c r="R392" s="8"/>
      <c r="T392" s="18"/>
    </row>
    <row r="393">
      <c r="G393" s="8"/>
      <c r="K393" s="18"/>
      <c r="R393" s="8"/>
      <c r="T393" s="18"/>
    </row>
    <row r="394">
      <c r="G394" s="8"/>
      <c r="K394" s="18"/>
      <c r="R394" s="8"/>
      <c r="T394" s="18"/>
    </row>
    <row r="395">
      <c r="G395" s="8"/>
      <c r="K395" s="18"/>
      <c r="R395" s="8"/>
      <c r="T395" s="18"/>
    </row>
    <row r="396">
      <c r="G396" s="8"/>
      <c r="K396" s="18"/>
      <c r="R396" s="8"/>
      <c r="T396" s="18"/>
    </row>
    <row r="397">
      <c r="G397" s="8"/>
      <c r="K397" s="18"/>
      <c r="R397" s="8"/>
      <c r="T397" s="18"/>
    </row>
    <row r="398">
      <c r="G398" s="8"/>
      <c r="K398" s="18"/>
      <c r="R398" s="8"/>
      <c r="T398" s="18"/>
    </row>
    <row r="399">
      <c r="G399" s="8"/>
      <c r="K399" s="18"/>
      <c r="R399" s="8"/>
      <c r="T399" s="18"/>
    </row>
    <row r="400">
      <c r="G400" s="8"/>
      <c r="K400" s="18"/>
      <c r="R400" s="8"/>
      <c r="T400" s="18"/>
    </row>
    <row r="401">
      <c r="G401" s="8"/>
      <c r="K401" s="18"/>
      <c r="R401" s="8"/>
      <c r="T401" s="18"/>
    </row>
    <row r="402">
      <c r="G402" s="8"/>
      <c r="K402" s="18"/>
      <c r="R402" s="8"/>
      <c r="T402" s="18"/>
    </row>
    <row r="403">
      <c r="G403" s="8"/>
      <c r="K403" s="18"/>
      <c r="R403" s="8"/>
      <c r="T403" s="18"/>
    </row>
    <row r="404">
      <c r="G404" s="8"/>
      <c r="K404" s="18"/>
      <c r="R404" s="8"/>
      <c r="T404" s="18"/>
    </row>
    <row r="405">
      <c r="G405" s="8"/>
      <c r="K405" s="18"/>
      <c r="R405" s="8"/>
      <c r="T405" s="18"/>
    </row>
    <row r="406">
      <c r="G406" s="8"/>
      <c r="K406" s="18"/>
      <c r="R406" s="8"/>
      <c r="T406" s="18"/>
    </row>
    <row r="407">
      <c r="G407" s="8"/>
      <c r="K407" s="18"/>
      <c r="R407" s="8"/>
      <c r="T407" s="18"/>
    </row>
    <row r="408">
      <c r="G408" s="8"/>
      <c r="K408" s="18"/>
      <c r="R408" s="8"/>
      <c r="T408" s="18"/>
    </row>
    <row r="409">
      <c r="G409" s="8"/>
      <c r="K409" s="18"/>
      <c r="R409" s="8"/>
      <c r="T409" s="18"/>
    </row>
    <row r="410">
      <c r="G410" s="8"/>
      <c r="K410" s="18"/>
      <c r="R410" s="8"/>
      <c r="T410" s="18"/>
    </row>
    <row r="411">
      <c r="G411" s="8"/>
      <c r="K411" s="18"/>
      <c r="R411" s="8"/>
      <c r="T411" s="18"/>
    </row>
    <row r="412">
      <c r="G412" s="8"/>
      <c r="K412" s="18"/>
      <c r="R412" s="8"/>
      <c r="T412" s="18"/>
    </row>
    <row r="413">
      <c r="G413" s="8"/>
      <c r="K413" s="18"/>
      <c r="R413" s="8"/>
      <c r="T413" s="18"/>
    </row>
    <row r="414">
      <c r="G414" s="8"/>
      <c r="K414" s="18"/>
      <c r="R414" s="8"/>
      <c r="T414" s="18"/>
    </row>
    <row r="415">
      <c r="G415" s="8"/>
      <c r="K415" s="18"/>
      <c r="R415" s="8"/>
      <c r="T415" s="18"/>
    </row>
    <row r="416">
      <c r="G416" s="8"/>
      <c r="K416" s="18"/>
      <c r="R416" s="8"/>
      <c r="T416" s="18"/>
    </row>
    <row r="417">
      <c r="G417" s="8"/>
      <c r="K417" s="18"/>
      <c r="R417" s="8"/>
      <c r="T417" s="18"/>
    </row>
    <row r="418">
      <c r="G418" s="8"/>
      <c r="K418" s="18"/>
      <c r="R418" s="8"/>
      <c r="T418" s="18"/>
    </row>
    <row r="419">
      <c r="G419" s="8"/>
      <c r="K419" s="18"/>
      <c r="R419" s="8"/>
      <c r="T419" s="18"/>
    </row>
    <row r="420">
      <c r="G420" s="8"/>
      <c r="K420" s="18"/>
      <c r="R420" s="8"/>
      <c r="T420" s="18"/>
    </row>
    <row r="421">
      <c r="G421" s="8"/>
      <c r="K421" s="18"/>
      <c r="R421" s="8"/>
      <c r="T421" s="18"/>
    </row>
    <row r="422">
      <c r="G422" s="8"/>
      <c r="K422" s="18"/>
      <c r="R422" s="8"/>
      <c r="T422" s="18"/>
    </row>
    <row r="423">
      <c r="G423" s="8"/>
      <c r="K423" s="18"/>
      <c r="R423" s="8"/>
      <c r="T423" s="18"/>
    </row>
    <row r="424">
      <c r="G424" s="8"/>
      <c r="K424" s="18"/>
      <c r="R424" s="8"/>
      <c r="T424" s="18"/>
    </row>
    <row r="425">
      <c r="G425" s="8"/>
      <c r="K425" s="18"/>
      <c r="R425" s="8"/>
      <c r="T425" s="18"/>
    </row>
    <row r="426">
      <c r="G426" s="8"/>
      <c r="K426" s="18"/>
      <c r="R426" s="8"/>
      <c r="T426" s="18"/>
    </row>
    <row r="427">
      <c r="G427" s="8"/>
      <c r="K427" s="18"/>
      <c r="R427" s="8"/>
      <c r="T427" s="18"/>
    </row>
    <row r="428">
      <c r="G428" s="8"/>
      <c r="K428" s="18"/>
      <c r="R428" s="8"/>
      <c r="T428" s="18"/>
    </row>
    <row r="429">
      <c r="G429" s="8"/>
      <c r="K429" s="18"/>
      <c r="R429" s="8"/>
      <c r="T429" s="18"/>
    </row>
    <row r="430">
      <c r="G430" s="8"/>
      <c r="K430" s="18"/>
      <c r="R430" s="8"/>
      <c r="T430" s="18"/>
    </row>
    <row r="431">
      <c r="G431" s="8"/>
      <c r="K431" s="18"/>
      <c r="R431" s="8"/>
      <c r="T431" s="18"/>
    </row>
    <row r="432">
      <c r="G432" s="8"/>
      <c r="K432" s="18"/>
      <c r="R432" s="8"/>
      <c r="T432" s="18"/>
    </row>
    <row r="433">
      <c r="G433" s="8"/>
      <c r="K433" s="18"/>
      <c r="R433" s="8"/>
      <c r="T433" s="18"/>
    </row>
    <row r="434">
      <c r="G434" s="8"/>
      <c r="K434" s="18"/>
      <c r="R434" s="8"/>
      <c r="T434" s="18"/>
    </row>
    <row r="435">
      <c r="G435" s="8"/>
      <c r="K435" s="18"/>
      <c r="R435" s="8"/>
      <c r="T435" s="18"/>
    </row>
    <row r="436">
      <c r="G436" s="8"/>
      <c r="K436" s="18"/>
      <c r="R436" s="8"/>
      <c r="T436" s="18"/>
    </row>
    <row r="437">
      <c r="G437" s="8"/>
      <c r="K437" s="18"/>
      <c r="R437" s="8"/>
      <c r="T437" s="18"/>
    </row>
    <row r="438">
      <c r="G438" s="8"/>
      <c r="K438" s="18"/>
      <c r="R438" s="8"/>
      <c r="T438" s="18"/>
    </row>
    <row r="439">
      <c r="G439" s="8"/>
      <c r="K439" s="18"/>
      <c r="R439" s="8"/>
      <c r="T439" s="18"/>
    </row>
    <row r="440">
      <c r="G440" s="8"/>
      <c r="K440" s="18"/>
      <c r="R440" s="8"/>
      <c r="T440" s="18"/>
    </row>
    <row r="441">
      <c r="G441" s="8"/>
      <c r="K441" s="18"/>
      <c r="R441" s="8"/>
      <c r="T441" s="18"/>
    </row>
    <row r="442">
      <c r="G442" s="8"/>
      <c r="K442" s="18"/>
      <c r="R442" s="8"/>
      <c r="T442" s="18"/>
    </row>
    <row r="443">
      <c r="G443" s="8"/>
      <c r="K443" s="18"/>
      <c r="R443" s="8"/>
      <c r="T443" s="18"/>
    </row>
    <row r="444">
      <c r="G444" s="8"/>
      <c r="K444" s="18"/>
      <c r="R444" s="8"/>
      <c r="T444" s="18"/>
    </row>
    <row r="445">
      <c r="G445" s="8"/>
      <c r="K445" s="18"/>
      <c r="R445" s="8"/>
      <c r="T445" s="18"/>
    </row>
    <row r="446">
      <c r="G446" s="8"/>
      <c r="K446" s="18"/>
      <c r="R446" s="8"/>
      <c r="T446" s="18"/>
    </row>
    <row r="447">
      <c r="G447" s="8"/>
      <c r="K447" s="18"/>
      <c r="R447" s="8"/>
      <c r="T447" s="18"/>
    </row>
    <row r="448">
      <c r="G448" s="8"/>
      <c r="K448" s="18"/>
      <c r="R448" s="8"/>
      <c r="T448" s="18"/>
    </row>
    <row r="449">
      <c r="G449" s="8"/>
      <c r="K449" s="18"/>
      <c r="R449" s="8"/>
      <c r="T449" s="18"/>
    </row>
    <row r="450">
      <c r="G450" s="8"/>
      <c r="K450" s="18"/>
      <c r="R450" s="8"/>
      <c r="T450" s="18"/>
    </row>
    <row r="451">
      <c r="G451" s="8"/>
      <c r="K451" s="18"/>
      <c r="R451" s="8"/>
      <c r="T451" s="18"/>
    </row>
    <row r="452">
      <c r="G452" s="8"/>
      <c r="K452" s="18"/>
      <c r="R452" s="8"/>
      <c r="T452" s="18"/>
    </row>
    <row r="453">
      <c r="G453" s="8"/>
      <c r="K453" s="18"/>
      <c r="R453" s="8"/>
      <c r="T453" s="18"/>
    </row>
    <row r="454">
      <c r="G454" s="8"/>
      <c r="K454" s="18"/>
      <c r="R454" s="8"/>
      <c r="T454" s="18"/>
    </row>
    <row r="455">
      <c r="G455" s="8"/>
      <c r="K455" s="18"/>
      <c r="R455" s="8"/>
      <c r="T455" s="18"/>
    </row>
    <row r="456">
      <c r="G456" s="8"/>
      <c r="K456" s="18"/>
      <c r="R456" s="8"/>
      <c r="T456" s="18"/>
    </row>
    <row r="457">
      <c r="G457" s="8"/>
      <c r="K457" s="18"/>
      <c r="R457" s="8"/>
      <c r="T457" s="18"/>
    </row>
    <row r="458">
      <c r="G458" s="8"/>
      <c r="K458" s="18"/>
      <c r="R458" s="8"/>
      <c r="T458" s="18"/>
    </row>
    <row r="459">
      <c r="G459" s="8"/>
      <c r="K459" s="18"/>
      <c r="R459" s="8"/>
      <c r="T459" s="18"/>
    </row>
    <row r="460">
      <c r="G460" s="8"/>
      <c r="K460" s="18"/>
      <c r="R460" s="8"/>
      <c r="T460" s="18"/>
    </row>
    <row r="461">
      <c r="G461" s="8"/>
      <c r="K461" s="18"/>
      <c r="R461" s="8"/>
      <c r="T461" s="18"/>
    </row>
    <row r="462">
      <c r="G462" s="8"/>
      <c r="K462" s="18"/>
      <c r="R462" s="8"/>
      <c r="T462" s="18"/>
    </row>
    <row r="463">
      <c r="G463" s="8"/>
      <c r="K463" s="18"/>
      <c r="R463" s="8"/>
      <c r="T463" s="18"/>
    </row>
    <row r="464">
      <c r="G464" s="8"/>
      <c r="K464" s="18"/>
      <c r="R464" s="8"/>
      <c r="T464" s="18"/>
    </row>
    <row r="465">
      <c r="G465" s="8"/>
      <c r="K465" s="18"/>
      <c r="R465" s="8"/>
      <c r="T465" s="18"/>
    </row>
    <row r="466">
      <c r="G466" s="8"/>
      <c r="K466" s="18"/>
      <c r="R466" s="8"/>
      <c r="T466" s="18"/>
    </row>
    <row r="467">
      <c r="G467" s="8"/>
      <c r="K467" s="18"/>
      <c r="R467" s="8"/>
      <c r="T467" s="18"/>
    </row>
    <row r="468">
      <c r="G468" s="8"/>
      <c r="K468" s="18"/>
      <c r="R468" s="8"/>
      <c r="T468" s="18"/>
    </row>
    <row r="469">
      <c r="G469" s="8"/>
      <c r="K469" s="18"/>
      <c r="R469" s="8"/>
      <c r="T469" s="18"/>
    </row>
    <row r="470">
      <c r="G470" s="8"/>
      <c r="K470" s="18"/>
      <c r="R470" s="8"/>
      <c r="T470" s="18"/>
    </row>
    <row r="471">
      <c r="G471" s="8"/>
      <c r="K471" s="18"/>
      <c r="R471" s="8"/>
      <c r="T471" s="18"/>
    </row>
    <row r="472">
      <c r="G472" s="8"/>
      <c r="K472" s="18"/>
      <c r="R472" s="8"/>
      <c r="T472" s="18"/>
    </row>
    <row r="473">
      <c r="G473" s="8"/>
      <c r="K473" s="18"/>
      <c r="R473" s="8"/>
      <c r="T473" s="18"/>
    </row>
    <row r="474">
      <c r="G474" s="8"/>
      <c r="K474" s="18"/>
      <c r="R474" s="8"/>
      <c r="T474" s="18"/>
    </row>
    <row r="475">
      <c r="G475" s="8"/>
      <c r="K475" s="18"/>
      <c r="R475" s="8"/>
      <c r="T475" s="18"/>
    </row>
    <row r="476">
      <c r="G476" s="8"/>
      <c r="K476" s="18"/>
      <c r="R476" s="8"/>
      <c r="T476" s="18"/>
    </row>
    <row r="477">
      <c r="G477" s="8"/>
      <c r="K477" s="18"/>
      <c r="R477" s="8"/>
      <c r="T477" s="18"/>
    </row>
    <row r="478">
      <c r="G478" s="8"/>
      <c r="K478" s="18"/>
      <c r="R478" s="8"/>
      <c r="T478" s="18"/>
    </row>
    <row r="479">
      <c r="G479" s="8"/>
      <c r="K479" s="18"/>
      <c r="R479" s="8"/>
      <c r="T479" s="18"/>
    </row>
    <row r="480">
      <c r="G480" s="8"/>
      <c r="K480" s="18"/>
      <c r="R480" s="8"/>
      <c r="T480" s="18"/>
    </row>
    <row r="481">
      <c r="G481" s="8"/>
      <c r="K481" s="18"/>
      <c r="R481" s="8"/>
      <c r="T481" s="18"/>
    </row>
    <row r="482">
      <c r="G482" s="8"/>
      <c r="K482" s="18"/>
      <c r="R482" s="8"/>
      <c r="T482" s="18"/>
    </row>
    <row r="483">
      <c r="G483" s="8"/>
      <c r="K483" s="18"/>
      <c r="R483" s="8"/>
      <c r="T483" s="18"/>
    </row>
    <row r="484">
      <c r="G484" s="8"/>
      <c r="K484" s="18"/>
      <c r="R484" s="8"/>
      <c r="T484" s="18"/>
    </row>
    <row r="485">
      <c r="G485" s="8"/>
      <c r="K485" s="18"/>
      <c r="R485" s="8"/>
      <c r="T485" s="18"/>
    </row>
    <row r="486">
      <c r="G486" s="8"/>
      <c r="K486" s="18"/>
      <c r="R486" s="8"/>
      <c r="T486" s="18"/>
    </row>
    <row r="487">
      <c r="G487" s="8"/>
      <c r="K487" s="18"/>
      <c r="R487" s="8"/>
      <c r="T487" s="18"/>
    </row>
    <row r="488">
      <c r="G488" s="8"/>
      <c r="K488" s="18"/>
      <c r="R488" s="8"/>
      <c r="T488" s="18"/>
    </row>
    <row r="489">
      <c r="G489" s="8"/>
      <c r="K489" s="18"/>
      <c r="R489" s="8"/>
      <c r="T489" s="18"/>
    </row>
    <row r="490">
      <c r="G490" s="8"/>
      <c r="K490" s="18"/>
      <c r="R490" s="8"/>
      <c r="T490" s="18"/>
    </row>
    <row r="491">
      <c r="G491" s="8"/>
      <c r="K491" s="18"/>
      <c r="R491" s="8"/>
      <c r="T491" s="18"/>
    </row>
    <row r="492">
      <c r="G492" s="8"/>
      <c r="K492" s="18"/>
      <c r="R492" s="8"/>
      <c r="T492" s="18"/>
    </row>
    <row r="493">
      <c r="G493" s="8"/>
      <c r="K493" s="18"/>
      <c r="R493" s="8"/>
      <c r="T493" s="18"/>
    </row>
    <row r="494">
      <c r="G494" s="8"/>
      <c r="K494" s="18"/>
      <c r="R494" s="8"/>
      <c r="T494" s="18"/>
    </row>
    <row r="495">
      <c r="G495" s="8"/>
      <c r="K495" s="18"/>
      <c r="R495" s="8"/>
      <c r="T495" s="18"/>
    </row>
    <row r="496">
      <c r="G496" s="8"/>
      <c r="K496" s="18"/>
      <c r="R496" s="8"/>
      <c r="T496" s="18"/>
    </row>
    <row r="497">
      <c r="G497" s="8"/>
      <c r="K497" s="18"/>
      <c r="R497" s="8"/>
      <c r="T497" s="18"/>
    </row>
    <row r="498">
      <c r="G498" s="8"/>
      <c r="K498" s="18"/>
      <c r="R498" s="8"/>
      <c r="T498" s="18"/>
    </row>
    <row r="499">
      <c r="G499" s="8"/>
      <c r="K499" s="18"/>
      <c r="R499" s="8"/>
      <c r="T499" s="18"/>
    </row>
    <row r="500">
      <c r="G500" s="8"/>
      <c r="K500" s="18"/>
      <c r="R500" s="8"/>
      <c r="T500" s="18"/>
    </row>
    <row r="501">
      <c r="G501" s="8"/>
      <c r="K501" s="18"/>
      <c r="R501" s="8"/>
      <c r="T501" s="18"/>
    </row>
    <row r="502">
      <c r="G502" s="8"/>
      <c r="K502" s="18"/>
      <c r="R502" s="8"/>
      <c r="T502" s="18"/>
    </row>
    <row r="503">
      <c r="G503" s="8"/>
      <c r="K503" s="18"/>
      <c r="R503" s="8"/>
      <c r="T503" s="18"/>
    </row>
    <row r="504">
      <c r="G504" s="8"/>
      <c r="K504" s="18"/>
      <c r="R504" s="8"/>
      <c r="T504" s="18"/>
    </row>
    <row r="505">
      <c r="G505" s="8"/>
      <c r="K505" s="18"/>
      <c r="R505" s="8"/>
      <c r="T505" s="18"/>
    </row>
    <row r="506">
      <c r="G506" s="8"/>
      <c r="K506" s="18"/>
      <c r="R506" s="8"/>
      <c r="T506" s="18"/>
    </row>
    <row r="507">
      <c r="G507" s="8"/>
      <c r="K507" s="18"/>
      <c r="R507" s="8"/>
      <c r="T507" s="18"/>
    </row>
    <row r="508">
      <c r="G508" s="8"/>
      <c r="K508" s="18"/>
      <c r="R508" s="8"/>
      <c r="T508" s="18"/>
    </row>
    <row r="509">
      <c r="G509" s="8"/>
      <c r="K509" s="18"/>
      <c r="R509" s="8"/>
      <c r="T509" s="18"/>
    </row>
    <row r="510">
      <c r="G510" s="8"/>
      <c r="K510" s="18"/>
      <c r="R510" s="8"/>
      <c r="T510" s="18"/>
    </row>
    <row r="511">
      <c r="G511" s="8"/>
      <c r="K511" s="18"/>
      <c r="R511" s="8"/>
      <c r="T511" s="18"/>
    </row>
    <row r="512">
      <c r="G512" s="8"/>
      <c r="K512" s="18"/>
      <c r="R512" s="8"/>
      <c r="T512" s="18"/>
    </row>
    <row r="513">
      <c r="G513" s="8"/>
      <c r="K513" s="18"/>
      <c r="R513" s="8"/>
      <c r="T513" s="18"/>
    </row>
    <row r="514">
      <c r="G514" s="8"/>
      <c r="K514" s="18"/>
      <c r="R514" s="8"/>
      <c r="T514" s="18"/>
    </row>
    <row r="515">
      <c r="G515" s="8"/>
      <c r="K515" s="18"/>
      <c r="R515" s="8"/>
      <c r="T515" s="18"/>
    </row>
    <row r="516">
      <c r="G516" s="8"/>
      <c r="K516" s="18"/>
      <c r="R516" s="8"/>
      <c r="T516" s="18"/>
    </row>
    <row r="517">
      <c r="G517" s="8"/>
      <c r="K517" s="18"/>
      <c r="R517" s="8"/>
      <c r="T517" s="18"/>
    </row>
    <row r="518">
      <c r="G518" s="8"/>
      <c r="K518" s="18"/>
      <c r="R518" s="8"/>
      <c r="T518" s="18"/>
    </row>
    <row r="519">
      <c r="G519" s="8"/>
      <c r="K519" s="18"/>
      <c r="R519" s="8"/>
      <c r="T519" s="18"/>
    </row>
    <row r="520">
      <c r="G520" s="8"/>
      <c r="K520" s="18"/>
      <c r="R520" s="8"/>
      <c r="T520" s="18"/>
    </row>
    <row r="521">
      <c r="G521" s="8"/>
      <c r="K521" s="18"/>
      <c r="R521" s="8"/>
      <c r="T521" s="18"/>
    </row>
    <row r="522">
      <c r="G522" s="8"/>
      <c r="K522" s="18"/>
      <c r="R522" s="8"/>
      <c r="T522" s="18"/>
    </row>
    <row r="523">
      <c r="G523" s="8"/>
      <c r="K523" s="18"/>
      <c r="R523" s="8"/>
      <c r="T523" s="18"/>
    </row>
    <row r="524">
      <c r="G524" s="8"/>
      <c r="K524" s="18"/>
      <c r="R524" s="8"/>
      <c r="T524" s="18"/>
    </row>
    <row r="525">
      <c r="G525" s="8"/>
      <c r="K525" s="18"/>
      <c r="R525" s="8"/>
      <c r="T525" s="18"/>
    </row>
    <row r="526">
      <c r="G526" s="8"/>
      <c r="K526" s="18"/>
      <c r="R526" s="8"/>
      <c r="T526" s="18"/>
    </row>
    <row r="527">
      <c r="G527" s="8"/>
      <c r="K527" s="18"/>
      <c r="R527" s="8"/>
      <c r="T527" s="18"/>
    </row>
    <row r="528">
      <c r="G528" s="8"/>
      <c r="K528" s="18"/>
      <c r="R528" s="8"/>
      <c r="T528" s="18"/>
    </row>
    <row r="529">
      <c r="G529" s="8"/>
      <c r="K529" s="18"/>
      <c r="R529" s="8"/>
      <c r="T529" s="18"/>
    </row>
    <row r="530">
      <c r="G530" s="8"/>
      <c r="K530" s="18"/>
      <c r="R530" s="8"/>
      <c r="T530" s="18"/>
    </row>
    <row r="531">
      <c r="G531" s="8"/>
      <c r="K531" s="18"/>
      <c r="R531" s="8"/>
      <c r="T531" s="18"/>
    </row>
    <row r="532">
      <c r="G532" s="8"/>
      <c r="K532" s="18"/>
      <c r="R532" s="8"/>
      <c r="T532" s="18"/>
    </row>
    <row r="533">
      <c r="G533" s="8"/>
      <c r="K533" s="18"/>
      <c r="R533" s="8"/>
      <c r="T533" s="18"/>
    </row>
    <row r="534">
      <c r="G534" s="8"/>
      <c r="K534" s="18"/>
      <c r="R534" s="8"/>
      <c r="T534" s="18"/>
    </row>
    <row r="535">
      <c r="G535" s="8"/>
      <c r="K535" s="18"/>
      <c r="R535" s="8"/>
      <c r="T535" s="18"/>
    </row>
    <row r="536">
      <c r="G536" s="8"/>
      <c r="K536" s="18"/>
      <c r="R536" s="8"/>
      <c r="T536" s="18"/>
    </row>
    <row r="537">
      <c r="G537" s="8"/>
      <c r="K537" s="18"/>
      <c r="R537" s="8"/>
      <c r="T537" s="18"/>
    </row>
    <row r="538">
      <c r="G538" s="8"/>
      <c r="K538" s="18"/>
      <c r="R538" s="8"/>
      <c r="T538" s="18"/>
    </row>
    <row r="539">
      <c r="G539" s="8"/>
      <c r="K539" s="18"/>
      <c r="R539" s="8"/>
      <c r="T539" s="18"/>
    </row>
    <row r="540">
      <c r="G540" s="8"/>
      <c r="K540" s="18"/>
      <c r="R540" s="8"/>
      <c r="T540" s="18"/>
    </row>
    <row r="541">
      <c r="G541" s="8"/>
      <c r="K541" s="18"/>
      <c r="R541" s="8"/>
      <c r="T541" s="18"/>
    </row>
    <row r="542">
      <c r="G542" s="8"/>
      <c r="K542" s="18"/>
      <c r="R542" s="8"/>
      <c r="T542" s="18"/>
    </row>
    <row r="543">
      <c r="G543" s="8"/>
      <c r="K543" s="18"/>
      <c r="R543" s="8"/>
      <c r="T543" s="18"/>
    </row>
    <row r="544">
      <c r="G544" s="8"/>
      <c r="K544" s="18"/>
      <c r="R544" s="8"/>
      <c r="T544" s="18"/>
    </row>
    <row r="545">
      <c r="G545" s="8"/>
      <c r="K545" s="18"/>
      <c r="R545" s="8"/>
      <c r="T545" s="18"/>
    </row>
    <row r="546">
      <c r="G546" s="8"/>
      <c r="K546" s="18"/>
      <c r="R546" s="8"/>
      <c r="T546" s="18"/>
    </row>
    <row r="547">
      <c r="G547" s="8"/>
      <c r="K547" s="18"/>
      <c r="R547" s="8"/>
      <c r="T547" s="18"/>
    </row>
    <row r="548">
      <c r="G548" s="8"/>
      <c r="K548" s="18"/>
      <c r="R548" s="8"/>
      <c r="T548" s="18"/>
    </row>
    <row r="549">
      <c r="G549" s="8"/>
      <c r="K549" s="18"/>
      <c r="R549" s="8"/>
      <c r="T549" s="18"/>
    </row>
    <row r="550">
      <c r="G550" s="8"/>
      <c r="K550" s="18"/>
      <c r="R550" s="8"/>
      <c r="T550" s="18"/>
    </row>
    <row r="551">
      <c r="G551" s="8"/>
      <c r="K551" s="18"/>
      <c r="R551" s="8"/>
      <c r="T551" s="18"/>
    </row>
    <row r="552">
      <c r="G552" s="8"/>
      <c r="K552" s="18"/>
      <c r="R552" s="8"/>
      <c r="T552" s="18"/>
    </row>
    <row r="553">
      <c r="G553" s="8"/>
      <c r="K553" s="18"/>
      <c r="R553" s="8"/>
      <c r="T553" s="18"/>
    </row>
    <row r="554">
      <c r="G554" s="8"/>
      <c r="K554" s="18"/>
      <c r="R554" s="8"/>
      <c r="T554" s="18"/>
    </row>
    <row r="555">
      <c r="G555" s="8"/>
      <c r="K555" s="18"/>
      <c r="R555" s="8"/>
      <c r="T555" s="18"/>
    </row>
    <row r="556">
      <c r="G556" s="8"/>
      <c r="K556" s="18"/>
      <c r="R556" s="8"/>
      <c r="T556" s="18"/>
    </row>
    <row r="557">
      <c r="G557" s="8"/>
      <c r="K557" s="18"/>
      <c r="R557" s="8"/>
      <c r="T557" s="18"/>
    </row>
    <row r="558">
      <c r="G558" s="8"/>
      <c r="K558" s="18"/>
      <c r="R558" s="8"/>
      <c r="T558" s="18"/>
    </row>
    <row r="559">
      <c r="G559" s="8"/>
      <c r="K559" s="18"/>
      <c r="R559" s="8"/>
      <c r="T559" s="18"/>
    </row>
    <row r="560">
      <c r="G560" s="8"/>
      <c r="K560" s="18"/>
      <c r="R560" s="8"/>
      <c r="T560" s="18"/>
    </row>
    <row r="561">
      <c r="G561" s="8"/>
      <c r="K561" s="18"/>
      <c r="R561" s="8"/>
      <c r="T561" s="18"/>
    </row>
    <row r="562">
      <c r="G562" s="8"/>
      <c r="K562" s="18"/>
      <c r="R562" s="8"/>
      <c r="T562" s="18"/>
    </row>
    <row r="563">
      <c r="G563" s="8"/>
      <c r="K563" s="18"/>
      <c r="R563" s="8"/>
      <c r="T563" s="18"/>
    </row>
    <row r="564">
      <c r="G564" s="8"/>
      <c r="K564" s="18"/>
      <c r="R564" s="8"/>
      <c r="T564" s="18"/>
    </row>
    <row r="565">
      <c r="G565" s="8"/>
      <c r="K565" s="18"/>
      <c r="R565" s="8"/>
      <c r="T565" s="18"/>
    </row>
    <row r="566">
      <c r="G566" s="8"/>
      <c r="K566" s="18"/>
      <c r="R566" s="8"/>
      <c r="T566" s="18"/>
    </row>
    <row r="567">
      <c r="G567" s="8"/>
      <c r="K567" s="18"/>
      <c r="R567" s="8"/>
      <c r="T567" s="18"/>
    </row>
    <row r="568">
      <c r="G568" s="8"/>
      <c r="K568" s="18"/>
      <c r="R568" s="8"/>
      <c r="T568" s="18"/>
    </row>
    <row r="569">
      <c r="G569" s="8"/>
      <c r="K569" s="18"/>
      <c r="R569" s="8"/>
      <c r="T569" s="18"/>
    </row>
    <row r="570">
      <c r="G570" s="8"/>
      <c r="K570" s="18"/>
      <c r="R570" s="8"/>
      <c r="T570" s="18"/>
    </row>
    <row r="571">
      <c r="G571" s="8"/>
      <c r="K571" s="18"/>
      <c r="R571" s="8"/>
      <c r="T571" s="18"/>
    </row>
    <row r="572">
      <c r="G572" s="8"/>
      <c r="K572" s="18"/>
      <c r="R572" s="8"/>
      <c r="T572" s="18"/>
    </row>
    <row r="573">
      <c r="G573" s="8"/>
      <c r="K573" s="18"/>
      <c r="R573" s="8"/>
      <c r="T573" s="18"/>
    </row>
    <row r="574">
      <c r="G574" s="8"/>
      <c r="K574" s="18"/>
      <c r="R574" s="8"/>
      <c r="T574" s="18"/>
    </row>
    <row r="575">
      <c r="G575" s="8"/>
      <c r="K575" s="18"/>
      <c r="R575" s="8"/>
      <c r="T575" s="18"/>
    </row>
    <row r="576">
      <c r="G576" s="8"/>
      <c r="K576" s="18"/>
      <c r="R576" s="8"/>
      <c r="T576" s="18"/>
    </row>
    <row r="577">
      <c r="G577" s="8"/>
      <c r="K577" s="18"/>
      <c r="R577" s="8"/>
      <c r="T577" s="18"/>
    </row>
    <row r="578">
      <c r="G578" s="8"/>
      <c r="K578" s="18"/>
      <c r="R578" s="8"/>
      <c r="T578" s="18"/>
    </row>
    <row r="579">
      <c r="G579" s="8"/>
      <c r="K579" s="18"/>
      <c r="R579" s="8"/>
      <c r="T579" s="18"/>
    </row>
    <row r="580">
      <c r="G580" s="8"/>
      <c r="K580" s="18"/>
      <c r="R580" s="8"/>
      <c r="T580" s="18"/>
    </row>
    <row r="581">
      <c r="G581" s="8"/>
      <c r="K581" s="18"/>
      <c r="R581" s="8"/>
      <c r="T581" s="18"/>
    </row>
    <row r="582">
      <c r="G582" s="8"/>
      <c r="K582" s="18"/>
      <c r="R582" s="8"/>
      <c r="T582" s="18"/>
    </row>
    <row r="583">
      <c r="G583" s="8"/>
      <c r="K583" s="18"/>
      <c r="R583" s="8"/>
      <c r="T583" s="18"/>
    </row>
    <row r="584">
      <c r="G584" s="8"/>
      <c r="K584" s="18"/>
      <c r="R584" s="8"/>
      <c r="T584" s="18"/>
    </row>
    <row r="585">
      <c r="G585" s="8"/>
      <c r="K585" s="18"/>
      <c r="R585" s="8"/>
      <c r="T585" s="18"/>
    </row>
    <row r="586">
      <c r="G586" s="8"/>
      <c r="K586" s="18"/>
      <c r="R586" s="8"/>
      <c r="T586" s="18"/>
    </row>
    <row r="587">
      <c r="G587" s="8"/>
      <c r="K587" s="18"/>
      <c r="R587" s="8"/>
      <c r="T587" s="18"/>
    </row>
    <row r="588">
      <c r="G588" s="8"/>
      <c r="K588" s="18"/>
      <c r="R588" s="8"/>
      <c r="T588" s="18"/>
    </row>
    <row r="589">
      <c r="G589" s="8"/>
      <c r="K589" s="18"/>
      <c r="R589" s="8"/>
      <c r="T589" s="18"/>
    </row>
    <row r="590">
      <c r="G590" s="8"/>
      <c r="K590" s="18"/>
      <c r="R590" s="8"/>
      <c r="T590" s="18"/>
    </row>
    <row r="591">
      <c r="G591" s="8"/>
      <c r="K591" s="18"/>
      <c r="R591" s="8"/>
      <c r="T591" s="18"/>
    </row>
    <row r="592">
      <c r="G592" s="8"/>
      <c r="K592" s="18"/>
      <c r="R592" s="8"/>
      <c r="T592" s="18"/>
    </row>
    <row r="593">
      <c r="G593" s="8"/>
      <c r="K593" s="18"/>
      <c r="R593" s="8"/>
      <c r="T593" s="18"/>
    </row>
    <row r="594">
      <c r="G594" s="8"/>
      <c r="K594" s="18"/>
      <c r="R594" s="8"/>
      <c r="T594" s="18"/>
    </row>
    <row r="595">
      <c r="G595" s="8"/>
      <c r="K595" s="18"/>
      <c r="R595" s="8"/>
      <c r="T595" s="18"/>
    </row>
    <row r="596">
      <c r="G596" s="8"/>
      <c r="K596" s="18"/>
      <c r="R596" s="8"/>
      <c r="T596" s="18"/>
    </row>
    <row r="597">
      <c r="G597" s="8"/>
      <c r="K597" s="18"/>
      <c r="R597" s="8"/>
      <c r="T597" s="18"/>
    </row>
    <row r="598">
      <c r="G598" s="8"/>
      <c r="K598" s="18"/>
      <c r="R598" s="8"/>
      <c r="T598" s="18"/>
    </row>
    <row r="599">
      <c r="G599" s="8"/>
      <c r="K599" s="18"/>
      <c r="R599" s="8"/>
      <c r="T599" s="18"/>
    </row>
    <row r="600">
      <c r="G600" s="8"/>
      <c r="K600" s="18"/>
      <c r="R600" s="8"/>
      <c r="T600" s="18"/>
    </row>
    <row r="601">
      <c r="G601" s="8"/>
      <c r="K601" s="18"/>
      <c r="R601" s="8"/>
      <c r="T601" s="18"/>
    </row>
    <row r="602">
      <c r="G602" s="8"/>
      <c r="K602" s="18"/>
      <c r="R602" s="8"/>
      <c r="T602" s="18"/>
    </row>
    <row r="603">
      <c r="G603" s="8"/>
      <c r="K603" s="18"/>
      <c r="R603" s="8"/>
      <c r="T603" s="18"/>
    </row>
    <row r="604">
      <c r="G604" s="8"/>
      <c r="K604" s="18"/>
      <c r="R604" s="8"/>
      <c r="T604" s="18"/>
    </row>
    <row r="605">
      <c r="G605" s="8"/>
      <c r="K605" s="18"/>
      <c r="R605" s="8"/>
      <c r="T605" s="18"/>
    </row>
    <row r="606">
      <c r="G606" s="8"/>
      <c r="K606" s="18"/>
      <c r="R606" s="8"/>
      <c r="T606" s="18"/>
    </row>
    <row r="607">
      <c r="G607" s="8"/>
      <c r="K607" s="18"/>
      <c r="R607" s="8"/>
      <c r="T607" s="18"/>
    </row>
    <row r="608">
      <c r="G608" s="8"/>
      <c r="K608" s="18"/>
      <c r="R608" s="8"/>
      <c r="T608" s="18"/>
    </row>
    <row r="609">
      <c r="G609" s="8"/>
      <c r="K609" s="18"/>
      <c r="R609" s="8"/>
      <c r="T609" s="18"/>
    </row>
    <row r="610">
      <c r="G610" s="8"/>
      <c r="K610" s="18"/>
      <c r="R610" s="8"/>
      <c r="T610" s="18"/>
    </row>
    <row r="611">
      <c r="G611" s="8"/>
      <c r="K611" s="18"/>
      <c r="R611" s="8"/>
      <c r="T611" s="18"/>
    </row>
    <row r="612">
      <c r="G612" s="8"/>
      <c r="K612" s="18"/>
      <c r="R612" s="8"/>
      <c r="T612" s="18"/>
    </row>
    <row r="613">
      <c r="G613" s="8"/>
      <c r="K613" s="18"/>
      <c r="R613" s="8"/>
      <c r="T613" s="18"/>
    </row>
    <row r="614">
      <c r="G614" s="8"/>
      <c r="K614" s="18"/>
      <c r="R614" s="8"/>
      <c r="T614" s="18"/>
    </row>
    <row r="615">
      <c r="G615" s="8"/>
      <c r="K615" s="18"/>
      <c r="R615" s="8"/>
      <c r="T615" s="18"/>
    </row>
    <row r="616">
      <c r="G616" s="8"/>
      <c r="K616" s="18"/>
      <c r="R616" s="8"/>
      <c r="T616" s="18"/>
    </row>
    <row r="617">
      <c r="G617" s="8"/>
      <c r="K617" s="18"/>
      <c r="R617" s="8"/>
      <c r="T617" s="18"/>
    </row>
    <row r="618">
      <c r="G618" s="8"/>
      <c r="K618" s="18"/>
      <c r="R618" s="8"/>
      <c r="T618" s="18"/>
    </row>
    <row r="619">
      <c r="G619" s="8"/>
      <c r="K619" s="18"/>
      <c r="R619" s="8"/>
      <c r="T619" s="18"/>
    </row>
    <row r="620">
      <c r="G620" s="8"/>
      <c r="K620" s="18"/>
      <c r="R620" s="8"/>
      <c r="T620" s="18"/>
    </row>
    <row r="621">
      <c r="G621" s="8"/>
      <c r="K621" s="18"/>
      <c r="R621" s="8"/>
      <c r="T621" s="18"/>
    </row>
    <row r="622">
      <c r="G622" s="8"/>
      <c r="K622" s="18"/>
      <c r="R622" s="8"/>
      <c r="T622" s="18"/>
    </row>
    <row r="623">
      <c r="G623" s="8"/>
      <c r="K623" s="18"/>
      <c r="R623" s="8"/>
      <c r="T623" s="18"/>
    </row>
    <row r="624">
      <c r="G624" s="8"/>
      <c r="K624" s="18"/>
      <c r="R624" s="8"/>
      <c r="T624" s="18"/>
    </row>
    <row r="625">
      <c r="G625" s="8"/>
      <c r="K625" s="18"/>
      <c r="R625" s="8"/>
      <c r="T625" s="18"/>
    </row>
    <row r="626">
      <c r="G626" s="8"/>
      <c r="K626" s="18"/>
      <c r="R626" s="8"/>
      <c r="T626" s="18"/>
    </row>
    <row r="627">
      <c r="G627" s="8"/>
      <c r="K627" s="18"/>
      <c r="R627" s="8"/>
      <c r="T627" s="18"/>
    </row>
    <row r="628">
      <c r="G628" s="8"/>
      <c r="K628" s="18"/>
      <c r="R628" s="8"/>
      <c r="T628" s="18"/>
    </row>
    <row r="629">
      <c r="G629" s="8"/>
      <c r="K629" s="18"/>
      <c r="R629" s="8"/>
      <c r="T629" s="18"/>
    </row>
    <row r="630">
      <c r="G630" s="8"/>
      <c r="K630" s="18"/>
      <c r="R630" s="8"/>
      <c r="T630" s="18"/>
    </row>
    <row r="631">
      <c r="G631" s="8"/>
      <c r="K631" s="18"/>
      <c r="R631" s="8"/>
      <c r="T631" s="18"/>
    </row>
    <row r="632">
      <c r="G632" s="8"/>
      <c r="K632" s="18"/>
      <c r="R632" s="8"/>
      <c r="T632" s="18"/>
    </row>
    <row r="633">
      <c r="G633" s="8"/>
      <c r="K633" s="18"/>
      <c r="R633" s="8"/>
      <c r="T633" s="18"/>
    </row>
    <row r="634">
      <c r="G634" s="8"/>
      <c r="K634" s="18"/>
      <c r="R634" s="8"/>
      <c r="T634" s="18"/>
    </row>
    <row r="635">
      <c r="G635" s="8"/>
      <c r="K635" s="18"/>
      <c r="R635" s="8"/>
      <c r="T635" s="18"/>
    </row>
    <row r="636">
      <c r="G636" s="8"/>
      <c r="K636" s="18"/>
      <c r="R636" s="8"/>
      <c r="T636" s="18"/>
    </row>
    <row r="637">
      <c r="G637" s="8"/>
      <c r="K637" s="18"/>
      <c r="R637" s="8"/>
      <c r="T637" s="18"/>
    </row>
    <row r="638">
      <c r="G638" s="8"/>
      <c r="K638" s="18"/>
      <c r="R638" s="8"/>
      <c r="T638" s="18"/>
    </row>
    <row r="639">
      <c r="G639" s="8"/>
      <c r="K639" s="18"/>
      <c r="R639" s="8"/>
      <c r="T639" s="18"/>
    </row>
    <row r="640">
      <c r="G640" s="8"/>
      <c r="K640" s="18"/>
      <c r="R640" s="8"/>
      <c r="T640" s="18"/>
    </row>
    <row r="641">
      <c r="G641" s="8"/>
      <c r="K641" s="18"/>
      <c r="R641" s="8"/>
      <c r="T641" s="18"/>
    </row>
    <row r="642">
      <c r="G642" s="8"/>
      <c r="K642" s="18"/>
      <c r="R642" s="8"/>
      <c r="T642" s="18"/>
    </row>
    <row r="643">
      <c r="G643" s="8"/>
      <c r="K643" s="18"/>
      <c r="R643" s="8"/>
      <c r="T643" s="18"/>
    </row>
    <row r="644">
      <c r="G644" s="8"/>
      <c r="K644" s="18"/>
      <c r="R644" s="8"/>
      <c r="T644" s="18"/>
    </row>
    <row r="645">
      <c r="G645" s="8"/>
      <c r="K645" s="18"/>
      <c r="R645" s="8"/>
      <c r="T645" s="18"/>
    </row>
    <row r="646">
      <c r="G646" s="8"/>
      <c r="K646" s="18"/>
      <c r="R646" s="8"/>
      <c r="T646" s="18"/>
    </row>
    <row r="647">
      <c r="G647" s="8"/>
      <c r="K647" s="18"/>
      <c r="R647" s="8"/>
      <c r="T647" s="18"/>
    </row>
    <row r="648">
      <c r="G648" s="8"/>
      <c r="K648" s="18"/>
      <c r="R648" s="8"/>
      <c r="T648" s="18"/>
    </row>
    <row r="649">
      <c r="G649" s="8"/>
      <c r="K649" s="18"/>
      <c r="R649" s="8"/>
      <c r="T649" s="18"/>
    </row>
    <row r="650">
      <c r="G650" s="8"/>
      <c r="K650" s="18"/>
      <c r="R650" s="8"/>
      <c r="T650" s="18"/>
    </row>
    <row r="651">
      <c r="G651" s="8"/>
      <c r="K651" s="18"/>
      <c r="R651" s="8"/>
      <c r="T651" s="18"/>
    </row>
    <row r="652">
      <c r="G652" s="8"/>
      <c r="K652" s="18"/>
      <c r="R652" s="8"/>
      <c r="T652" s="18"/>
    </row>
    <row r="653">
      <c r="G653" s="8"/>
      <c r="K653" s="18"/>
      <c r="R653" s="8"/>
      <c r="T653" s="18"/>
    </row>
    <row r="654">
      <c r="G654" s="8"/>
      <c r="K654" s="18"/>
      <c r="R654" s="8"/>
      <c r="T654" s="18"/>
    </row>
    <row r="655">
      <c r="G655" s="8"/>
      <c r="K655" s="18"/>
      <c r="R655" s="8"/>
      <c r="T655" s="18"/>
    </row>
    <row r="656">
      <c r="G656" s="8"/>
      <c r="K656" s="18"/>
      <c r="R656" s="8"/>
      <c r="T656" s="18"/>
    </row>
    <row r="657">
      <c r="G657" s="8"/>
      <c r="K657" s="18"/>
      <c r="R657" s="8"/>
      <c r="T657" s="18"/>
    </row>
    <row r="658">
      <c r="G658" s="8"/>
      <c r="K658" s="18"/>
      <c r="R658" s="8"/>
      <c r="T658" s="18"/>
    </row>
    <row r="659">
      <c r="G659" s="8"/>
      <c r="K659" s="18"/>
      <c r="R659" s="8"/>
      <c r="T659" s="18"/>
    </row>
    <row r="660">
      <c r="G660" s="8"/>
      <c r="K660" s="18"/>
      <c r="R660" s="8"/>
      <c r="T660" s="18"/>
    </row>
    <row r="661">
      <c r="G661" s="8"/>
      <c r="K661" s="18"/>
      <c r="R661" s="8"/>
      <c r="T661" s="18"/>
    </row>
    <row r="662">
      <c r="G662" s="8"/>
      <c r="K662" s="18"/>
      <c r="R662" s="8"/>
      <c r="T662" s="18"/>
    </row>
    <row r="663">
      <c r="G663" s="8"/>
      <c r="K663" s="18"/>
      <c r="R663" s="8"/>
      <c r="T663" s="18"/>
    </row>
    <row r="664">
      <c r="G664" s="8"/>
      <c r="K664" s="18"/>
      <c r="R664" s="8"/>
      <c r="T664" s="18"/>
    </row>
    <row r="665">
      <c r="G665" s="8"/>
      <c r="K665" s="18"/>
      <c r="R665" s="8"/>
      <c r="T665" s="18"/>
    </row>
    <row r="666">
      <c r="G666" s="8"/>
      <c r="K666" s="18"/>
      <c r="R666" s="8"/>
      <c r="T666" s="18"/>
    </row>
    <row r="667">
      <c r="G667" s="8"/>
      <c r="K667" s="18"/>
      <c r="R667" s="8"/>
      <c r="T667" s="18"/>
    </row>
    <row r="668">
      <c r="G668" s="8"/>
      <c r="K668" s="18"/>
      <c r="R668" s="8"/>
      <c r="T668" s="18"/>
    </row>
    <row r="669">
      <c r="G669" s="8"/>
      <c r="K669" s="18"/>
      <c r="R669" s="8"/>
      <c r="T669" s="18"/>
    </row>
    <row r="670">
      <c r="G670" s="8"/>
      <c r="K670" s="18"/>
      <c r="R670" s="8"/>
      <c r="T670" s="18"/>
    </row>
    <row r="671">
      <c r="G671" s="8"/>
      <c r="K671" s="18"/>
      <c r="R671" s="8"/>
      <c r="T671" s="18"/>
    </row>
    <row r="672">
      <c r="G672" s="8"/>
      <c r="K672" s="18"/>
      <c r="R672" s="8"/>
      <c r="T672" s="18"/>
    </row>
    <row r="673">
      <c r="G673" s="8"/>
      <c r="K673" s="18"/>
      <c r="R673" s="8"/>
      <c r="T673" s="18"/>
    </row>
    <row r="674">
      <c r="G674" s="8"/>
      <c r="K674" s="18"/>
      <c r="R674" s="8"/>
      <c r="T674" s="18"/>
    </row>
    <row r="675">
      <c r="G675" s="8"/>
      <c r="K675" s="18"/>
      <c r="R675" s="8"/>
      <c r="T675" s="18"/>
    </row>
    <row r="676">
      <c r="G676" s="8"/>
      <c r="K676" s="18"/>
      <c r="R676" s="8"/>
      <c r="T676" s="18"/>
    </row>
    <row r="677">
      <c r="G677" s="8"/>
      <c r="K677" s="18"/>
      <c r="R677" s="8"/>
      <c r="T677" s="18"/>
    </row>
    <row r="678">
      <c r="G678" s="8"/>
      <c r="K678" s="18"/>
      <c r="R678" s="8"/>
      <c r="T678" s="18"/>
    </row>
    <row r="679">
      <c r="G679" s="8"/>
      <c r="K679" s="18"/>
      <c r="R679" s="8"/>
      <c r="T679" s="18"/>
    </row>
    <row r="680">
      <c r="G680" s="8"/>
      <c r="K680" s="18"/>
      <c r="R680" s="8"/>
      <c r="T680" s="18"/>
    </row>
    <row r="681">
      <c r="G681" s="8"/>
      <c r="K681" s="18"/>
      <c r="R681" s="8"/>
      <c r="T681" s="18"/>
    </row>
    <row r="682">
      <c r="G682" s="8"/>
      <c r="K682" s="18"/>
      <c r="R682" s="8"/>
      <c r="T682" s="18"/>
    </row>
    <row r="683">
      <c r="G683" s="8"/>
      <c r="K683" s="18"/>
      <c r="R683" s="8"/>
      <c r="T683" s="18"/>
    </row>
    <row r="684">
      <c r="G684" s="8"/>
      <c r="K684" s="18"/>
      <c r="R684" s="8"/>
      <c r="T684" s="18"/>
    </row>
    <row r="685">
      <c r="G685" s="8"/>
      <c r="K685" s="18"/>
      <c r="R685" s="8"/>
      <c r="T685" s="18"/>
    </row>
    <row r="686">
      <c r="G686" s="8"/>
      <c r="K686" s="18"/>
      <c r="R686" s="8"/>
      <c r="T686" s="18"/>
    </row>
    <row r="687">
      <c r="G687" s="8"/>
      <c r="K687" s="18"/>
      <c r="R687" s="8"/>
      <c r="T687" s="18"/>
    </row>
    <row r="688">
      <c r="G688" s="8"/>
      <c r="K688" s="18"/>
      <c r="R688" s="8"/>
      <c r="T688" s="18"/>
    </row>
    <row r="689">
      <c r="G689" s="8"/>
      <c r="K689" s="18"/>
      <c r="R689" s="8"/>
      <c r="T689" s="18"/>
    </row>
    <row r="690">
      <c r="G690" s="8"/>
      <c r="K690" s="18"/>
      <c r="R690" s="8"/>
      <c r="T690" s="18"/>
    </row>
    <row r="691">
      <c r="G691" s="8"/>
      <c r="K691" s="18"/>
      <c r="R691" s="8"/>
      <c r="T691" s="18"/>
    </row>
    <row r="692">
      <c r="G692" s="8"/>
      <c r="K692" s="18"/>
      <c r="R692" s="8"/>
      <c r="T692" s="18"/>
    </row>
    <row r="693">
      <c r="G693" s="8"/>
      <c r="K693" s="18"/>
      <c r="R693" s="8"/>
      <c r="T693" s="18"/>
    </row>
    <row r="694">
      <c r="G694" s="8"/>
      <c r="K694" s="18"/>
      <c r="R694" s="8"/>
      <c r="T694" s="18"/>
    </row>
    <row r="695">
      <c r="G695" s="8"/>
      <c r="K695" s="18"/>
      <c r="R695" s="8"/>
      <c r="T695" s="18"/>
    </row>
    <row r="696">
      <c r="G696" s="8"/>
      <c r="K696" s="18"/>
      <c r="R696" s="8"/>
      <c r="T696" s="18"/>
    </row>
    <row r="697">
      <c r="G697" s="8"/>
      <c r="K697" s="18"/>
      <c r="R697" s="8"/>
      <c r="T697" s="18"/>
    </row>
    <row r="698">
      <c r="G698" s="8"/>
      <c r="K698" s="18"/>
      <c r="R698" s="8"/>
      <c r="T698" s="18"/>
    </row>
    <row r="699">
      <c r="G699" s="8"/>
      <c r="K699" s="18"/>
      <c r="R699" s="8"/>
      <c r="T699" s="18"/>
    </row>
    <row r="700">
      <c r="G700" s="8"/>
      <c r="K700" s="18"/>
      <c r="R700" s="8"/>
      <c r="T700" s="18"/>
    </row>
    <row r="701">
      <c r="G701" s="8"/>
      <c r="K701" s="18"/>
      <c r="R701" s="8"/>
      <c r="T701" s="18"/>
    </row>
    <row r="702">
      <c r="G702" s="8"/>
      <c r="K702" s="18"/>
      <c r="R702" s="8"/>
      <c r="T702" s="18"/>
    </row>
    <row r="703">
      <c r="G703" s="8"/>
      <c r="K703" s="18"/>
      <c r="R703" s="8"/>
      <c r="T703" s="18"/>
    </row>
    <row r="704">
      <c r="G704" s="8"/>
      <c r="K704" s="18"/>
      <c r="R704" s="8"/>
      <c r="T704" s="18"/>
    </row>
    <row r="705">
      <c r="G705" s="8"/>
      <c r="K705" s="18"/>
      <c r="R705" s="8"/>
      <c r="T705" s="18"/>
    </row>
    <row r="706">
      <c r="G706" s="8"/>
      <c r="K706" s="18"/>
      <c r="R706" s="8"/>
      <c r="T706" s="18"/>
    </row>
    <row r="707">
      <c r="G707" s="8"/>
      <c r="K707" s="18"/>
      <c r="R707" s="8"/>
      <c r="T707" s="18"/>
    </row>
    <row r="708">
      <c r="G708" s="8"/>
      <c r="K708" s="18"/>
      <c r="R708" s="8"/>
      <c r="T708" s="18"/>
    </row>
    <row r="709">
      <c r="G709" s="8"/>
      <c r="K709" s="18"/>
      <c r="R709" s="8"/>
      <c r="T709" s="18"/>
    </row>
    <row r="710">
      <c r="G710" s="8"/>
      <c r="K710" s="18"/>
      <c r="R710" s="8"/>
      <c r="T710" s="18"/>
    </row>
    <row r="711">
      <c r="G711" s="8"/>
      <c r="K711" s="18"/>
      <c r="R711" s="8"/>
      <c r="T711" s="18"/>
    </row>
    <row r="712">
      <c r="G712" s="8"/>
      <c r="K712" s="18"/>
      <c r="R712" s="8"/>
      <c r="T712" s="18"/>
    </row>
    <row r="713">
      <c r="G713" s="8"/>
      <c r="K713" s="18"/>
      <c r="R713" s="8"/>
      <c r="T713" s="18"/>
    </row>
    <row r="714">
      <c r="G714" s="8"/>
      <c r="K714" s="18"/>
      <c r="R714" s="8"/>
      <c r="T714" s="18"/>
    </row>
    <row r="715">
      <c r="G715" s="8"/>
      <c r="K715" s="18"/>
      <c r="R715" s="8"/>
      <c r="T715" s="18"/>
    </row>
    <row r="716">
      <c r="G716" s="8"/>
      <c r="K716" s="18"/>
      <c r="R716" s="8"/>
      <c r="T716" s="18"/>
    </row>
    <row r="717">
      <c r="G717" s="8"/>
      <c r="K717" s="18"/>
      <c r="R717" s="8"/>
      <c r="T717" s="18"/>
    </row>
    <row r="718">
      <c r="G718" s="8"/>
      <c r="K718" s="18"/>
      <c r="R718" s="8"/>
      <c r="T718" s="18"/>
    </row>
    <row r="719">
      <c r="G719" s="8"/>
      <c r="K719" s="18"/>
      <c r="R719" s="8"/>
      <c r="T719" s="18"/>
    </row>
    <row r="720">
      <c r="G720" s="8"/>
      <c r="K720" s="18"/>
      <c r="R720" s="8"/>
      <c r="T720" s="18"/>
    </row>
    <row r="721">
      <c r="G721" s="8"/>
      <c r="K721" s="18"/>
      <c r="R721" s="8"/>
      <c r="T721" s="18"/>
    </row>
    <row r="722">
      <c r="G722" s="8"/>
      <c r="K722" s="18"/>
      <c r="R722" s="8"/>
      <c r="T722" s="18"/>
    </row>
    <row r="723">
      <c r="G723" s="8"/>
      <c r="K723" s="18"/>
      <c r="R723" s="8"/>
      <c r="T723" s="18"/>
    </row>
    <row r="724">
      <c r="G724" s="8"/>
      <c r="K724" s="18"/>
      <c r="R724" s="8"/>
      <c r="T724" s="18"/>
    </row>
    <row r="725">
      <c r="G725" s="8"/>
      <c r="K725" s="18"/>
      <c r="R725" s="8"/>
      <c r="T725" s="18"/>
    </row>
    <row r="726">
      <c r="G726" s="8"/>
      <c r="K726" s="18"/>
      <c r="R726" s="8"/>
      <c r="T726" s="18"/>
    </row>
    <row r="727">
      <c r="G727" s="8"/>
      <c r="K727" s="18"/>
      <c r="R727" s="8"/>
      <c r="T727" s="18"/>
    </row>
    <row r="728">
      <c r="G728" s="8"/>
      <c r="K728" s="18"/>
      <c r="R728" s="8"/>
      <c r="T728" s="18"/>
    </row>
    <row r="729">
      <c r="G729" s="8"/>
      <c r="K729" s="18"/>
      <c r="R729" s="8"/>
      <c r="T729" s="18"/>
    </row>
    <row r="730">
      <c r="G730" s="8"/>
      <c r="K730" s="18"/>
      <c r="R730" s="8"/>
      <c r="T730" s="18"/>
    </row>
    <row r="731">
      <c r="G731" s="8"/>
      <c r="K731" s="18"/>
      <c r="R731" s="8"/>
      <c r="T731" s="18"/>
    </row>
    <row r="732">
      <c r="G732" s="8"/>
      <c r="K732" s="18"/>
      <c r="R732" s="8"/>
      <c r="T732" s="18"/>
    </row>
    <row r="733">
      <c r="G733" s="8"/>
      <c r="K733" s="18"/>
      <c r="R733" s="8"/>
      <c r="T733" s="18"/>
    </row>
    <row r="734">
      <c r="G734" s="8"/>
      <c r="K734" s="18"/>
      <c r="R734" s="8"/>
      <c r="T734" s="18"/>
    </row>
    <row r="735">
      <c r="G735" s="8"/>
      <c r="K735" s="18"/>
      <c r="R735" s="8"/>
      <c r="T735" s="18"/>
    </row>
    <row r="736">
      <c r="G736" s="8"/>
      <c r="K736" s="18"/>
      <c r="R736" s="8"/>
      <c r="T736" s="18"/>
    </row>
    <row r="737">
      <c r="G737" s="8"/>
      <c r="K737" s="18"/>
      <c r="R737" s="8"/>
      <c r="T737" s="18"/>
    </row>
    <row r="738">
      <c r="G738" s="8"/>
      <c r="K738" s="18"/>
      <c r="R738" s="8"/>
      <c r="T738" s="18"/>
    </row>
    <row r="739">
      <c r="G739" s="8"/>
      <c r="K739" s="18"/>
      <c r="R739" s="8"/>
      <c r="T739" s="18"/>
    </row>
    <row r="740">
      <c r="G740" s="8"/>
      <c r="K740" s="18"/>
      <c r="R740" s="8"/>
      <c r="T740" s="18"/>
    </row>
    <row r="741">
      <c r="G741" s="8"/>
      <c r="K741" s="18"/>
      <c r="R741" s="8"/>
      <c r="T741" s="18"/>
    </row>
    <row r="742">
      <c r="G742" s="8"/>
      <c r="K742" s="18"/>
      <c r="R742" s="8"/>
      <c r="T742" s="18"/>
    </row>
    <row r="743">
      <c r="G743" s="8"/>
      <c r="K743" s="18"/>
      <c r="R743" s="8"/>
      <c r="T743" s="18"/>
    </row>
    <row r="744">
      <c r="G744" s="8"/>
      <c r="K744" s="18"/>
      <c r="R744" s="8"/>
      <c r="T744" s="18"/>
    </row>
    <row r="745">
      <c r="G745" s="8"/>
      <c r="K745" s="18"/>
      <c r="R745" s="8"/>
      <c r="T745" s="18"/>
    </row>
    <row r="746">
      <c r="G746" s="8"/>
      <c r="K746" s="18"/>
      <c r="R746" s="8"/>
      <c r="T746" s="18"/>
    </row>
    <row r="747">
      <c r="G747" s="8"/>
      <c r="K747" s="18"/>
      <c r="R747" s="8"/>
      <c r="T747" s="18"/>
    </row>
    <row r="748">
      <c r="G748" s="8"/>
      <c r="K748" s="18"/>
      <c r="R748" s="8"/>
      <c r="T748" s="18"/>
    </row>
    <row r="749">
      <c r="G749" s="8"/>
      <c r="K749" s="18"/>
      <c r="R749" s="8"/>
      <c r="T749" s="18"/>
    </row>
    <row r="750">
      <c r="G750" s="8"/>
      <c r="K750" s="18"/>
      <c r="R750" s="8"/>
      <c r="T750" s="18"/>
    </row>
    <row r="751">
      <c r="G751" s="8"/>
      <c r="K751" s="18"/>
      <c r="R751" s="8"/>
      <c r="T751" s="18"/>
    </row>
    <row r="752">
      <c r="G752" s="8"/>
      <c r="K752" s="18"/>
      <c r="R752" s="8"/>
      <c r="T752" s="18"/>
    </row>
    <row r="753">
      <c r="G753" s="8"/>
      <c r="K753" s="18"/>
      <c r="R753" s="8"/>
      <c r="T753" s="18"/>
    </row>
    <row r="754">
      <c r="G754" s="8"/>
      <c r="K754" s="18"/>
      <c r="R754" s="8"/>
      <c r="T754" s="18"/>
    </row>
    <row r="755">
      <c r="G755" s="8"/>
      <c r="K755" s="18"/>
      <c r="R755" s="8"/>
      <c r="T755" s="18"/>
    </row>
    <row r="756">
      <c r="G756" s="8"/>
      <c r="K756" s="18"/>
      <c r="R756" s="8"/>
      <c r="T756" s="18"/>
    </row>
    <row r="757">
      <c r="G757" s="8"/>
      <c r="K757" s="18"/>
      <c r="R757" s="8"/>
      <c r="T757" s="18"/>
    </row>
    <row r="758">
      <c r="G758" s="8"/>
      <c r="K758" s="18"/>
      <c r="R758" s="8"/>
      <c r="T758" s="18"/>
    </row>
    <row r="759">
      <c r="G759" s="8"/>
      <c r="K759" s="18"/>
      <c r="R759" s="8"/>
      <c r="T759" s="18"/>
    </row>
    <row r="760">
      <c r="G760" s="8"/>
      <c r="K760" s="18"/>
      <c r="R760" s="8"/>
      <c r="T760" s="18"/>
    </row>
    <row r="761">
      <c r="G761" s="8"/>
      <c r="K761" s="18"/>
      <c r="R761" s="8"/>
      <c r="T761" s="18"/>
    </row>
    <row r="762">
      <c r="G762" s="8"/>
      <c r="K762" s="18"/>
      <c r="R762" s="8"/>
      <c r="T762" s="18"/>
    </row>
    <row r="763">
      <c r="G763" s="8"/>
      <c r="K763" s="18"/>
      <c r="R763" s="8"/>
      <c r="T763" s="18"/>
    </row>
    <row r="764">
      <c r="G764" s="8"/>
      <c r="K764" s="18"/>
      <c r="R764" s="8"/>
      <c r="T764" s="18"/>
    </row>
    <row r="765">
      <c r="G765" s="8"/>
      <c r="K765" s="18"/>
      <c r="R765" s="8"/>
      <c r="T765" s="18"/>
    </row>
    <row r="766">
      <c r="G766" s="8"/>
      <c r="K766" s="18"/>
      <c r="R766" s="8"/>
      <c r="T766" s="18"/>
    </row>
    <row r="767">
      <c r="G767" s="8"/>
      <c r="K767" s="18"/>
      <c r="R767" s="8"/>
      <c r="T767" s="18"/>
    </row>
    <row r="768">
      <c r="G768" s="8"/>
      <c r="K768" s="18"/>
      <c r="R768" s="8"/>
      <c r="T768" s="18"/>
    </row>
    <row r="769">
      <c r="G769" s="8"/>
      <c r="K769" s="18"/>
      <c r="R769" s="8"/>
      <c r="T769" s="18"/>
    </row>
    <row r="770">
      <c r="G770" s="8"/>
      <c r="K770" s="18"/>
      <c r="R770" s="8"/>
      <c r="T770" s="18"/>
    </row>
    <row r="771">
      <c r="G771" s="8"/>
      <c r="K771" s="18"/>
      <c r="R771" s="8"/>
      <c r="T771" s="18"/>
    </row>
    <row r="772">
      <c r="G772" s="8"/>
      <c r="K772" s="18"/>
      <c r="R772" s="8"/>
      <c r="T772" s="18"/>
    </row>
    <row r="773">
      <c r="G773" s="8"/>
      <c r="K773" s="18"/>
      <c r="R773" s="8"/>
      <c r="T773" s="18"/>
    </row>
    <row r="774">
      <c r="G774" s="8"/>
      <c r="K774" s="18"/>
      <c r="R774" s="8"/>
      <c r="T774" s="18"/>
    </row>
    <row r="775">
      <c r="G775" s="8"/>
      <c r="K775" s="18"/>
      <c r="R775" s="8"/>
      <c r="T775" s="18"/>
    </row>
    <row r="776">
      <c r="G776" s="8"/>
      <c r="K776" s="18"/>
      <c r="R776" s="8"/>
      <c r="T776" s="18"/>
    </row>
    <row r="777">
      <c r="G777" s="8"/>
      <c r="K777" s="18"/>
      <c r="R777" s="8"/>
      <c r="T777" s="18"/>
    </row>
    <row r="778">
      <c r="G778" s="8"/>
      <c r="K778" s="18"/>
      <c r="R778" s="8"/>
      <c r="T778" s="18"/>
    </row>
    <row r="779">
      <c r="G779" s="8"/>
      <c r="K779" s="18"/>
      <c r="R779" s="8"/>
      <c r="T779" s="18"/>
    </row>
    <row r="780">
      <c r="G780" s="8"/>
      <c r="K780" s="18"/>
      <c r="R780" s="8"/>
      <c r="T780" s="18"/>
    </row>
    <row r="781">
      <c r="G781" s="8"/>
      <c r="K781" s="18"/>
      <c r="R781" s="8"/>
      <c r="T781" s="18"/>
    </row>
    <row r="782">
      <c r="G782" s="8"/>
      <c r="K782" s="18"/>
      <c r="R782" s="8"/>
      <c r="T782" s="18"/>
    </row>
    <row r="783">
      <c r="G783" s="8"/>
      <c r="K783" s="18"/>
      <c r="R783" s="8"/>
      <c r="T783" s="18"/>
    </row>
    <row r="784">
      <c r="G784" s="8"/>
      <c r="K784" s="18"/>
      <c r="R784" s="8"/>
      <c r="T784" s="18"/>
    </row>
    <row r="785">
      <c r="G785" s="8"/>
      <c r="K785" s="18"/>
      <c r="R785" s="8"/>
      <c r="T785" s="18"/>
    </row>
    <row r="786">
      <c r="G786" s="8"/>
      <c r="K786" s="18"/>
      <c r="R786" s="8"/>
      <c r="T786" s="18"/>
    </row>
    <row r="787">
      <c r="G787" s="8"/>
      <c r="K787" s="18"/>
      <c r="R787" s="8"/>
      <c r="T787" s="18"/>
    </row>
    <row r="788">
      <c r="G788" s="8"/>
      <c r="K788" s="18"/>
      <c r="R788" s="8"/>
      <c r="T788" s="18"/>
    </row>
    <row r="789">
      <c r="G789" s="8"/>
      <c r="K789" s="18"/>
      <c r="R789" s="8"/>
      <c r="T789" s="18"/>
    </row>
    <row r="790">
      <c r="G790" s="8"/>
      <c r="K790" s="18"/>
      <c r="R790" s="8"/>
      <c r="T790" s="18"/>
    </row>
    <row r="791">
      <c r="G791" s="8"/>
      <c r="K791" s="18"/>
      <c r="R791" s="8"/>
      <c r="T791" s="18"/>
    </row>
    <row r="792">
      <c r="G792" s="8"/>
      <c r="K792" s="18"/>
      <c r="R792" s="8"/>
      <c r="T792" s="18"/>
    </row>
    <row r="793">
      <c r="G793" s="8"/>
      <c r="K793" s="18"/>
      <c r="R793" s="8"/>
      <c r="T793" s="18"/>
    </row>
    <row r="794">
      <c r="G794" s="8"/>
      <c r="K794" s="18"/>
      <c r="R794" s="8"/>
      <c r="T794" s="18"/>
    </row>
    <row r="795">
      <c r="G795" s="8"/>
      <c r="K795" s="18"/>
      <c r="R795" s="8"/>
      <c r="T795" s="18"/>
    </row>
    <row r="796">
      <c r="G796" s="8"/>
      <c r="K796" s="18"/>
      <c r="R796" s="8"/>
      <c r="T796" s="18"/>
    </row>
    <row r="797">
      <c r="G797" s="8"/>
      <c r="K797" s="18"/>
      <c r="R797" s="8"/>
      <c r="T797" s="18"/>
    </row>
    <row r="798">
      <c r="G798" s="8"/>
      <c r="K798" s="18"/>
      <c r="R798" s="8"/>
      <c r="T798" s="18"/>
    </row>
    <row r="799">
      <c r="G799" s="8"/>
      <c r="K799" s="18"/>
      <c r="R799" s="8"/>
      <c r="T799" s="18"/>
    </row>
    <row r="800">
      <c r="G800" s="8"/>
      <c r="K800" s="18"/>
      <c r="R800" s="8"/>
      <c r="T800" s="18"/>
    </row>
    <row r="801">
      <c r="G801" s="8"/>
      <c r="K801" s="18"/>
      <c r="R801" s="8"/>
      <c r="T801" s="18"/>
    </row>
    <row r="802">
      <c r="G802" s="8"/>
      <c r="K802" s="18"/>
      <c r="R802" s="8"/>
      <c r="T802" s="18"/>
    </row>
    <row r="803">
      <c r="G803" s="8"/>
      <c r="K803" s="18"/>
      <c r="R803" s="8"/>
      <c r="T803" s="18"/>
    </row>
    <row r="804">
      <c r="G804" s="8"/>
      <c r="K804" s="18"/>
      <c r="R804" s="8"/>
      <c r="T804" s="18"/>
    </row>
    <row r="805">
      <c r="G805" s="8"/>
      <c r="K805" s="18"/>
      <c r="R805" s="8"/>
      <c r="T805" s="18"/>
    </row>
    <row r="806">
      <c r="G806" s="8"/>
      <c r="K806" s="18"/>
      <c r="R806" s="8"/>
      <c r="T806" s="18"/>
    </row>
    <row r="807">
      <c r="G807" s="8"/>
      <c r="K807" s="18"/>
      <c r="R807" s="8"/>
      <c r="T807" s="18"/>
    </row>
    <row r="808">
      <c r="G808" s="8"/>
      <c r="K808" s="18"/>
      <c r="R808" s="8"/>
      <c r="T808" s="18"/>
    </row>
    <row r="809">
      <c r="G809" s="8"/>
      <c r="K809" s="18"/>
      <c r="R809" s="8"/>
      <c r="T809" s="18"/>
    </row>
    <row r="810">
      <c r="G810" s="8"/>
      <c r="K810" s="18"/>
      <c r="R810" s="8"/>
      <c r="T810" s="18"/>
    </row>
    <row r="811">
      <c r="G811" s="8"/>
      <c r="K811" s="18"/>
      <c r="R811" s="8"/>
      <c r="T811" s="18"/>
    </row>
    <row r="812">
      <c r="G812" s="8"/>
      <c r="K812" s="18"/>
      <c r="R812" s="8"/>
      <c r="T812" s="18"/>
    </row>
    <row r="813">
      <c r="G813" s="8"/>
      <c r="K813" s="18"/>
      <c r="R813" s="8"/>
      <c r="T813" s="18"/>
    </row>
    <row r="814">
      <c r="G814" s="8"/>
      <c r="K814" s="18"/>
      <c r="R814" s="8"/>
      <c r="T814" s="18"/>
    </row>
    <row r="815">
      <c r="G815" s="8"/>
      <c r="K815" s="18"/>
      <c r="R815" s="8"/>
      <c r="T815" s="18"/>
    </row>
    <row r="816">
      <c r="G816" s="8"/>
      <c r="K816" s="18"/>
      <c r="R816" s="8"/>
      <c r="T816" s="18"/>
    </row>
    <row r="817">
      <c r="G817" s="8"/>
      <c r="K817" s="18"/>
      <c r="R817" s="8"/>
      <c r="T817" s="18"/>
    </row>
    <row r="818">
      <c r="G818" s="8"/>
      <c r="K818" s="18"/>
      <c r="R818" s="8"/>
      <c r="T818" s="18"/>
    </row>
    <row r="819">
      <c r="G819" s="8"/>
      <c r="K819" s="18"/>
      <c r="R819" s="8"/>
      <c r="T819" s="18"/>
    </row>
    <row r="820">
      <c r="G820" s="8"/>
      <c r="K820" s="18"/>
      <c r="R820" s="8"/>
      <c r="T820" s="18"/>
    </row>
    <row r="821">
      <c r="G821" s="8"/>
      <c r="K821" s="18"/>
      <c r="R821" s="8"/>
      <c r="T821" s="18"/>
    </row>
    <row r="822">
      <c r="G822" s="8"/>
      <c r="K822" s="18"/>
      <c r="R822" s="8"/>
      <c r="T822" s="18"/>
    </row>
    <row r="823">
      <c r="G823" s="8"/>
      <c r="K823" s="18"/>
      <c r="R823" s="8"/>
      <c r="T823" s="18"/>
    </row>
    <row r="824">
      <c r="G824" s="8"/>
      <c r="K824" s="18"/>
      <c r="R824" s="8"/>
      <c r="T824" s="18"/>
    </row>
    <row r="825">
      <c r="G825" s="8"/>
      <c r="K825" s="18"/>
      <c r="R825" s="8"/>
      <c r="T825" s="18"/>
    </row>
    <row r="826">
      <c r="G826" s="8"/>
      <c r="K826" s="18"/>
      <c r="R826" s="8"/>
      <c r="T826" s="18"/>
    </row>
    <row r="827">
      <c r="G827" s="8"/>
      <c r="K827" s="18"/>
      <c r="R827" s="8"/>
      <c r="T827" s="18"/>
    </row>
    <row r="828">
      <c r="G828" s="8"/>
      <c r="K828" s="18"/>
      <c r="R828" s="8"/>
      <c r="T828" s="18"/>
    </row>
    <row r="829">
      <c r="G829" s="8"/>
      <c r="K829" s="18"/>
      <c r="R829" s="8"/>
      <c r="T829" s="18"/>
    </row>
    <row r="830">
      <c r="G830" s="8"/>
      <c r="K830" s="18"/>
      <c r="R830" s="8"/>
      <c r="T830" s="18"/>
    </row>
    <row r="831">
      <c r="G831" s="8"/>
      <c r="K831" s="18"/>
      <c r="R831" s="8"/>
      <c r="T831" s="18"/>
    </row>
    <row r="832">
      <c r="G832" s="8"/>
      <c r="K832" s="18"/>
      <c r="R832" s="8"/>
      <c r="T832" s="18"/>
    </row>
    <row r="833">
      <c r="G833" s="8"/>
      <c r="K833" s="18"/>
      <c r="R833" s="8"/>
      <c r="T833" s="18"/>
    </row>
    <row r="834">
      <c r="G834" s="8"/>
      <c r="K834" s="18"/>
      <c r="R834" s="8"/>
      <c r="T834" s="18"/>
    </row>
    <row r="835">
      <c r="G835" s="8"/>
      <c r="K835" s="18"/>
      <c r="R835" s="8"/>
      <c r="T835" s="18"/>
    </row>
    <row r="836">
      <c r="G836" s="8"/>
      <c r="K836" s="18"/>
      <c r="R836" s="8"/>
      <c r="T836" s="18"/>
    </row>
    <row r="837">
      <c r="G837" s="8"/>
      <c r="K837" s="18"/>
      <c r="R837" s="8"/>
      <c r="T837" s="18"/>
    </row>
    <row r="838">
      <c r="G838" s="8"/>
      <c r="K838" s="18"/>
      <c r="R838" s="8"/>
      <c r="T838" s="18"/>
    </row>
    <row r="839">
      <c r="G839" s="8"/>
      <c r="K839" s="18"/>
      <c r="R839" s="8"/>
      <c r="T839" s="18"/>
    </row>
    <row r="840">
      <c r="G840" s="8"/>
      <c r="K840" s="18"/>
      <c r="R840" s="8"/>
      <c r="T840" s="18"/>
    </row>
    <row r="841">
      <c r="G841" s="8"/>
      <c r="K841" s="18"/>
      <c r="R841" s="8"/>
      <c r="T841" s="18"/>
    </row>
    <row r="842">
      <c r="G842" s="8"/>
      <c r="K842" s="18"/>
      <c r="R842" s="8"/>
      <c r="T842" s="18"/>
    </row>
    <row r="843">
      <c r="G843" s="8"/>
      <c r="K843" s="18"/>
      <c r="R843" s="8"/>
      <c r="T843" s="18"/>
    </row>
    <row r="844">
      <c r="G844" s="8"/>
      <c r="K844" s="18"/>
      <c r="R844" s="8"/>
      <c r="T844" s="18"/>
    </row>
    <row r="845">
      <c r="G845" s="8"/>
      <c r="K845" s="18"/>
      <c r="R845" s="8"/>
      <c r="T845" s="18"/>
    </row>
    <row r="846">
      <c r="G846" s="8"/>
      <c r="K846" s="18"/>
      <c r="R846" s="8"/>
      <c r="T846" s="18"/>
    </row>
    <row r="847">
      <c r="G847" s="8"/>
      <c r="K847" s="18"/>
      <c r="R847" s="8"/>
      <c r="T847" s="18"/>
    </row>
    <row r="848">
      <c r="G848" s="8"/>
      <c r="K848" s="18"/>
      <c r="R848" s="8"/>
      <c r="T848" s="18"/>
    </row>
    <row r="849">
      <c r="G849" s="8"/>
      <c r="K849" s="18"/>
      <c r="R849" s="8"/>
      <c r="T849" s="18"/>
    </row>
    <row r="850">
      <c r="G850" s="8"/>
      <c r="K850" s="18"/>
      <c r="R850" s="8"/>
      <c r="T850" s="18"/>
    </row>
    <row r="851">
      <c r="G851" s="8"/>
      <c r="K851" s="18"/>
      <c r="R851" s="8"/>
      <c r="T851" s="18"/>
    </row>
    <row r="852">
      <c r="G852" s="8"/>
      <c r="K852" s="18"/>
      <c r="R852" s="8"/>
      <c r="T852" s="18"/>
    </row>
    <row r="853">
      <c r="G853" s="8"/>
      <c r="K853" s="18"/>
      <c r="R853" s="8"/>
      <c r="T853" s="18"/>
    </row>
    <row r="854">
      <c r="G854" s="8"/>
      <c r="K854" s="18"/>
      <c r="R854" s="8"/>
      <c r="T854" s="18"/>
    </row>
    <row r="855">
      <c r="G855" s="8"/>
      <c r="K855" s="18"/>
      <c r="R855" s="8"/>
      <c r="T855" s="18"/>
    </row>
    <row r="856">
      <c r="G856" s="8"/>
      <c r="K856" s="18"/>
      <c r="R856" s="8"/>
      <c r="T856" s="18"/>
    </row>
    <row r="857">
      <c r="G857" s="8"/>
      <c r="K857" s="18"/>
      <c r="R857" s="8"/>
      <c r="T857" s="18"/>
    </row>
    <row r="858">
      <c r="G858" s="8"/>
      <c r="K858" s="18"/>
      <c r="R858" s="8"/>
      <c r="T858" s="18"/>
    </row>
    <row r="859">
      <c r="G859" s="8"/>
      <c r="K859" s="18"/>
      <c r="R859" s="8"/>
      <c r="T859" s="18"/>
    </row>
    <row r="860">
      <c r="G860" s="8"/>
      <c r="K860" s="18"/>
      <c r="R860" s="8"/>
      <c r="T860" s="18"/>
    </row>
    <row r="861">
      <c r="G861" s="8"/>
      <c r="K861" s="18"/>
      <c r="R861" s="8"/>
      <c r="T861" s="18"/>
    </row>
    <row r="862">
      <c r="G862" s="8"/>
      <c r="K862" s="18"/>
      <c r="R862" s="8"/>
      <c r="T862" s="18"/>
    </row>
    <row r="863">
      <c r="G863" s="8"/>
      <c r="K863" s="18"/>
      <c r="R863" s="8"/>
      <c r="T863" s="18"/>
    </row>
    <row r="864">
      <c r="G864" s="8"/>
      <c r="K864" s="18"/>
      <c r="R864" s="8"/>
      <c r="T864" s="18"/>
    </row>
    <row r="865">
      <c r="G865" s="8"/>
      <c r="K865" s="18"/>
      <c r="R865" s="8"/>
      <c r="T865" s="18"/>
    </row>
    <row r="866">
      <c r="G866" s="8"/>
      <c r="K866" s="18"/>
      <c r="R866" s="8"/>
      <c r="T866" s="18"/>
    </row>
    <row r="867">
      <c r="G867" s="8"/>
      <c r="K867" s="18"/>
      <c r="R867" s="8"/>
      <c r="T867" s="18"/>
    </row>
    <row r="868">
      <c r="G868" s="8"/>
      <c r="K868" s="18"/>
      <c r="R868" s="8"/>
      <c r="T868" s="18"/>
    </row>
    <row r="869">
      <c r="G869" s="8"/>
      <c r="K869" s="18"/>
      <c r="R869" s="8"/>
      <c r="T869" s="18"/>
    </row>
    <row r="870">
      <c r="G870" s="8"/>
      <c r="K870" s="18"/>
      <c r="R870" s="8"/>
      <c r="T870" s="18"/>
    </row>
    <row r="871">
      <c r="G871" s="8"/>
      <c r="K871" s="18"/>
      <c r="R871" s="8"/>
      <c r="T871" s="18"/>
    </row>
    <row r="872">
      <c r="G872" s="8"/>
      <c r="K872" s="18"/>
      <c r="R872" s="8"/>
      <c r="T872" s="18"/>
    </row>
    <row r="873">
      <c r="G873" s="8"/>
      <c r="K873" s="18"/>
      <c r="R873" s="8"/>
      <c r="T873" s="18"/>
    </row>
    <row r="874">
      <c r="G874" s="8"/>
      <c r="K874" s="18"/>
      <c r="R874" s="8"/>
      <c r="T874" s="18"/>
    </row>
    <row r="875">
      <c r="G875" s="8"/>
      <c r="K875" s="18"/>
      <c r="R875" s="8"/>
      <c r="T875" s="18"/>
    </row>
    <row r="876">
      <c r="G876" s="8"/>
      <c r="K876" s="18"/>
      <c r="R876" s="8"/>
      <c r="T876" s="18"/>
    </row>
    <row r="877">
      <c r="G877" s="8"/>
      <c r="K877" s="18"/>
      <c r="R877" s="8"/>
      <c r="T877" s="18"/>
    </row>
    <row r="878">
      <c r="G878" s="8"/>
      <c r="K878" s="18"/>
      <c r="R878" s="8"/>
      <c r="T878" s="18"/>
    </row>
    <row r="879">
      <c r="G879" s="8"/>
      <c r="K879" s="18"/>
      <c r="R879" s="8"/>
      <c r="T879" s="18"/>
    </row>
    <row r="880">
      <c r="G880" s="8"/>
      <c r="K880" s="18"/>
      <c r="R880" s="8"/>
      <c r="T880" s="18"/>
    </row>
    <row r="881">
      <c r="G881" s="8"/>
      <c r="K881" s="18"/>
      <c r="R881" s="8"/>
      <c r="T881" s="18"/>
    </row>
    <row r="882">
      <c r="G882" s="8"/>
      <c r="K882" s="18"/>
      <c r="R882" s="8"/>
      <c r="T882" s="18"/>
    </row>
    <row r="883">
      <c r="G883" s="8"/>
      <c r="K883" s="18"/>
      <c r="R883" s="8"/>
      <c r="T883" s="18"/>
    </row>
    <row r="884">
      <c r="G884" s="8"/>
      <c r="K884" s="18"/>
      <c r="R884" s="8"/>
      <c r="T884" s="18"/>
    </row>
    <row r="885">
      <c r="G885" s="8"/>
      <c r="K885" s="18"/>
      <c r="R885" s="8"/>
      <c r="T885" s="18"/>
    </row>
    <row r="886">
      <c r="G886" s="8"/>
      <c r="K886" s="18"/>
      <c r="R886" s="8"/>
      <c r="T886" s="18"/>
    </row>
    <row r="887">
      <c r="G887" s="8"/>
      <c r="K887" s="18"/>
      <c r="R887" s="8"/>
      <c r="T887" s="18"/>
    </row>
    <row r="888">
      <c r="G888" s="8"/>
      <c r="K888" s="18"/>
      <c r="R888" s="8"/>
      <c r="T888" s="18"/>
    </row>
    <row r="889">
      <c r="G889" s="8"/>
      <c r="K889" s="18"/>
      <c r="R889" s="8"/>
      <c r="T889" s="18"/>
    </row>
    <row r="890">
      <c r="G890" s="8"/>
      <c r="K890" s="18"/>
      <c r="R890" s="8"/>
      <c r="T890" s="18"/>
    </row>
    <row r="891">
      <c r="G891" s="8"/>
      <c r="K891" s="18"/>
      <c r="R891" s="8"/>
      <c r="T891" s="18"/>
    </row>
    <row r="892">
      <c r="G892" s="8"/>
      <c r="K892" s="18"/>
      <c r="R892" s="8"/>
      <c r="T892" s="18"/>
    </row>
    <row r="893">
      <c r="G893" s="8"/>
      <c r="K893" s="18"/>
      <c r="R893" s="8"/>
      <c r="T893" s="18"/>
    </row>
    <row r="894">
      <c r="G894" s="8"/>
      <c r="K894" s="18"/>
      <c r="R894" s="8"/>
      <c r="T894" s="18"/>
    </row>
    <row r="895">
      <c r="G895" s="8"/>
      <c r="K895" s="18"/>
      <c r="R895" s="8"/>
      <c r="T895" s="18"/>
    </row>
    <row r="896">
      <c r="G896" s="8"/>
      <c r="K896" s="18"/>
      <c r="R896" s="8"/>
      <c r="T896" s="18"/>
    </row>
    <row r="897">
      <c r="G897" s="8"/>
      <c r="K897" s="18"/>
      <c r="R897" s="8"/>
      <c r="T897" s="18"/>
    </row>
    <row r="898">
      <c r="G898" s="8"/>
      <c r="K898" s="18"/>
      <c r="R898" s="8"/>
      <c r="T898" s="18"/>
    </row>
    <row r="899">
      <c r="G899" s="8"/>
      <c r="K899" s="18"/>
      <c r="R899" s="8"/>
      <c r="T899" s="18"/>
    </row>
    <row r="900">
      <c r="G900" s="8"/>
      <c r="K900" s="18"/>
      <c r="R900" s="8"/>
      <c r="T900" s="18"/>
    </row>
    <row r="901">
      <c r="G901" s="8"/>
      <c r="K901" s="18"/>
      <c r="R901" s="8"/>
      <c r="T901" s="18"/>
    </row>
    <row r="902">
      <c r="G902" s="8"/>
      <c r="K902" s="18"/>
      <c r="R902" s="8"/>
      <c r="T902" s="18"/>
    </row>
    <row r="903">
      <c r="G903" s="8"/>
      <c r="K903" s="18"/>
      <c r="R903" s="8"/>
      <c r="T903" s="18"/>
    </row>
    <row r="904">
      <c r="G904" s="8"/>
      <c r="K904" s="18"/>
      <c r="R904" s="8"/>
      <c r="T904" s="18"/>
    </row>
    <row r="905">
      <c r="G905" s="8"/>
      <c r="K905" s="18"/>
      <c r="R905" s="8"/>
      <c r="T905" s="18"/>
    </row>
    <row r="906">
      <c r="G906" s="8"/>
      <c r="K906" s="18"/>
      <c r="R906" s="8"/>
      <c r="T906" s="18"/>
    </row>
    <row r="907">
      <c r="G907" s="8"/>
      <c r="K907" s="18"/>
      <c r="R907" s="8"/>
      <c r="T907" s="18"/>
    </row>
    <row r="908">
      <c r="G908" s="8"/>
      <c r="K908" s="18"/>
      <c r="R908" s="8"/>
      <c r="T908" s="18"/>
    </row>
    <row r="909">
      <c r="G909" s="8"/>
      <c r="K909" s="18"/>
      <c r="R909" s="8"/>
      <c r="T909" s="18"/>
    </row>
    <row r="910">
      <c r="G910" s="8"/>
      <c r="K910" s="18"/>
      <c r="R910" s="8"/>
      <c r="T910" s="18"/>
    </row>
    <row r="911">
      <c r="G911" s="8"/>
      <c r="K911" s="18"/>
      <c r="R911" s="8"/>
      <c r="T911" s="18"/>
    </row>
    <row r="912">
      <c r="G912" s="8"/>
      <c r="K912" s="18"/>
      <c r="R912" s="8"/>
      <c r="T912" s="18"/>
    </row>
    <row r="913">
      <c r="G913" s="8"/>
      <c r="K913" s="18"/>
      <c r="R913" s="8"/>
      <c r="T913" s="18"/>
    </row>
    <row r="914">
      <c r="G914" s="8"/>
      <c r="K914" s="18"/>
      <c r="R914" s="8"/>
      <c r="T914" s="18"/>
    </row>
    <row r="915">
      <c r="G915" s="8"/>
      <c r="K915" s="18"/>
      <c r="R915" s="8"/>
      <c r="T915" s="18"/>
    </row>
    <row r="916">
      <c r="G916" s="8"/>
      <c r="K916" s="18"/>
      <c r="R916" s="8"/>
      <c r="T916" s="18"/>
    </row>
    <row r="917">
      <c r="G917" s="8"/>
      <c r="K917" s="18"/>
      <c r="R917" s="8"/>
      <c r="T917" s="18"/>
    </row>
    <row r="918">
      <c r="G918" s="8"/>
      <c r="K918" s="18"/>
      <c r="R918" s="8"/>
      <c r="T918" s="18"/>
    </row>
    <row r="919">
      <c r="G919" s="8"/>
      <c r="K919" s="18"/>
      <c r="R919" s="8"/>
      <c r="T919" s="18"/>
    </row>
    <row r="920">
      <c r="G920" s="8"/>
      <c r="K920" s="18"/>
      <c r="R920" s="8"/>
      <c r="T920" s="18"/>
    </row>
    <row r="921">
      <c r="G921" s="8"/>
      <c r="K921" s="18"/>
      <c r="R921" s="8"/>
      <c r="T921" s="18"/>
    </row>
    <row r="922">
      <c r="G922" s="8"/>
      <c r="K922" s="18"/>
      <c r="R922" s="8"/>
      <c r="T922" s="18"/>
    </row>
    <row r="923">
      <c r="G923" s="8"/>
      <c r="K923" s="18"/>
      <c r="R923" s="8"/>
      <c r="T923" s="18"/>
    </row>
    <row r="924">
      <c r="G924" s="8"/>
      <c r="K924" s="18"/>
      <c r="R924" s="8"/>
      <c r="T924" s="18"/>
    </row>
    <row r="925">
      <c r="G925" s="8"/>
      <c r="K925" s="18"/>
      <c r="R925" s="8"/>
      <c r="T925" s="18"/>
    </row>
    <row r="926">
      <c r="G926" s="8"/>
      <c r="K926" s="18"/>
      <c r="R926" s="8"/>
      <c r="T926" s="18"/>
    </row>
    <row r="927">
      <c r="G927" s="8"/>
      <c r="K927" s="18"/>
      <c r="R927" s="8"/>
      <c r="T927" s="18"/>
    </row>
    <row r="928">
      <c r="G928" s="8"/>
      <c r="K928" s="18"/>
      <c r="R928" s="8"/>
      <c r="T928" s="18"/>
    </row>
    <row r="929">
      <c r="G929" s="8"/>
      <c r="K929" s="18"/>
      <c r="R929" s="8"/>
      <c r="T929" s="18"/>
    </row>
    <row r="930">
      <c r="G930" s="8"/>
      <c r="K930" s="18"/>
      <c r="R930" s="8"/>
      <c r="T930" s="18"/>
    </row>
    <row r="931">
      <c r="G931" s="8"/>
      <c r="K931" s="18"/>
      <c r="R931" s="8"/>
      <c r="T931" s="18"/>
    </row>
    <row r="932">
      <c r="G932" s="8"/>
      <c r="K932" s="18"/>
      <c r="R932" s="8"/>
      <c r="T932" s="18"/>
    </row>
    <row r="933">
      <c r="G933" s="8"/>
      <c r="K933" s="18"/>
      <c r="R933" s="8"/>
      <c r="T933" s="18"/>
    </row>
    <row r="934">
      <c r="G934" s="8"/>
      <c r="K934" s="18"/>
      <c r="R934" s="8"/>
      <c r="T934" s="18"/>
    </row>
    <row r="935">
      <c r="G935" s="8"/>
      <c r="K935" s="18"/>
      <c r="R935" s="8"/>
      <c r="T935" s="18"/>
    </row>
    <row r="936">
      <c r="G936" s="8"/>
      <c r="K936" s="18"/>
      <c r="R936" s="8"/>
      <c r="T936" s="18"/>
    </row>
    <row r="937">
      <c r="G937" s="8"/>
      <c r="K937" s="18"/>
      <c r="R937" s="8"/>
      <c r="T937" s="18"/>
    </row>
    <row r="938">
      <c r="G938" s="8"/>
      <c r="K938" s="18"/>
      <c r="R938" s="8"/>
      <c r="T938" s="18"/>
    </row>
    <row r="939">
      <c r="G939" s="8"/>
      <c r="K939" s="18"/>
      <c r="R939" s="8"/>
      <c r="T939" s="18"/>
    </row>
    <row r="940">
      <c r="G940" s="8"/>
      <c r="K940" s="18"/>
      <c r="R940" s="8"/>
      <c r="T940" s="18"/>
    </row>
    <row r="941">
      <c r="G941" s="8"/>
      <c r="K941" s="18"/>
      <c r="R941" s="8"/>
      <c r="T941" s="18"/>
    </row>
    <row r="942">
      <c r="G942" s="8"/>
      <c r="K942" s="18"/>
      <c r="R942" s="8"/>
      <c r="T942" s="18"/>
    </row>
    <row r="943">
      <c r="G943" s="8"/>
      <c r="K943" s="18"/>
      <c r="R943" s="8"/>
      <c r="T943" s="18"/>
    </row>
    <row r="944">
      <c r="G944" s="8"/>
      <c r="K944" s="18"/>
      <c r="R944" s="8"/>
      <c r="T944" s="18"/>
    </row>
    <row r="945">
      <c r="G945" s="8"/>
      <c r="K945" s="18"/>
      <c r="R945" s="8"/>
      <c r="T945" s="18"/>
    </row>
    <row r="946">
      <c r="G946" s="8"/>
      <c r="K946" s="18"/>
      <c r="R946" s="8"/>
      <c r="T946" s="18"/>
    </row>
    <row r="947">
      <c r="G947" s="8"/>
      <c r="K947" s="18"/>
      <c r="R947" s="8"/>
      <c r="T947" s="18"/>
    </row>
    <row r="948">
      <c r="G948" s="8"/>
      <c r="K948" s="18"/>
      <c r="R948" s="8"/>
      <c r="T948" s="18"/>
    </row>
    <row r="949">
      <c r="G949" s="8"/>
      <c r="K949" s="18"/>
      <c r="R949" s="8"/>
      <c r="T949" s="18"/>
    </row>
    <row r="950">
      <c r="G950" s="8"/>
      <c r="K950" s="18"/>
      <c r="R950" s="8"/>
      <c r="T950" s="18"/>
    </row>
    <row r="951">
      <c r="G951" s="8"/>
      <c r="K951" s="18"/>
      <c r="R951" s="8"/>
      <c r="T951" s="18"/>
    </row>
    <row r="952">
      <c r="G952" s="8"/>
      <c r="K952" s="18"/>
      <c r="R952" s="8"/>
      <c r="T952" s="18"/>
    </row>
    <row r="953">
      <c r="G953" s="8"/>
      <c r="K953" s="18"/>
      <c r="R953" s="8"/>
      <c r="T953" s="18"/>
    </row>
    <row r="954">
      <c r="G954" s="8"/>
      <c r="K954" s="18"/>
      <c r="R954" s="8"/>
      <c r="T954" s="18"/>
    </row>
    <row r="955">
      <c r="G955" s="8"/>
      <c r="K955" s="18"/>
      <c r="R955" s="8"/>
      <c r="T955" s="18"/>
    </row>
    <row r="956">
      <c r="G956" s="8"/>
      <c r="K956" s="18"/>
      <c r="R956" s="8"/>
      <c r="T956" s="18"/>
    </row>
    <row r="957">
      <c r="G957" s="8"/>
      <c r="K957" s="18"/>
      <c r="R957" s="8"/>
      <c r="T957" s="18"/>
    </row>
    <row r="958">
      <c r="G958" s="8"/>
      <c r="K958" s="18"/>
      <c r="R958" s="8"/>
      <c r="T958" s="18"/>
    </row>
    <row r="959">
      <c r="G959" s="8"/>
      <c r="K959" s="18"/>
      <c r="R959" s="8"/>
      <c r="T959" s="18"/>
    </row>
    <row r="960">
      <c r="G960" s="8"/>
      <c r="K960" s="18"/>
      <c r="R960" s="8"/>
      <c r="T960" s="18"/>
    </row>
    <row r="961">
      <c r="G961" s="8"/>
      <c r="K961" s="18"/>
      <c r="R961" s="8"/>
      <c r="T961" s="18"/>
    </row>
    <row r="962">
      <c r="G962" s="8"/>
      <c r="K962" s="18"/>
      <c r="R962" s="8"/>
      <c r="T962" s="18"/>
    </row>
    <row r="963">
      <c r="G963" s="8"/>
      <c r="K963" s="18"/>
      <c r="R963" s="8"/>
      <c r="T963" s="18"/>
    </row>
    <row r="964">
      <c r="G964" s="8"/>
      <c r="K964" s="18"/>
      <c r="R964" s="8"/>
      <c r="T964" s="18"/>
    </row>
    <row r="965">
      <c r="G965" s="8"/>
      <c r="K965" s="18"/>
      <c r="R965" s="8"/>
      <c r="T965" s="18"/>
    </row>
    <row r="966">
      <c r="G966" s="8"/>
      <c r="K966" s="18"/>
      <c r="R966" s="8"/>
      <c r="T966" s="18"/>
    </row>
    <row r="967">
      <c r="G967" s="8"/>
      <c r="K967" s="18"/>
      <c r="R967" s="8"/>
      <c r="T967" s="18"/>
    </row>
    <row r="968">
      <c r="G968" s="8"/>
      <c r="K968" s="18"/>
      <c r="R968" s="8"/>
      <c r="T968" s="18"/>
    </row>
    <row r="969">
      <c r="G969" s="8"/>
      <c r="K969" s="18"/>
      <c r="R969" s="8"/>
      <c r="T969" s="18"/>
    </row>
    <row r="970">
      <c r="G970" s="8"/>
      <c r="K970" s="18"/>
      <c r="R970" s="8"/>
      <c r="T970" s="18"/>
    </row>
    <row r="971">
      <c r="G971" s="8"/>
      <c r="K971" s="18"/>
      <c r="R971" s="8"/>
      <c r="T971" s="18"/>
    </row>
    <row r="972">
      <c r="G972" s="8"/>
      <c r="K972" s="18"/>
      <c r="R972" s="8"/>
      <c r="T972" s="18"/>
    </row>
    <row r="973">
      <c r="G973" s="8"/>
      <c r="K973" s="18"/>
      <c r="R973" s="8"/>
      <c r="T973" s="18"/>
    </row>
    <row r="974">
      <c r="G974" s="8"/>
      <c r="K974" s="18"/>
      <c r="R974" s="8"/>
      <c r="T974" s="18"/>
    </row>
    <row r="975">
      <c r="G975" s="8"/>
      <c r="K975" s="18"/>
      <c r="R975" s="8"/>
      <c r="T975" s="18"/>
    </row>
    <row r="976">
      <c r="G976" s="8"/>
      <c r="K976" s="18"/>
      <c r="R976" s="8"/>
      <c r="T976" s="18"/>
    </row>
    <row r="977">
      <c r="G977" s="8"/>
      <c r="K977" s="18"/>
      <c r="R977" s="8"/>
      <c r="T977" s="18"/>
    </row>
    <row r="978">
      <c r="G978" s="8"/>
      <c r="K978" s="18"/>
      <c r="R978" s="8"/>
      <c r="T978" s="18"/>
    </row>
    <row r="979">
      <c r="G979" s="8"/>
      <c r="K979" s="18"/>
      <c r="R979" s="8"/>
      <c r="T979" s="18"/>
    </row>
    <row r="980">
      <c r="G980" s="8"/>
      <c r="K980" s="18"/>
      <c r="R980" s="8"/>
      <c r="T980" s="18"/>
    </row>
    <row r="981">
      <c r="G981" s="8"/>
      <c r="K981" s="18"/>
      <c r="R981" s="8"/>
      <c r="T981" s="18"/>
    </row>
    <row r="982">
      <c r="G982" s="8"/>
      <c r="K982" s="18"/>
      <c r="R982" s="8"/>
      <c r="T982" s="18"/>
    </row>
    <row r="983">
      <c r="G983" s="8"/>
      <c r="K983" s="18"/>
      <c r="R983" s="8"/>
      <c r="T983" s="18"/>
    </row>
    <row r="984">
      <c r="G984" s="8"/>
      <c r="K984" s="18"/>
      <c r="R984" s="8"/>
      <c r="T984" s="18"/>
    </row>
    <row r="985">
      <c r="G985" s="8"/>
      <c r="K985" s="18"/>
      <c r="R985" s="8"/>
      <c r="T985" s="18"/>
    </row>
    <row r="986">
      <c r="G986" s="8"/>
      <c r="K986" s="18"/>
      <c r="R986" s="8"/>
      <c r="T986" s="18"/>
    </row>
    <row r="987">
      <c r="G987" s="8"/>
      <c r="K987" s="18"/>
      <c r="R987" s="8"/>
      <c r="T987" s="18"/>
    </row>
    <row r="988">
      <c r="G988" s="8"/>
      <c r="K988" s="18"/>
      <c r="R988" s="8"/>
      <c r="T988" s="18"/>
    </row>
    <row r="989">
      <c r="G989" s="8"/>
      <c r="K989" s="18"/>
      <c r="R989" s="8"/>
      <c r="T989" s="18"/>
    </row>
    <row r="990">
      <c r="G990" s="8"/>
      <c r="K990" s="18"/>
      <c r="R990" s="8"/>
      <c r="T990" s="18"/>
    </row>
    <row r="991">
      <c r="G991" s="8"/>
      <c r="K991" s="18"/>
      <c r="R991" s="8"/>
      <c r="T991" s="18"/>
    </row>
    <row r="992">
      <c r="G992" s="8"/>
      <c r="K992" s="18"/>
      <c r="R992" s="8"/>
      <c r="T992" s="18"/>
    </row>
    <row r="993">
      <c r="G993" s="8"/>
      <c r="K993" s="18"/>
      <c r="R993" s="8"/>
      <c r="T993" s="18"/>
    </row>
    <row r="994">
      <c r="G994" s="8"/>
      <c r="K994" s="18"/>
      <c r="R994" s="8"/>
      <c r="T994" s="18"/>
    </row>
    <row r="995">
      <c r="G995" s="8"/>
      <c r="K995" s="18"/>
      <c r="R995" s="8"/>
      <c r="T995" s="18"/>
    </row>
    <row r="996">
      <c r="G996" s="8"/>
      <c r="K996" s="18"/>
      <c r="R996" s="8"/>
      <c r="T996" s="18"/>
    </row>
    <row r="997">
      <c r="G997" s="8"/>
      <c r="K997" s="18"/>
      <c r="R997" s="8"/>
      <c r="T997" s="18"/>
    </row>
    <row r="998">
      <c r="G998" s="8"/>
      <c r="K998" s="18"/>
      <c r="R998" s="8"/>
      <c r="T998" s="18"/>
    </row>
    <row r="999">
      <c r="G999" s="8"/>
      <c r="K999" s="18"/>
      <c r="R999" s="8"/>
      <c r="T999" s="18"/>
    </row>
    <row r="1000">
      <c r="K1000" s="18"/>
      <c r="T1000" s="18"/>
    </row>
  </sheetData>
  <mergeCells count="3">
    <mergeCell ref="A1:U2"/>
    <mergeCell ref="A3:N4"/>
    <mergeCell ref="P3:U4"/>
  </mergeCells>
  <dataValidations>
    <dataValidation type="list" allowBlank="1" showErrorMessage="1" sqref="M6:M283">
      <formula1>Uitleg!$C$2:$C$5</formula1>
    </dataValidation>
    <dataValidation type="list" allowBlank="1" showErrorMessage="1" sqref="L6:L283">
      <formula1>Uitleg!$B$2:$B$7</formula1>
    </dataValidation>
    <dataValidation type="list" allowBlank="1" showErrorMessage="1" sqref="C6:C283">
      <formula1>Uitleg!$A$2:$A$3</formula1>
    </dataValidation>
    <dataValidation type="list" allowBlank="1" showErrorMessage="1" sqref="E47:E73">
      <formula1>Leveranciers!$A$4:$A$999</formula1>
    </dataValidation>
    <dataValidation type="list" allowBlank="1" showErrorMessage="1" sqref="G6:G999 R6:R999">
      <formula1>'Grondstof soorten'!$C$7:$C$999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3.5"/>
    <col customWidth="1" min="7" max="7" width="24.13"/>
  </cols>
  <sheetData>
    <row r="1">
      <c r="A1" s="1" t="s">
        <v>9</v>
      </c>
    </row>
    <row r="3">
      <c r="A3" s="20" t="s">
        <v>102</v>
      </c>
      <c r="P3" s="21" t="s">
        <v>103</v>
      </c>
    </row>
    <row r="5">
      <c r="A5" s="22" t="s">
        <v>104</v>
      </c>
      <c r="B5" s="22" t="s">
        <v>105</v>
      </c>
      <c r="C5" s="22" t="s">
        <v>106</v>
      </c>
      <c r="D5" s="22" t="s">
        <v>107</v>
      </c>
      <c r="E5" s="22" t="s">
        <v>108</v>
      </c>
      <c r="F5" s="22" t="s">
        <v>312</v>
      </c>
      <c r="G5" s="22" t="s">
        <v>110</v>
      </c>
      <c r="H5" s="22" t="s">
        <v>111</v>
      </c>
      <c r="I5" s="22" t="s">
        <v>112</v>
      </c>
      <c r="J5" s="22" t="s">
        <v>113</v>
      </c>
      <c r="K5" s="36" t="s">
        <v>114</v>
      </c>
      <c r="L5" s="22" t="s">
        <v>115</v>
      </c>
      <c r="M5" s="22" t="s">
        <v>116</v>
      </c>
      <c r="N5" s="22" t="s">
        <v>117</v>
      </c>
      <c r="P5" s="23" t="s">
        <v>118</v>
      </c>
      <c r="Q5" s="23" t="s">
        <v>107</v>
      </c>
      <c r="R5" s="23" t="s">
        <v>110</v>
      </c>
      <c r="S5" s="23" t="s">
        <v>113</v>
      </c>
      <c r="T5" s="37" t="s">
        <v>114</v>
      </c>
      <c r="U5" s="23" t="s">
        <v>111</v>
      </c>
    </row>
    <row r="6">
      <c r="C6" s="2" t="s">
        <v>120</v>
      </c>
      <c r="D6" s="24">
        <v>45019.0</v>
      </c>
      <c r="F6" s="2" t="s">
        <v>313</v>
      </c>
      <c r="G6" s="2" t="s">
        <v>314</v>
      </c>
      <c r="H6" s="2" t="s">
        <v>315</v>
      </c>
      <c r="I6" s="27"/>
      <c r="J6" s="2">
        <v>10.0</v>
      </c>
      <c r="K6" s="17">
        <v>20.0</v>
      </c>
      <c r="L6" s="8"/>
      <c r="M6" s="8"/>
      <c r="P6" s="2" t="s">
        <v>66</v>
      </c>
      <c r="Q6" s="24">
        <v>45020.0</v>
      </c>
      <c r="R6" s="2" t="s">
        <v>314</v>
      </c>
      <c r="S6" s="2">
        <v>10.0</v>
      </c>
      <c r="T6" s="26">
        <f t="shared" ref="T6:T373" si="1">IF(ISBLANK(U6),"",VLOOKUP($U6,$H$6:$K$2000,4,FALSE)/VLOOKUP(U6,$H$6:$K$2000,3,FALSE)*$S6)</f>
        <v>20</v>
      </c>
      <c r="U6" s="2" t="s">
        <v>315</v>
      </c>
    </row>
    <row r="7">
      <c r="B7" s="2" t="s">
        <v>316</v>
      </c>
      <c r="C7" s="2" t="s">
        <v>130</v>
      </c>
      <c r="D7" s="24">
        <v>45028.0</v>
      </c>
      <c r="E7" s="2" t="s">
        <v>204</v>
      </c>
      <c r="F7" s="2" t="s">
        <v>205</v>
      </c>
      <c r="G7" s="2" t="s">
        <v>317</v>
      </c>
      <c r="H7" s="2" t="s">
        <v>318</v>
      </c>
      <c r="I7" s="27">
        <v>45042.0</v>
      </c>
      <c r="J7" s="2">
        <v>8.0</v>
      </c>
      <c r="K7" s="17">
        <v>9.98</v>
      </c>
      <c r="L7" s="8"/>
      <c r="M7" s="8"/>
      <c r="P7" s="2" t="s">
        <v>66</v>
      </c>
      <c r="Q7" s="24">
        <v>45029.0</v>
      </c>
      <c r="R7" s="2" t="s">
        <v>317</v>
      </c>
      <c r="S7" s="2">
        <v>8.0</v>
      </c>
      <c r="T7" s="26">
        <f t="shared" si="1"/>
        <v>9.98</v>
      </c>
      <c r="U7" s="2" t="s">
        <v>318</v>
      </c>
    </row>
    <row r="8">
      <c r="C8" s="2" t="s">
        <v>130</v>
      </c>
      <c r="D8" s="24">
        <v>45028.0</v>
      </c>
      <c r="E8" s="2" t="s">
        <v>204</v>
      </c>
      <c r="F8" s="2" t="s">
        <v>205</v>
      </c>
      <c r="G8" s="2" t="s">
        <v>319</v>
      </c>
      <c r="H8" s="2" t="s">
        <v>320</v>
      </c>
      <c r="I8" s="27"/>
      <c r="J8" s="2">
        <v>1.0</v>
      </c>
      <c r="K8" s="17">
        <v>0.85</v>
      </c>
      <c r="L8" s="8"/>
      <c r="M8" s="8"/>
      <c r="P8" s="2" t="s">
        <v>66</v>
      </c>
      <c r="Q8" s="24">
        <v>45029.0</v>
      </c>
      <c r="R8" s="2" t="s">
        <v>319</v>
      </c>
      <c r="S8" s="2">
        <v>1.0</v>
      </c>
      <c r="T8" s="26">
        <f t="shared" si="1"/>
        <v>0.85</v>
      </c>
      <c r="U8" s="2" t="s">
        <v>320</v>
      </c>
    </row>
    <row r="9">
      <c r="B9" s="2" t="s">
        <v>316</v>
      </c>
      <c r="C9" s="2" t="s">
        <v>130</v>
      </c>
      <c r="D9" s="24">
        <v>45028.0</v>
      </c>
      <c r="E9" s="2" t="s">
        <v>204</v>
      </c>
      <c r="G9" s="2" t="s">
        <v>321</v>
      </c>
      <c r="H9" s="2" t="s">
        <v>322</v>
      </c>
      <c r="I9" s="27"/>
      <c r="J9" s="2">
        <v>2.6</v>
      </c>
      <c r="K9" s="17">
        <v>10.18</v>
      </c>
      <c r="L9" s="8"/>
      <c r="M9" s="8"/>
      <c r="P9" s="2" t="s">
        <v>64</v>
      </c>
      <c r="Q9" s="24">
        <v>45029.0</v>
      </c>
      <c r="R9" s="2" t="s">
        <v>321</v>
      </c>
      <c r="S9" s="2">
        <v>2.6</v>
      </c>
      <c r="T9" s="26">
        <f t="shared" si="1"/>
        <v>10.18</v>
      </c>
      <c r="U9" s="2" t="s">
        <v>322</v>
      </c>
    </row>
    <row r="10">
      <c r="B10" s="2" t="s">
        <v>316</v>
      </c>
      <c r="C10" s="2" t="s">
        <v>130</v>
      </c>
      <c r="D10" s="24">
        <v>45028.0</v>
      </c>
      <c r="E10" s="2" t="s">
        <v>204</v>
      </c>
      <c r="F10" s="2" t="s">
        <v>323</v>
      </c>
      <c r="G10" s="2" t="s">
        <v>324</v>
      </c>
      <c r="H10" s="2" t="s">
        <v>325</v>
      </c>
      <c r="I10" s="27">
        <v>46054.0</v>
      </c>
      <c r="J10" s="2">
        <v>1.0</v>
      </c>
      <c r="K10" s="17">
        <v>1.59</v>
      </c>
      <c r="L10" s="8"/>
      <c r="M10" s="8"/>
      <c r="P10" s="2" t="s">
        <v>64</v>
      </c>
      <c r="Q10" s="24">
        <v>45029.0</v>
      </c>
      <c r="R10" s="2" t="s">
        <v>324</v>
      </c>
      <c r="S10" s="2">
        <v>0.2</v>
      </c>
      <c r="T10" s="26">
        <f t="shared" si="1"/>
        <v>0.318</v>
      </c>
      <c r="U10" s="2" t="s">
        <v>325</v>
      </c>
    </row>
    <row r="11">
      <c r="B11" s="2" t="s">
        <v>326</v>
      </c>
      <c r="C11" s="2" t="s">
        <v>130</v>
      </c>
      <c r="D11" s="24">
        <v>45022.0</v>
      </c>
      <c r="E11" s="2" t="s">
        <v>327</v>
      </c>
      <c r="F11" s="28"/>
      <c r="G11" s="2" t="s">
        <v>328</v>
      </c>
      <c r="H11" s="2" t="s">
        <v>329</v>
      </c>
      <c r="I11" s="25"/>
      <c r="J11" s="2">
        <v>3.0</v>
      </c>
      <c r="K11" s="17">
        <v>46.55</v>
      </c>
      <c r="L11" s="8"/>
      <c r="M11" s="8"/>
      <c r="P11" s="2" t="s">
        <v>66</v>
      </c>
      <c r="Q11" s="24">
        <v>45029.0</v>
      </c>
      <c r="R11" s="2" t="s">
        <v>328</v>
      </c>
      <c r="S11" s="2">
        <v>3.0</v>
      </c>
      <c r="T11" s="26">
        <f t="shared" si="1"/>
        <v>46.55</v>
      </c>
      <c r="U11" s="2" t="s">
        <v>329</v>
      </c>
    </row>
    <row r="12">
      <c r="B12" s="2" t="s">
        <v>330</v>
      </c>
      <c r="C12" s="2" t="s">
        <v>130</v>
      </c>
      <c r="D12" s="24">
        <v>45014.0</v>
      </c>
      <c r="E12" s="2" t="s">
        <v>331</v>
      </c>
      <c r="G12" s="2" t="s">
        <v>332</v>
      </c>
      <c r="H12" s="2">
        <v>240523.0</v>
      </c>
      <c r="I12" s="27">
        <v>45597.0</v>
      </c>
      <c r="J12" s="2">
        <v>0.4</v>
      </c>
      <c r="K12" s="17">
        <v>12.58</v>
      </c>
      <c r="L12" s="8"/>
      <c r="M12" s="8"/>
      <c r="P12" s="2" t="s">
        <v>67</v>
      </c>
      <c r="Q12" s="24">
        <v>45106.0</v>
      </c>
      <c r="R12" s="2" t="s">
        <v>333</v>
      </c>
      <c r="S12" s="2">
        <v>22.5</v>
      </c>
      <c r="T12" s="26">
        <f t="shared" si="1"/>
        <v>105.75</v>
      </c>
      <c r="U12" s="2" t="s">
        <v>334</v>
      </c>
    </row>
    <row r="13">
      <c r="B13" s="2" t="s">
        <v>335</v>
      </c>
      <c r="C13" s="2" t="s">
        <v>130</v>
      </c>
      <c r="D13" s="24">
        <v>45013.0</v>
      </c>
      <c r="E13" s="2" t="s">
        <v>336</v>
      </c>
      <c r="G13" s="2" t="s">
        <v>333</v>
      </c>
      <c r="H13" s="2" t="s">
        <v>334</v>
      </c>
      <c r="I13" s="27"/>
      <c r="J13" s="2">
        <v>22.5</v>
      </c>
      <c r="K13" s="17">
        <f>117.5-K14</f>
        <v>105.75</v>
      </c>
      <c r="L13" s="8"/>
      <c r="M13" s="8"/>
      <c r="P13" s="2" t="s">
        <v>67</v>
      </c>
      <c r="Q13" s="24">
        <v>45106.0</v>
      </c>
      <c r="R13" s="2" t="s">
        <v>333</v>
      </c>
      <c r="S13" s="2">
        <v>2.5</v>
      </c>
      <c r="T13" s="26">
        <f t="shared" si="1"/>
        <v>11.75</v>
      </c>
      <c r="U13" s="2" t="s">
        <v>337</v>
      </c>
    </row>
    <row r="14">
      <c r="B14" s="2" t="s">
        <v>335</v>
      </c>
      <c r="C14" s="2" t="s">
        <v>130</v>
      </c>
      <c r="D14" s="24">
        <v>45013.0</v>
      </c>
      <c r="E14" s="2" t="s">
        <v>336</v>
      </c>
      <c r="F14" s="2" t="s">
        <v>338</v>
      </c>
      <c r="G14" s="2" t="s">
        <v>333</v>
      </c>
      <c r="H14" s="2" t="s">
        <v>337</v>
      </c>
      <c r="I14" s="27"/>
      <c r="J14" s="2">
        <v>2.5</v>
      </c>
      <c r="K14" s="17">
        <f>117.5*J14/(J14+J13)</f>
        <v>11.75</v>
      </c>
      <c r="L14" s="8"/>
      <c r="M14" s="8"/>
      <c r="P14" s="2" t="s">
        <v>68</v>
      </c>
      <c r="Q14" s="24">
        <v>45113.0</v>
      </c>
      <c r="R14" s="2" t="s">
        <v>332</v>
      </c>
      <c r="S14" s="2">
        <v>0.28</v>
      </c>
      <c r="T14" s="26">
        <f t="shared" si="1"/>
        <v>8.806</v>
      </c>
      <c r="U14" s="2">
        <v>240523.0</v>
      </c>
    </row>
    <row r="15">
      <c r="B15" s="2" t="s">
        <v>339</v>
      </c>
      <c r="C15" s="2" t="s">
        <v>130</v>
      </c>
      <c r="D15" s="24">
        <v>45111.0</v>
      </c>
      <c r="E15" s="2" t="s">
        <v>340</v>
      </c>
      <c r="F15" s="2" t="s">
        <v>313</v>
      </c>
      <c r="G15" s="2" t="s">
        <v>314</v>
      </c>
      <c r="H15" s="2" t="s">
        <v>341</v>
      </c>
      <c r="I15" s="29"/>
      <c r="J15" s="2">
        <v>10.0</v>
      </c>
      <c r="K15" s="17">
        <v>26.9</v>
      </c>
      <c r="L15" s="8"/>
      <c r="M15" s="8"/>
      <c r="P15" s="2" t="s">
        <v>68</v>
      </c>
      <c r="Q15" s="24">
        <v>45113.0</v>
      </c>
      <c r="R15" s="2" t="s">
        <v>314</v>
      </c>
      <c r="S15" s="2">
        <v>10.0</v>
      </c>
      <c r="T15" s="26">
        <f t="shared" si="1"/>
        <v>26.9</v>
      </c>
      <c r="U15" s="2" t="s">
        <v>341</v>
      </c>
    </row>
    <row r="16">
      <c r="C16" s="8"/>
      <c r="D16" s="24">
        <v>45247.0</v>
      </c>
      <c r="E16" s="2" t="s">
        <v>204</v>
      </c>
      <c r="F16" s="2" t="s">
        <v>205</v>
      </c>
      <c r="G16" s="2" t="s">
        <v>319</v>
      </c>
      <c r="H16" s="2" t="s">
        <v>342</v>
      </c>
      <c r="I16" s="27"/>
      <c r="J16" s="2">
        <v>30.0</v>
      </c>
      <c r="K16" s="17">
        <f>25.189*1.06</f>
        <v>26.70034</v>
      </c>
      <c r="L16" s="8"/>
      <c r="M16" s="8"/>
      <c r="P16" s="2" t="s">
        <v>74</v>
      </c>
      <c r="Q16" s="24">
        <v>45259.0</v>
      </c>
      <c r="R16" s="2" t="s">
        <v>319</v>
      </c>
      <c r="S16" s="2">
        <v>22.0</v>
      </c>
      <c r="T16" s="26">
        <f t="shared" si="1"/>
        <v>19.58024933</v>
      </c>
      <c r="U16" s="2" t="s">
        <v>342</v>
      </c>
    </row>
    <row r="17">
      <c r="C17" s="8"/>
      <c r="D17" s="24">
        <v>45230.0</v>
      </c>
      <c r="E17" s="2" t="s">
        <v>204</v>
      </c>
      <c r="F17" s="2" t="s">
        <v>343</v>
      </c>
      <c r="G17" s="2" t="s">
        <v>344</v>
      </c>
      <c r="H17" s="2">
        <v>23293.0</v>
      </c>
      <c r="I17" s="29">
        <v>45950.0</v>
      </c>
      <c r="J17" s="2">
        <v>32.0</v>
      </c>
      <c r="K17" s="17">
        <v>191.36</v>
      </c>
      <c r="L17" s="8"/>
      <c r="M17" s="8"/>
      <c r="P17" s="2" t="s">
        <v>71</v>
      </c>
      <c r="Q17" s="24">
        <v>45231.0</v>
      </c>
      <c r="R17" s="2" t="s">
        <v>344</v>
      </c>
      <c r="S17" s="2">
        <v>32.0</v>
      </c>
      <c r="T17" s="26">
        <f t="shared" si="1"/>
        <v>191.36</v>
      </c>
      <c r="U17" s="2">
        <v>23293.0</v>
      </c>
    </row>
    <row r="18">
      <c r="C18" s="28"/>
      <c r="D18" s="28"/>
      <c r="E18" s="2" t="s">
        <v>336</v>
      </c>
      <c r="F18" s="2" t="s">
        <v>345</v>
      </c>
      <c r="G18" s="2" t="s">
        <v>346</v>
      </c>
      <c r="H18" s="2" t="s">
        <v>347</v>
      </c>
      <c r="I18" s="31">
        <v>45849.0</v>
      </c>
      <c r="J18" s="2">
        <v>0.05</v>
      </c>
      <c r="K18" s="17">
        <v>62.0</v>
      </c>
      <c r="L18" s="8"/>
      <c r="M18" s="8"/>
      <c r="P18" s="2" t="s">
        <v>76</v>
      </c>
      <c r="Q18" s="24">
        <v>45322.0</v>
      </c>
      <c r="R18" s="2" t="s">
        <v>321</v>
      </c>
      <c r="S18" s="2">
        <v>1.5</v>
      </c>
      <c r="T18" s="26">
        <f t="shared" si="1"/>
        <v>7.17</v>
      </c>
      <c r="U18" s="2">
        <v>8.50501021E8</v>
      </c>
    </row>
    <row r="19">
      <c r="C19" s="28"/>
      <c r="D19" s="28"/>
      <c r="E19" s="2" t="s">
        <v>336</v>
      </c>
      <c r="F19" s="2" t="s">
        <v>348</v>
      </c>
      <c r="G19" s="2" t="s">
        <v>349</v>
      </c>
      <c r="H19" s="2" t="s">
        <v>350</v>
      </c>
      <c r="I19" s="31">
        <v>46117.0</v>
      </c>
      <c r="J19" s="2">
        <v>0.4</v>
      </c>
      <c r="K19" s="17">
        <v>32.0</v>
      </c>
      <c r="L19" s="8"/>
      <c r="M19" s="8"/>
      <c r="P19" s="2" t="s">
        <v>76</v>
      </c>
      <c r="Q19" s="24">
        <v>45322.0</v>
      </c>
      <c r="R19" s="2" t="s">
        <v>324</v>
      </c>
      <c r="S19" s="2">
        <v>0.25</v>
      </c>
      <c r="T19" s="26">
        <f t="shared" si="1"/>
        <v>0.3975</v>
      </c>
      <c r="U19" s="2" t="s">
        <v>325</v>
      </c>
    </row>
    <row r="20">
      <c r="C20" s="28"/>
      <c r="D20" s="24">
        <v>45322.0</v>
      </c>
      <c r="E20" s="2" t="s">
        <v>199</v>
      </c>
      <c r="F20" s="2" t="s">
        <v>351</v>
      </c>
      <c r="G20" s="2" t="s">
        <v>321</v>
      </c>
      <c r="H20" s="2">
        <v>8.50501021E8</v>
      </c>
      <c r="J20" s="2">
        <v>1.5</v>
      </c>
      <c r="K20" s="18">
        <f>2.39*3</f>
        <v>7.17</v>
      </c>
      <c r="L20" s="8"/>
      <c r="M20" s="8"/>
      <c r="P20" s="2" t="s">
        <v>76</v>
      </c>
      <c r="Q20" s="24">
        <v>45322.0</v>
      </c>
      <c r="R20" s="2" t="s">
        <v>352</v>
      </c>
      <c r="S20" s="2">
        <v>0.01</v>
      </c>
      <c r="T20" s="26">
        <f t="shared" si="1"/>
        <v>4</v>
      </c>
      <c r="U20" s="2" t="s">
        <v>353</v>
      </c>
    </row>
    <row r="21">
      <c r="C21" s="28"/>
      <c r="D21" s="39">
        <v>45321.0</v>
      </c>
      <c r="E21" s="40" t="s">
        <v>354</v>
      </c>
      <c r="F21" s="41"/>
      <c r="G21" s="40" t="s">
        <v>352</v>
      </c>
      <c r="H21" s="40" t="s">
        <v>353</v>
      </c>
      <c r="I21" s="42"/>
      <c r="J21" s="40">
        <v>0.01</v>
      </c>
      <c r="K21" s="43">
        <v>4.0</v>
      </c>
      <c r="L21" s="8"/>
      <c r="M21" s="8"/>
      <c r="P21" s="2" t="s">
        <v>75</v>
      </c>
      <c r="Q21" s="24">
        <v>45287.0</v>
      </c>
      <c r="R21" s="2" t="s">
        <v>355</v>
      </c>
      <c r="S21" s="2">
        <v>4.6</v>
      </c>
      <c r="T21" s="26">
        <f t="shared" si="1"/>
        <v>8.02</v>
      </c>
      <c r="U21" s="2">
        <v>23758.0</v>
      </c>
    </row>
    <row r="22">
      <c r="C22" s="28"/>
      <c r="D22" s="24">
        <v>45280.0</v>
      </c>
      <c r="E22" s="2" t="s">
        <v>204</v>
      </c>
      <c r="F22" s="2" t="s">
        <v>343</v>
      </c>
      <c r="G22" s="2" t="s">
        <v>355</v>
      </c>
      <c r="H22" s="2">
        <v>23758.0</v>
      </c>
      <c r="J22" s="2">
        <v>4.6</v>
      </c>
      <c r="K22" s="17">
        <v>8.02</v>
      </c>
      <c r="L22" s="8"/>
      <c r="M22" s="8"/>
      <c r="P22" s="2" t="s">
        <v>75</v>
      </c>
      <c r="Q22" s="24">
        <v>45287.0</v>
      </c>
      <c r="R22" s="2" t="s">
        <v>356</v>
      </c>
      <c r="S22" s="2">
        <v>0.05</v>
      </c>
      <c r="T22" s="26">
        <f t="shared" si="1"/>
        <v>41.45</v>
      </c>
      <c r="U22" s="2" t="s">
        <v>357</v>
      </c>
    </row>
    <row r="23">
      <c r="C23" s="28"/>
      <c r="D23" s="24">
        <v>45371.0</v>
      </c>
      <c r="E23" s="2" t="s">
        <v>336</v>
      </c>
      <c r="F23" s="2" t="s">
        <v>345</v>
      </c>
      <c r="G23" s="2" t="s">
        <v>356</v>
      </c>
      <c r="H23" s="2" t="s">
        <v>357</v>
      </c>
      <c r="I23" s="31">
        <v>45984.0</v>
      </c>
      <c r="J23" s="2">
        <v>0.05</v>
      </c>
      <c r="K23" s="17">
        <v>41.45</v>
      </c>
      <c r="L23" s="8"/>
      <c r="M23" s="8"/>
      <c r="P23" s="2" t="s">
        <v>78</v>
      </c>
      <c r="Q23" s="24">
        <v>45040.0</v>
      </c>
      <c r="R23" s="2" t="s">
        <v>358</v>
      </c>
      <c r="S23" s="2">
        <v>20.0</v>
      </c>
      <c r="T23" s="26">
        <f t="shared" si="1"/>
        <v>50</v>
      </c>
      <c r="U23" s="2" t="s">
        <v>359</v>
      </c>
    </row>
    <row r="24">
      <c r="C24" s="28"/>
      <c r="D24" s="24">
        <v>45385.0</v>
      </c>
      <c r="E24" s="2" t="s">
        <v>360</v>
      </c>
      <c r="F24" s="2" t="s">
        <v>360</v>
      </c>
      <c r="G24" s="2" t="s">
        <v>358</v>
      </c>
      <c r="H24" s="2" t="s">
        <v>359</v>
      </c>
      <c r="I24" s="2" t="s">
        <v>161</v>
      </c>
      <c r="J24" s="2">
        <v>20.0</v>
      </c>
      <c r="K24" s="17">
        <v>50.0</v>
      </c>
      <c r="L24" s="8"/>
      <c r="M24" s="8"/>
      <c r="N24" s="2" t="s">
        <v>361</v>
      </c>
      <c r="P24" s="2" t="s">
        <v>79</v>
      </c>
      <c r="Q24" s="24">
        <v>45437.0</v>
      </c>
      <c r="R24" s="2" t="s">
        <v>346</v>
      </c>
      <c r="S24" s="2">
        <v>0.05</v>
      </c>
      <c r="T24" s="26">
        <f t="shared" si="1"/>
        <v>62</v>
      </c>
      <c r="U24" s="2" t="s">
        <v>347</v>
      </c>
    </row>
    <row r="25">
      <c r="C25" s="2" t="s">
        <v>130</v>
      </c>
      <c r="D25" s="24">
        <v>45441.0</v>
      </c>
      <c r="E25" s="2" t="s">
        <v>199</v>
      </c>
      <c r="F25" s="28"/>
      <c r="G25" s="2" t="s">
        <v>362</v>
      </c>
      <c r="H25" s="2">
        <v>2.9052024E7</v>
      </c>
      <c r="I25" s="2" t="s">
        <v>161</v>
      </c>
      <c r="J25" s="8">
        <f>4.81+2.72</f>
        <v>7.53</v>
      </c>
      <c r="K25" s="18">
        <f>16.79+9.49-1.67-0.95</f>
        <v>23.66</v>
      </c>
      <c r="L25" s="8"/>
      <c r="M25" s="8"/>
      <c r="P25" s="2" t="s">
        <v>79</v>
      </c>
      <c r="Q25" s="24">
        <v>45437.0</v>
      </c>
      <c r="R25" s="2" t="s">
        <v>349</v>
      </c>
      <c r="S25" s="2">
        <v>0.4</v>
      </c>
      <c r="T25" s="26">
        <f t="shared" si="1"/>
        <v>32</v>
      </c>
      <c r="U25" s="2" t="s">
        <v>350</v>
      </c>
    </row>
    <row r="26">
      <c r="C26" s="28"/>
      <c r="D26" s="24">
        <v>45449.0</v>
      </c>
      <c r="E26" s="2" t="s">
        <v>204</v>
      </c>
      <c r="F26" s="28"/>
      <c r="G26" s="2" t="s">
        <v>319</v>
      </c>
      <c r="H26" s="2" t="s">
        <v>363</v>
      </c>
      <c r="J26" s="2">
        <v>20.0</v>
      </c>
      <c r="K26" s="17">
        <v>17.8</v>
      </c>
      <c r="L26" s="8"/>
      <c r="M26" s="8"/>
      <c r="P26" s="2" t="s">
        <v>80</v>
      </c>
      <c r="Q26" s="24">
        <v>45441.0</v>
      </c>
      <c r="R26" s="2" t="s">
        <v>362</v>
      </c>
      <c r="S26" s="8">
        <f>4.81+2.72</f>
        <v>7.53</v>
      </c>
      <c r="T26" s="26">
        <f t="shared" si="1"/>
        <v>23.66</v>
      </c>
      <c r="U26" s="2">
        <v>2.9052024E7</v>
      </c>
    </row>
    <row r="27">
      <c r="C27" s="28"/>
      <c r="D27" s="24">
        <v>45478.0</v>
      </c>
      <c r="E27" s="2" t="s">
        <v>364</v>
      </c>
      <c r="F27" s="2" t="s">
        <v>365</v>
      </c>
      <c r="G27" s="2" t="s">
        <v>366</v>
      </c>
      <c r="H27" s="24">
        <v>45478.0</v>
      </c>
      <c r="I27" s="2" t="s">
        <v>161</v>
      </c>
      <c r="J27" s="2">
        <v>37.0</v>
      </c>
      <c r="K27" s="17">
        <v>210.0</v>
      </c>
      <c r="L27" s="8"/>
      <c r="M27" s="8"/>
      <c r="P27" s="2" t="s">
        <v>80</v>
      </c>
      <c r="Q27" s="24">
        <v>45441.0</v>
      </c>
      <c r="R27" s="2" t="s">
        <v>324</v>
      </c>
      <c r="S27" s="2">
        <v>0.25</v>
      </c>
      <c r="T27" s="26">
        <f t="shared" si="1"/>
        <v>0.3975</v>
      </c>
      <c r="U27" s="2" t="s">
        <v>325</v>
      </c>
    </row>
    <row r="28">
      <c r="C28" s="28"/>
      <c r="D28" s="24">
        <v>45461.0</v>
      </c>
      <c r="E28" s="2" t="s">
        <v>367</v>
      </c>
      <c r="F28" s="2" t="s">
        <v>368</v>
      </c>
      <c r="G28" s="2" t="s">
        <v>369</v>
      </c>
      <c r="H28" s="2" t="s">
        <v>370</v>
      </c>
      <c r="I28" s="29">
        <v>46143.0</v>
      </c>
      <c r="J28" s="2">
        <v>0.1</v>
      </c>
      <c r="K28" s="17">
        <v>19.07</v>
      </c>
      <c r="L28" s="8"/>
      <c r="M28" s="8"/>
      <c r="P28" s="2" t="s">
        <v>81</v>
      </c>
      <c r="Q28" s="24">
        <v>45461.0</v>
      </c>
      <c r="R28" s="2" t="s">
        <v>319</v>
      </c>
      <c r="S28" s="2">
        <v>20.0</v>
      </c>
      <c r="T28" s="26">
        <f t="shared" si="1"/>
        <v>17.8</v>
      </c>
      <c r="U28" s="2" t="s">
        <v>363</v>
      </c>
    </row>
    <row r="29">
      <c r="C29" s="28"/>
      <c r="D29" s="24">
        <v>45553.0</v>
      </c>
      <c r="E29" s="2" t="s">
        <v>1</v>
      </c>
      <c r="F29" s="28"/>
      <c r="G29" s="2" t="s">
        <v>371</v>
      </c>
      <c r="H29" s="2" t="s">
        <v>372</v>
      </c>
      <c r="I29" s="2" t="s">
        <v>161</v>
      </c>
      <c r="J29" s="2">
        <v>5.0</v>
      </c>
      <c r="K29" s="17">
        <v>50.0</v>
      </c>
      <c r="L29" s="8"/>
      <c r="M29" s="8"/>
      <c r="N29" s="2" t="s">
        <v>373</v>
      </c>
      <c r="P29" s="2" t="s">
        <v>81</v>
      </c>
      <c r="Q29" s="24">
        <v>45483.0</v>
      </c>
      <c r="R29" s="2" t="s">
        <v>366</v>
      </c>
      <c r="S29" s="2">
        <v>37.0</v>
      </c>
      <c r="T29" s="26">
        <f t="shared" si="1"/>
        <v>210</v>
      </c>
      <c r="U29" s="24">
        <v>45478.0</v>
      </c>
    </row>
    <row r="30">
      <c r="C30" s="28"/>
      <c r="D30" s="24">
        <v>45609.0</v>
      </c>
      <c r="E30" s="2" t="s">
        <v>374</v>
      </c>
      <c r="F30" s="2" t="s">
        <v>375</v>
      </c>
      <c r="G30" s="2" t="s">
        <v>376</v>
      </c>
      <c r="H30" s="2">
        <v>4101.0</v>
      </c>
      <c r="I30" s="29">
        <v>45897.0</v>
      </c>
      <c r="J30" s="2">
        <v>6.0</v>
      </c>
      <c r="K30" s="17">
        <v>53.24</v>
      </c>
      <c r="L30" s="8"/>
      <c r="M30" s="8"/>
      <c r="P30" s="2" t="s">
        <v>81</v>
      </c>
      <c r="Q30" s="24">
        <v>45483.0</v>
      </c>
      <c r="R30" s="2" t="s">
        <v>369</v>
      </c>
      <c r="S30" s="2">
        <v>0.05</v>
      </c>
      <c r="T30" s="26">
        <f t="shared" si="1"/>
        <v>9.535</v>
      </c>
      <c r="U30" s="2" t="s">
        <v>370</v>
      </c>
    </row>
    <row r="31">
      <c r="C31" s="28"/>
      <c r="D31" s="24">
        <v>45654.0</v>
      </c>
      <c r="E31" s="2" t="s">
        <v>193</v>
      </c>
      <c r="F31" s="28"/>
      <c r="G31" s="2" t="s">
        <v>377</v>
      </c>
      <c r="H31" s="24">
        <v>45633.0</v>
      </c>
      <c r="J31" s="2">
        <v>0.11</v>
      </c>
      <c r="K31" s="17">
        <v>4.4</v>
      </c>
      <c r="L31" s="8"/>
      <c r="M31" s="8"/>
      <c r="P31" s="2" t="s">
        <v>83</v>
      </c>
      <c r="Q31" s="24">
        <v>45553.0</v>
      </c>
      <c r="R31" s="2" t="s">
        <v>371</v>
      </c>
      <c r="S31" s="2">
        <v>5.0</v>
      </c>
      <c r="T31" s="26">
        <f t="shared" si="1"/>
        <v>50</v>
      </c>
      <c r="U31" s="2" t="s">
        <v>372</v>
      </c>
    </row>
    <row r="32">
      <c r="C32" s="28"/>
      <c r="D32" s="24">
        <v>45654.0</v>
      </c>
      <c r="E32" s="2" t="s">
        <v>193</v>
      </c>
      <c r="F32" s="2" t="s">
        <v>378</v>
      </c>
      <c r="G32" s="2" t="s">
        <v>377</v>
      </c>
      <c r="H32" s="31">
        <v>45991.0</v>
      </c>
      <c r="I32" s="31">
        <v>45991.0</v>
      </c>
      <c r="J32" s="2">
        <v>0.04</v>
      </c>
      <c r="K32" s="17">
        <v>2.0</v>
      </c>
      <c r="L32" s="8"/>
      <c r="M32" s="8"/>
      <c r="P32" s="2" t="s">
        <v>84</v>
      </c>
      <c r="Q32" s="24">
        <v>45609.0</v>
      </c>
      <c r="R32" s="2" t="s">
        <v>376</v>
      </c>
      <c r="S32" s="2">
        <v>4.0</v>
      </c>
      <c r="T32" s="26">
        <f t="shared" si="1"/>
        <v>35.49333333</v>
      </c>
      <c r="U32" s="2">
        <v>4101.0</v>
      </c>
    </row>
    <row r="33">
      <c r="C33" s="8"/>
      <c r="D33" s="24">
        <v>45654.0</v>
      </c>
      <c r="E33" s="2" t="s">
        <v>193</v>
      </c>
      <c r="F33" s="2" t="s">
        <v>379</v>
      </c>
      <c r="G33" s="2" t="s">
        <v>380</v>
      </c>
      <c r="H33" s="2">
        <v>240226.0</v>
      </c>
      <c r="I33" s="29">
        <v>47177.0</v>
      </c>
      <c r="J33" s="2">
        <v>0.5</v>
      </c>
      <c r="K33" s="17">
        <v>10.0</v>
      </c>
      <c r="L33" s="8"/>
      <c r="M33" s="8"/>
      <c r="P33" s="2" t="s">
        <v>85</v>
      </c>
      <c r="Q33" s="24">
        <v>45662.0</v>
      </c>
      <c r="R33" s="2" t="s">
        <v>377</v>
      </c>
      <c r="S33" s="2">
        <v>0.11</v>
      </c>
      <c r="T33" s="26">
        <f t="shared" si="1"/>
        <v>4.4</v>
      </c>
      <c r="U33" s="24">
        <v>45633.0</v>
      </c>
    </row>
    <row r="34">
      <c r="C34" s="8"/>
      <c r="D34" s="24">
        <v>45654.0</v>
      </c>
      <c r="E34" s="2" t="s">
        <v>193</v>
      </c>
      <c r="F34" s="2" t="s">
        <v>381</v>
      </c>
      <c r="G34" s="2" t="s">
        <v>382</v>
      </c>
      <c r="H34" s="2" t="s">
        <v>383</v>
      </c>
      <c r="J34" s="2">
        <v>0.2</v>
      </c>
      <c r="K34" s="17">
        <v>4.0</v>
      </c>
      <c r="L34" s="8"/>
      <c r="M34" s="8"/>
      <c r="P34" s="2" t="s">
        <v>85</v>
      </c>
      <c r="Q34" s="24">
        <v>45662.0</v>
      </c>
      <c r="R34" s="2" t="s">
        <v>377</v>
      </c>
      <c r="S34" s="2">
        <v>0.04</v>
      </c>
      <c r="T34" s="26">
        <f t="shared" si="1"/>
        <v>2</v>
      </c>
      <c r="U34" s="31">
        <v>45991.0</v>
      </c>
    </row>
    <row r="35">
      <c r="C35" s="8"/>
      <c r="F35" s="2" t="s">
        <v>384</v>
      </c>
      <c r="G35" s="2" t="s">
        <v>385</v>
      </c>
      <c r="H35" s="2" t="s">
        <v>386</v>
      </c>
      <c r="K35" s="18"/>
      <c r="L35" s="8"/>
      <c r="M35" s="8"/>
      <c r="P35" s="2" t="s">
        <v>85</v>
      </c>
      <c r="Q35" s="24">
        <v>45662.0</v>
      </c>
      <c r="R35" s="2" t="s">
        <v>380</v>
      </c>
      <c r="S35" s="2">
        <v>0.5</v>
      </c>
      <c r="T35" s="26">
        <f t="shared" si="1"/>
        <v>10</v>
      </c>
      <c r="U35" s="2">
        <v>240226.0</v>
      </c>
    </row>
    <row r="36">
      <c r="C36" s="8"/>
      <c r="D36" s="29">
        <v>45320.0</v>
      </c>
      <c r="E36" s="2" t="s">
        <v>204</v>
      </c>
      <c r="F36" s="2" t="s">
        <v>323</v>
      </c>
      <c r="G36" s="2" t="s">
        <v>324</v>
      </c>
      <c r="H36" s="2" t="s">
        <v>387</v>
      </c>
      <c r="I36" s="31">
        <v>46740.0</v>
      </c>
      <c r="J36" s="2">
        <v>1.0</v>
      </c>
      <c r="K36" s="17">
        <v>1.69</v>
      </c>
      <c r="L36" s="8"/>
      <c r="M36" s="8"/>
      <c r="P36" s="2" t="s">
        <v>85</v>
      </c>
      <c r="Q36" s="24">
        <v>45662.0</v>
      </c>
      <c r="R36" s="2" t="s">
        <v>382</v>
      </c>
      <c r="S36" s="2">
        <v>0.2</v>
      </c>
      <c r="T36" s="26">
        <f t="shared" si="1"/>
        <v>4</v>
      </c>
      <c r="U36" s="2" t="s">
        <v>383</v>
      </c>
    </row>
    <row r="37">
      <c r="C37" s="8"/>
      <c r="D37" s="29">
        <v>45320.0</v>
      </c>
      <c r="E37" s="2" t="s">
        <v>204</v>
      </c>
      <c r="F37" s="2" t="s">
        <v>343</v>
      </c>
      <c r="G37" s="2" t="s">
        <v>388</v>
      </c>
      <c r="H37" s="2" t="s">
        <v>389</v>
      </c>
      <c r="I37" s="29">
        <v>45727.0</v>
      </c>
      <c r="J37" s="2">
        <v>12.0</v>
      </c>
      <c r="K37" s="17">
        <v>27.06</v>
      </c>
      <c r="L37" s="8"/>
      <c r="M37" s="8"/>
      <c r="P37" s="2" t="s">
        <v>86</v>
      </c>
      <c r="Q37" s="29">
        <v>45686.0</v>
      </c>
      <c r="R37" s="2" t="s">
        <v>324</v>
      </c>
      <c r="S37" s="2">
        <v>0.3</v>
      </c>
      <c r="T37" s="26">
        <f t="shared" si="1"/>
        <v>0.477</v>
      </c>
      <c r="U37" s="2" t="s">
        <v>325</v>
      </c>
    </row>
    <row r="38">
      <c r="C38" s="8"/>
      <c r="D38" s="29">
        <v>45320.0</v>
      </c>
      <c r="E38" s="2" t="s">
        <v>204</v>
      </c>
      <c r="F38" s="2" t="s">
        <v>343</v>
      </c>
      <c r="G38" s="2" t="s">
        <v>390</v>
      </c>
      <c r="H38" s="2" t="s">
        <v>391</v>
      </c>
      <c r="I38" s="29">
        <v>45693.0</v>
      </c>
      <c r="J38" s="2">
        <v>12.0</v>
      </c>
      <c r="K38" s="17">
        <v>18.04</v>
      </c>
      <c r="L38" s="8"/>
      <c r="M38" s="8"/>
      <c r="P38" s="2" t="s">
        <v>86</v>
      </c>
      <c r="Q38" s="29">
        <v>45686.0</v>
      </c>
      <c r="R38" s="2" t="s">
        <v>324</v>
      </c>
      <c r="S38" s="2">
        <v>0.03</v>
      </c>
      <c r="T38" s="26">
        <f t="shared" si="1"/>
        <v>0.0507</v>
      </c>
      <c r="U38" s="2" t="s">
        <v>387</v>
      </c>
    </row>
    <row r="39">
      <c r="C39" s="8"/>
      <c r="D39" s="29">
        <v>45320.0</v>
      </c>
      <c r="E39" s="2" t="s">
        <v>204</v>
      </c>
      <c r="F39" s="2" t="s">
        <v>392</v>
      </c>
      <c r="G39" s="2" t="s">
        <v>321</v>
      </c>
      <c r="H39" s="2">
        <v>3.895002E8</v>
      </c>
      <c r="J39" s="2">
        <v>0.9</v>
      </c>
      <c r="K39" s="17">
        <v>9.81</v>
      </c>
      <c r="L39" s="8"/>
      <c r="M39" s="8"/>
      <c r="P39" s="2" t="s">
        <v>86</v>
      </c>
      <c r="Q39" s="29">
        <v>45686.0</v>
      </c>
      <c r="R39" s="2" t="s">
        <v>388</v>
      </c>
      <c r="S39" s="2">
        <v>12.0</v>
      </c>
      <c r="T39" s="26">
        <f t="shared" si="1"/>
        <v>27.06</v>
      </c>
      <c r="U39" s="2" t="s">
        <v>389</v>
      </c>
    </row>
    <row r="40">
      <c r="C40" s="8"/>
      <c r="D40" s="31">
        <v>45707.0</v>
      </c>
      <c r="E40" s="2" t="s">
        <v>393</v>
      </c>
      <c r="G40" s="2" t="s">
        <v>394</v>
      </c>
      <c r="H40" s="2">
        <v>230125.0</v>
      </c>
      <c r="I40" s="44">
        <v>45861.0</v>
      </c>
      <c r="J40" s="2">
        <v>1.0</v>
      </c>
      <c r="K40" s="17">
        <v>47.0</v>
      </c>
      <c r="L40" s="8"/>
      <c r="M40" s="8"/>
      <c r="P40" s="2" t="s">
        <v>86</v>
      </c>
      <c r="Q40" s="29">
        <v>45686.0</v>
      </c>
      <c r="R40" s="2" t="s">
        <v>390</v>
      </c>
      <c r="S40" s="2">
        <v>12.0</v>
      </c>
      <c r="T40" s="26">
        <f t="shared" si="1"/>
        <v>18.04</v>
      </c>
      <c r="U40" s="2" t="s">
        <v>391</v>
      </c>
    </row>
    <row r="41">
      <c r="C41" s="8"/>
      <c r="D41" s="29">
        <v>45713.0</v>
      </c>
      <c r="E41" s="45" t="s">
        <v>395</v>
      </c>
      <c r="G41" s="2" t="s">
        <v>396</v>
      </c>
      <c r="H41" s="2" t="s">
        <v>397</v>
      </c>
      <c r="I41" s="25">
        <v>46235.0</v>
      </c>
      <c r="J41" s="2">
        <v>0.048</v>
      </c>
      <c r="K41" s="17">
        <v>30.8</v>
      </c>
      <c r="L41" s="8"/>
      <c r="M41" s="8"/>
      <c r="P41" s="2" t="s">
        <v>86</v>
      </c>
      <c r="Q41" s="29">
        <v>45686.0</v>
      </c>
      <c r="R41" s="2" t="s">
        <v>398</v>
      </c>
      <c r="S41" s="2">
        <v>0.9</v>
      </c>
      <c r="T41" s="26">
        <f t="shared" si="1"/>
        <v>9.81</v>
      </c>
      <c r="U41" s="2">
        <v>3.895002E8</v>
      </c>
    </row>
    <row r="42">
      <c r="C42" s="8"/>
      <c r="D42" s="29">
        <v>45707.0</v>
      </c>
      <c r="E42" s="2" t="s">
        <v>399</v>
      </c>
      <c r="G42" s="2" t="s">
        <v>328</v>
      </c>
      <c r="H42" s="2" t="s">
        <v>400</v>
      </c>
      <c r="I42" s="29">
        <v>45965.0</v>
      </c>
      <c r="J42" s="2">
        <v>1.05</v>
      </c>
      <c r="K42" s="17">
        <v>30.29</v>
      </c>
      <c r="L42" s="8"/>
      <c r="M42" s="8"/>
      <c r="P42" s="2" t="s">
        <v>88</v>
      </c>
      <c r="Q42" s="31">
        <v>45707.0</v>
      </c>
      <c r="R42" s="2" t="s">
        <v>401</v>
      </c>
      <c r="S42" s="2">
        <v>180.0</v>
      </c>
      <c r="T42" s="26">
        <f t="shared" si="1"/>
        <v>126</v>
      </c>
      <c r="U42" s="2" t="s">
        <v>402</v>
      </c>
    </row>
    <row r="43">
      <c r="C43" s="8"/>
      <c r="D43" s="31">
        <v>45956.0</v>
      </c>
      <c r="E43" s="2" t="s">
        <v>403</v>
      </c>
      <c r="G43" s="2" t="s">
        <v>401</v>
      </c>
      <c r="H43" s="2" t="s">
        <v>402</v>
      </c>
      <c r="I43" s="31">
        <v>45773.0</v>
      </c>
      <c r="J43" s="2">
        <v>180.0</v>
      </c>
      <c r="K43" s="17">
        <v>126.0</v>
      </c>
      <c r="L43" s="8"/>
      <c r="M43" s="8"/>
      <c r="P43" s="2" t="s">
        <v>89</v>
      </c>
      <c r="Q43" s="31">
        <v>45753.0</v>
      </c>
      <c r="R43" s="2" t="s">
        <v>328</v>
      </c>
      <c r="S43" s="2">
        <v>1.05</v>
      </c>
      <c r="T43" s="26">
        <f t="shared" si="1"/>
        <v>30.29</v>
      </c>
      <c r="U43" s="2" t="s">
        <v>400</v>
      </c>
    </row>
    <row r="44">
      <c r="C44" s="8"/>
      <c r="D44" s="31">
        <v>45763.0</v>
      </c>
      <c r="E44" s="2" t="s">
        <v>404</v>
      </c>
      <c r="G44" s="2" t="s">
        <v>405</v>
      </c>
      <c r="H44" s="2" t="s">
        <v>406</v>
      </c>
      <c r="I44" s="2" t="s">
        <v>407</v>
      </c>
      <c r="J44" s="2">
        <v>2.36</v>
      </c>
      <c r="K44" s="17">
        <v>11.33</v>
      </c>
      <c r="L44" s="8"/>
      <c r="M44" s="8"/>
      <c r="P44" s="2" t="s">
        <v>89</v>
      </c>
      <c r="Q44" s="31">
        <v>45753.0</v>
      </c>
      <c r="R44" s="2" t="s">
        <v>394</v>
      </c>
      <c r="S44" s="2">
        <v>1.0</v>
      </c>
      <c r="T44" s="26">
        <f t="shared" si="1"/>
        <v>47</v>
      </c>
      <c r="U44" s="2">
        <v>230125.0</v>
      </c>
    </row>
    <row r="45">
      <c r="C45" s="8"/>
      <c r="D45" s="31">
        <v>45763.0</v>
      </c>
      <c r="E45" s="2" t="s">
        <v>404</v>
      </c>
      <c r="G45" s="2" t="s">
        <v>408</v>
      </c>
      <c r="H45" s="2" t="s">
        <v>409</v>
      </c>
      <c r="I45" s="2" t="s">
        <v>407</v>
      </c>
      <c r="J45" s="2">
        <v>0.84</v>
      </c>
      <c r="K45" s="17">
        <v>16.38</v>
      </c>
      <c r="L45" s="8"/>
      <c r="M45" s="8"/>
      <c r="P45" s="2" t="s">
        <v>89</v>
      </c>
      <c r="Q45" s="31">
        <v>45753.0</v>
      </c>
      <c r="R45" s="2" t="s">
        <v>396</v>
      </c>
      <c r="S45" s="2">
        <v>0.048</v>
      </c>
      <c r="T45" s="26">
        <f t="shared" si="1"/>
        <v>30.8</v>
      </c>
      <c r="U45" s="2" t="s">
        <v>397</v>
      </c>
    </row>
    <row r="46">
      <c r="C46" s="8"/>
      <c r="D46" s="31">
        <v>45799.0</v>
      </c>
      <c r="E46" s="2" t="s">
        <v>410</v>
      </c>
      <c r="G46" s="2" t="s">
        <v>411</v>
      </c>
      <c r="H46" s="31">
        <v>46381.0</v>
      </c>
      <c r="I46" s="31">
        <v>46381.0</v>
      </c>
      <c r="J46" s="2">
        <v>4.0</v>
      </c>
      <c r="K46" s="17">
        <v>28.0</v>
      </c>
      <c r="L46" s="8"/>
      <c r="M46" s="8"/>
      <c r="P46" s="2" t="s">
        <v>89</v>
      </c>
      <c r="Q46" s="31">
        <v>45753.0</v>
      </c>
      <c r="R46" s="2" t="s">
        <v>369</v>
      </c>
      <c r="S46" s="2">
        <v>0.025</v>
      </c>
      <c r="T46" s="26">
        <f t="shared" si="1"/>
        <v>4.7675</v>
      </c>
      <c r="U46" s="2" t="s">
        <v>370</v>
      </c>
    </row>
    <row r="47">
      <c r="C47" s="8"/>
      <c r="D47" s="31">
        <v>45832.0</v>
      </c>
      <c r="E47" s="2" t="s">
        <v>412</v>
      </c>
      <c r="G47" s="2" t="s">
        <v>413</v>
      </c>
      <c r="H47" s="46">
        <v>45712.0</v>
      </c>
      <c r="I47" s="2" t="s">
        <v>407</v>
      </c>
      <c r="J47" s="2">
        <v>40.0</v>
      </c>
      <c r="K47" s="17">
        <v>160.31</v>
      </c>
      <c r="L47" s="8"/>
      <c r="M47" s="8"/>
      <c r="P47" s="2" t="s">
        <v>91</v>
      </c>
      <c r="Q47" s="31">
        <v>45763.0</v>
      </c>
      <c r="R47" s="2" t="s">
        <v>405</v>
      </c>
      <c r="S47" s="2">
        <v>2.36</v>
      </c>
      <c r="T47" s="26">
        <f t="shared" si="1"/>
        <v>11.33</v>
      </c>
      <c r="U47" s="2" t="s">
        <v>406</v>
      </c>
    </row>
    <row r="48">
      <c r="C48" s="8"/>
      <c r="D48" s="31">
        <v>45847.0</v>
      </c>
      <c r="E48" s="2" t="s">
        <v>199</v>
      </c>
      <c r="G48" s="2" t="s">
        <v>414</v>
      </c>
      <c r="H48" s="2" t="s">
        <v>415</v>
      </c>
      <c r="I48" s="2" t="s">
        <v>407</v>
      </c>
      <c r="J48" s="2">
        <v>18.7</v>
      </c>
      <c r="K48" s="17">
        <v>47.52</v>
      </c>
      <c r="L48" s="8"/>
      <c r="M48" s="8"/>
      <c r="P48" s="2" t="s">
        <v>91</v>
      </c>
      <c r="Q48" s="31">
        <v>45763.0</v>
      </c>
      <c r="R48" s="2" t="s">
        <v>408</v>
      </c>
      <c r="S48" s="2">
        <v>0.84</v>
      </c>
      <c r="T48" s="26">
        <f t="shared" si="1"/>
        <v>16.38</v>
      </c>
      <c r="U48" s="2" t="s">
        <v>409</v>
      </c>
    </row>
    <row r="49">
      <c r="C49" s="8"/>
      <c r="D49" s="31">
        <v>45847.0</v>
      </c>
      <c r="F49" s="2" t="s">
        <v>384</v>
      </c>
      <c r="G49" s="2" t="s">
        <v>371</v>
      </c>
      <c r="H49" s="2" t="s">
        <v>416</v>
      </c>
      <c r="J49" s="2">
        <v>2.0</v>
      </c>
      <c r="K49" s="17">
        <v>20.0</v>
      </c>
      <c r="L49" s="8"/>
      <c r="M49" s="8"/>
      <c r="P49" s="2" t="s">
        <v>91</v>
      </c>
      <c r="Q49" s="31">
        <v>45805.0</v>
      </c>
      <c r="R49" s="2" t="s">
        <v>411</v>
      </c>
      <c r="S49" s="2">
        <v>4.0</v>
      </c>
      <c r="T49" s="26">
        <f t="shared" si="1"/>
        <v>28</v>
      </c>
      <c r="U49" s="31">
        <v>46381.0</v>
      </c>
    </row>
    <row r="50">
      <c r="C50" s="8"/>
      <c r="D50" s="31">
        <v>45965.0</v>
      </c>
      <c r="E50" s="2" t="s">
        <v>417</v>
      </c>
      <c r="F50" s="2" t="s">
        <v>418</v>
      </c>
      <c r="G50" s="2" t="s">
        <v>321</v>
      </c>
      <c r="H50" s="2">
        <v>130773.0</v>
      </c>
      <c r="I50" s="2" t="s">
        <v>407</v>
      </c>
      <c r="J50" s="8">
        <f>54*3</f>
        <v>162</v>
      </c>
      <c r="K50" s="17">
        <v>51.68</v>
      </c>
      <c r="L50" s="8"/>
      <c r="M50" s="8"/>
      <c r="P50" s="2" t="s">
        <v>92</v>
      </c>
      <c r="Q50" s="29">
        <v>45847.0</v>
      </c>
      <c r="R50" s="2" t="s">
        <v>324</v>
      </c>
      <c r="S50" s="2">
        <v>0.285</v>
      </c>
      <c r="T50" s="26">
        <f t="shared" si="1"/>
        <v>0.48165</v>
      </c>
      <c r="U50" s="2" t="s">
        <v>387</v>
      </c>
    </row>
    <row r="51">
      <c r="C51" s="8"/>
      <c r="D51" s="31">
        <v>45965.0</v>
      </c>
      <c r="E51" s="2" t="s">
        <v>417</v>
      </c>
      <c r="F51" s="2" t="s">
        <v>343</v>
      </c>
      <c r="G51" s="2" t="s">
        <v>419</v>
      </c>
      <c r="H51" s="2">
        <v>18525.0</v>
      </c>
      <c r="I51" s="31">
        <v>46584.0</v>
      </c>
      <c r="J51" s="2">
        <v>50.0</v>
      </c>
      <c r="K51" s="17">
        <v>211.55</v>
      </c>
      <c r="L51" s="8"/>
      <c r="M51" s="8"/>
      <c r="P51" s="2" t="s">
        <v>92</v>
      </c>
      <c r="Q51" s="29">
        <v>45847.0</v>
      </c>
      <c r="R51" s="2" t="s">
        <v>413</v>
      </c>
      <c r="S51" s="2">
        <v>40.0</v>
      </c>
      <c r="T51" s="26">
        <f t="shared" si="1"/>
        <v>160.31</v>
      </c>
      <c r="U51" s="46">
        <v>45712.0</v>
      </c>
    </row>
    <row r="52">
      <c r="C52" s="8"/>
      <c r="D52" s="31">
        <v>46007.0</v>
      </c>
      <c r="E52" s="2" t="s">
        <v>55</v>
      </c>
      <c r="G52" s="2" t="s">
        <v>420</v>
      </c>
      <c r="H52" s="2" t="s">
        <v>421</v>
      </c>
      <c r="I52" s="31">
        <v>46874.0</v>
      </c>
      <c r="J52" s="2">
        <v>0.025</v>
      </c>
      <c r="K52" s="17">
        <v>7.3</v>
      </c>
      <c r="L52" s="8"/>
      <c r="M52" s="8"/>
      <c r="P52" s="2" t="s">
        <v>93</v>
      </c>
      <c r="Q52" s="29">
        <v>45847.0</v>
      </c>
      <c r="R52" s="2" t="s">
        <v>414</v>
      </c>
      <c r="S52" s="2">
        <v>18.7</v>
      </c>
      <c r="T52" s="26">
        <f t="shared" si="1"/>
        <v>47.52</v>
      </c>
      <c r="U52" s="2" t="s">
        <v>415</v>
      </c>
    </row>
    <row r="53">
      <c r="C53" s="8"/>
      <c r="D53" s="31">
        <v>46007.0</v>
      </c>
      <c r="E53" s="2" t="s">
        <v>55</v>
      </c>
      <c r="G53" s="2" t="s">
        <v>422</v>
      </c>
      <c r="H53" s="2" t="s">
        <v>423</v>
      </c>
      <c r="I53" s="31">
        <v>46600.0</v>
      </c>
      <c r="J53" s="2">
        <v>0.075</v>
      </c>
      <c r="K53" s="17">
        <v>4.35</v>
      </c>
      <c r="L53" s="8"/>
      <c r="M53" s="8"/>
      <c r="P53" s="2" t="s">
        <v>93</v>
      </c>
      <c r="Q53" s="29">
        <v>45847.0</v>
      </c>
      <c r="R53" s="2" t="s">
        <v>371</v>
      </c>
      <c r="S53" s="2">
        <v>2.0</v>
      </c>
      <c r="T53" s="26">
        <f t="shared" si="1"/>
        <v>20</v>
      </c>
      <c r="U53" s="2" t="s">
        <v>416</v>
      </c>
    </row>
    <row r="54">
      <c r="C54" s="8"/>
      <c r="D54" s="31">
        <v>46007.0</v>
      </c>
      <c r="E54" s="2" t="s">
        <v>55</v>
      </c>
      <c r="G54" s="2" t="s">
        <v>424</v>
      </c>
      <c r="H54" s="2" t="s">
        <v>425</v>
      </c>
      <c r="I54" s="29">
        <v>46804.0</v>
      </c>
      <c r="J54" s="2">
        <v>0.1</v>
      </c>
      <c r="K54" s="17">
        <v>7.39</v>
      </c>
      <c r="L54" s="8"/>
      <c r="M54" s="8"/>
      <c r="P54" s="2" t="s">
        <v>96</v>
      </c>
      <c r="Q54" s="31">
        <v>45966.0</v>
      </c>
      <c r="R54" s="2" t="s">
        <v>419</v>
      </c>
      <c r="S54" s="2">
        <v>50.0</v>
      </c>
      <c r="T54" s="26">
        <f t="shared" si="1"/>
        <v>211.55</v>
      </c>
      <c r="U54" s="2">
        <v>18525.0</v>
      </c>
    </row>
    <row r="55">
      <c r="C55" s="8"/>
      <c r="D55" s="31">
        <v>45994.0</v>
      </c>
      <c r="E55" s="2" t="s">
        <v>1</v>
      </c>
      <c r="F55" s="2" t="s">
        <v>426</v>
      </c>
      <c r="G55" s="2" t="s">
        <v>427</v>
      </c>
      <c r="H55" s="2" t="s">
        <v>428</v>
      </c>
      <c r="I55" s="31">
        <v>46056.0</v>
      </c>
      <c r="J55" s="2">
        <v>1.0</v>
      </c>
      <c r="K55" s="17">
        <v>30.0</v>
      </c>
      <c r="L55" s="8"/>
      <c r="M55" s="8"/>
      <c r="P55" s="2" t="s">
        <v>96</v>
      </c>
      <c r="Q55" s="31">
        <v>45966.0</v>
      </c>
      <c r="R55" s="2" t="s">
        <v>321</v>
      </c>
      <c r="S55" s="2">
        <v>162.0</v>
      </c>
      <c r="T55" s="26">
        <f t="shared" si="1"/>
        <v>51.68</v>
      </c>
      <c r="U55" s="2">
        <v>130773.0</v>
      </c>
    </row>
    <row r="56">
      <c r="C56" s="8"/>
      <c r="D56" s="29">
        <v>46041.0</v>
      </c>
      <c r="E56" s="2" t="s">
        <v>55</v>
      </c>
      <c r="G56" s="2" t="s">
        <v>429</v>
      </c>
      <c r="H56" s="2" t="s">
        <v>430</v>
      </c>
      <c r="I56" s="29">
        <v>46497.0</v>
      </c>
      <c r="J56" s="2">
        <v>0.075</v>
      </c>
      <c r="K56" s="17">
        <v>6.05</v>
      </c>
      <c r="L56" s="8"/>
      <c r="M56" s="8"/>
      <c r="P56" s="2" t="s">
        <v>98</v>
      </c>
      <c r="Q56" s="31">
        <v>46020.0</v>
      </c>
      <c r="R56" s="2" t="s">
        <v>420</v>
      </c>
      <c r="S56" s="2">
        <v>0.025</v>
      </c>
      <c r="T56" s="26">
        <f t="shared" si="1"/>
        <v>7.3</v>
      </c>
      <c r="U56" s="2" t="s">
        <v>421</v>
      </c>
    </row>
    <row r="57">
      <c r="C57" s="8"/>
      <c r="D57" s="29">
        <v>46041.0</v>
      </c>
      <c r="E57" s="2" t="s">
        <v>55</v>
      </c>
      <c r="G57" s="2" t="s">
        <v>422</v>
      </c>
      <c r="H57" s="2" t="s">
        <v>431</v>
      </c>
      <c r="I57" s="29">
        <v>46935.0</v>
      </c>
      <c r="J57" s="2">
        <v>0.25</v>
      </c>
      <c r="K57" s="17">
        <v>12.15</v>
      </c>
      <c r="L57" s="8"/>
      <c r="M57" s="8"/>
      <c r="P57" s="2" t="s">
        <v>98</v>
      </c>
      <c r="Q57" s="31">
        <v>46020.0</v>
      </c>
      <c r="R57" s="2" t="s">
        <v>424</v>
      </c>
      <c r="S57" s="2">
        <v>0.1</v>
      </c>
      <c r="T57" s="26">
        <f t="shared" si="1"/>
        <v>7.39</v>
      </c>
      <c r="U57" s="2" t="s">
        <v>425</v>
      </c>
    </row>
    <row r="58">
      <c r="C58" s="8"/>
      <c r="D58" s="29">
        <v>46041.0</v>
      </c>
      <c r="E58" s="2" t="s">
        <v>55</v>
      </c>
      <c r="G58" s="2" t="s">
        <v>420</v>
      </c>
      <c r="H58" s="2" t="s">
        <v>421</v>
      </c>
      <c r="I58" s="29">
        <v>46874.0</v>
      </c>
      <c r="J58" s="2">
        <v>0.05</v>
      </c>
      <c r="K58" s="17">
        <v>17.52</v>
      </c>
      <c r="L58" s="8"/>
      <c r="M58" s="8"/>
      <c r="P58" s="2" t="s">
        <v>98</v>
      </c>
      <c r="Q58" s="31">
        <v>46020.0</v>
      </c>
      <c r="R58" s="2" t="s">
        <v>422</v>
      </c>
      <c r="S58" s="2">
        <v>0.075</v>
      </c>
      <c r="T58" s="26">
        <f t="shared" si="1"/>
        <v>4.35</v>
      </c>
      <c r="U58" s="2" t="s">
        <v>423</v>
      </c>
    </row>
    <row r="59">
      <c r="C59" s="8"/>
      <c r="D59" s="29">
        <v>46041.0</v>
      </c>
      <c r="E59" s="2" t="s">
        <v>55</v>
      </c>
      <c r="G59" s="2" t="s">
        <v>432</v>
      </c>
      <c r="H59" s="2" t="s">
        <v>433</v>
      </c>
      <c r="I59" s="29">
        <v>46905.0</v>
      </c>
      <c r="J59" s="2">
        <v>0.24</v>
      </c>
      <c r="K59" s="17">
        <v>23.98</v>
      </c>
      <c r="L59" s="8"/>
      <c r="M59" s="8"/>
      <c r="P59" s="2" t="s">
        <v>219</v>
      </c>
      <c r="Q59" s="31">
        <v>46043.0</v>
      </c>
      <c r="R59" s="2" t="s">
        <v>427</v>
      </c>
      <c r="S59" s="2">
        <v>1.0</v>
      </c>
      <c r="T59" s="26">
        <f t="shared" si="1"/>
        <v>30</v>
      </c>
      <c r="U59" s="2" t="s">
        <v>428</v>
      </c>
    </row>
    <row r="60">
      <c r="C60" s="8"/>
      <c r="E60" s="8"/>
      <c r="G60" s="2"/>
      <c r="K60" s="18"/>
      <c r="L60" s="8"/>
      <c r="M60" s="8"/>
      <c r="P60" s="2" t="s">
        <v>98</v>
      </c>
      <c r="Q60" s="31">
        <v>46043.0</v>
      </c>
      <c r="R60" s="2" t="s">
        <v>420</v>
      </c>
      <c r="S60" s="2">
        <v>0.05</v>
      </c>
      <c r="T60" s="26">
        <f t="shared" si="1"/>
        <v>14.6</v>
      </c>
      <c r="U60" s="2" t="s">
        <v>421</v>
      </c>
    </row>
    <row r="61">
      <c r="C61" s="8"/>
      <c r="E61" s="8"/>
      <c r="G61" s="2"/>
      <c r="K61" s="18"/>
      <c r="L61" s="8"/>
      <c r="M61" s="8"/>
      <c r="P61" s="2" t="s">
        <v>98</v>
      </c>
      <c r="Q61" s="31">
        <v>46043.0</v>
      </c>
      <c r="R61" s="2" t="s">
        <v>422</v>
      </c>
      <c r="S61" s="2">
        <v>0.075</v>
      </c>
      <c r="T61" s="26">
        <f t="shared" si="1"/>
        <v>3.645</v>
      </c>
      <c r="U61" s="2" t="s">
        <v>431</v>
      </c>
    </row>
    <row r="62">
      <c r="C62" s="8"/>
      <c r="E62" s="8"/>
      <c r="G62" s="2"/>
      <c r="K62" s="18"/>
      <c r="L62" s="8"/>
      <c r="M62" s="8"/>
      <c r="P62" s="2" t="s">
        <v>220</v>
      </c>
      <c r="Q62" s="31">
        <v>46078.0</v>
      </c>
      <c r="R62" s="2" t="s">
        <v>324</v>
      </c>
      <c r="S62" s="2">
        <v>0.32</v>
      </c>
      <c r="T62" s="26">
        <f t="shared" si="1"/>
        <v>0.5408</v>
      </c>
      <c r="U62" s="2" t="s">
        <v>387</v>
      </c>
    </row>
    <row r="63">
      <c r="C63" s="8"/>
      <c r="E63" s="8"/>
      <c r="G63" s="2"/>
      <c r="K63" s="18"/>
      <c r="L63" s="8"/>
      <c r="M63" s="8"/>
      <c r="R63" s="8"/>
      <c r="T63" s="26" t="str">
        <f t="shared" si="1"/>
        <v/>
      </c>
    </row>
    <row r="64">
      <c r="C64" s="8"/>
      <c r="E64" s="8"/>
      <c r="G64" s="2"/>
      <c r="K64" s="18"/>
      <c r="L64" s="8"/>
      <c r="M64" s="8"/>
      <c r="R64" s="8"/>
      <c r="T64" s="26" t="str">
        <f t="shared" si="1"/>
        <v/>
      </c>
    </row>
    <row r="65">
      <c r="C65" s="8"/>
      <c r="E65" s="8"/>
      <c r="G65" s="2"/>
      <c r="K65" s="18"/>
      <c r="L65" s="8"/>
      <c r="M65" s="8"/>
      <c r="R65" s="8"/>
      <c r="T65" s="26" t="str">
        <f t="shared" si="1"/>
        <v/>
      </c>
    </row>
    <row r="66">
      <c r="C66" s="8"/>
      <c r="E66" s="8"/>
      <c r="G66" s="2"/>
      <c r="K66" s="18"/>
      <c r="L66" s="8"/>
      <c r="M66" s="8"/>
      <c r="R66" s="8"/>
      <c r="T66" s="26" t="str">
        <f t="shared" si="1"/>
        <v/>
      </c>
    </row>
    <row r="67">
      <c r="C67" s="8"/>
      <c r="E67" s="8"/>
      <c r="G67" s="2"/>
      <c r="K67" s="18"/>
      <c r="L67" s="8"/>
      <c r="M67" s="8"/>
      <c r="R67" s="8"/>
      <c r="T67" s="26" t="str">
        <f t="shared" si="1"/>
        <v/>
      </c>
    </row>
    <row r="68">
      <c r="C68" s="8"/>
      <c r="E68" s="8"/>
      <c r="G68" s="2"/>
      <c r="K68" s="18"/>
      <c r="L68" s="8"/>
      <c r="M68" s="8"/>
      <c r="R68" s="8"/>
      <c r="T68" s="26" t="str">
        <f t="shared" si="1"/>
        <v/>
      </c>
    </row>
    <row r="69">
      <c r="C69" s="8"/>
      <c r="E69" s="8"/>
      <c r="G69" s="2"/>
      <c r="K69" s="18"/>
      <c r="L69" s="8"/>
      <c r="M69" s="8"/>
      <c r="R69" s="8"/>
      <c r="T69" s="26" t="str">
        <f t="shared" si="1"/>
        <v/>
      </c>
    </row>
    <row r="70">
      <c r="C70" s="8"/>
      <c r="E70" s="8"/>
      <c r="G70" s="2"/>
      <c r="K70" s="18"/>
      <c r="L70" s="8"/>
      <c r="M70" s="8"/>
      <c r="R70" s="8"/>
      <c r="T70" s="26" t="str">
        <f t="shared" si="1"/>
        <v/>
      </c>
    </row>
    <row r="71">
      <c r="C71" s="8"/>
      <c r="E71" s="8"/>
      <c r="G71" s="2"/>
      <c r="K71" s="18"/>
      <c r="L71" s="8"/>
      <c r="M71" s="8"/>
      <c r="R71" s="8"/>
      <c r="T71" s="26" t="str">
        <f t="shared" si="1"/>
        <v/>
      </c>
    </row>
    <row r="72">
      <c r="C72" s="8"/>
      <c r="E72" s="8"/>
      <c r="G72" s="2"/>
      <c r="K72" s="18"/>
      <c r="L72" s="8"/>
      <c r="M72" s="8"/>
      <c r="R72" s="8"/>
      <c r="T72" s="26" t="str">
        <f t="shared" si="1"/>
        <v/>
      </c>
    </row>
    <row r="73">
      <c r="C73" s="8"/>
      <c r="E73" s="8"/>
      <c r="G73" s="2"/>
      <c r="K73" s="18"/>
      <c r="L73" s="8"/>
      <c r="M73" s="8"/>
      <c r="R73" s="8"/>
      <c r="T73" s="26" t="str">
        <f t="shared" si="1"/>
        <v/>
      </c>
    </row>
    <row r="74">
      <c r="C74" s="8"/>
      <c r="E74" s="8"/>
      <c r="G74" s="2"/>
      <c r="K74" s="18"/>
      <c r="L74" s="8"/>
      <c r="M74" s="8"/>
      <c r="R74" s="8"/>
      <c r="T74" s="26" t="str">
        <f t="shared" si="1"/>
        <v/>
      </c>
    </row>
    <row r="75">
      <c r="C75" s="8"/>
      <c r="E75" s="8"/>
      <c r="G75" s="2"/>
      <c r="K75" s="18"/>
      <c r="L75" s="8"/>
      <c r="M75" s="8"/>
      <c r="R75" s="8"/>
      <c r="T75" s="26" t="str">
        <f t="shared" si="1"/>
        <v/>
      </c>
    </row>
    <row r="76">
      <c r="C76" s="8"/>
      <c r="E76" s="8"/>
      <c r="G76" s="2"/>
      <c r="K76" s="18"/>
      <c r="L76" s="8"/>
      <c r="M76" s="8"/>
      <c r="R76" s="8"/>
      <c r="T76" s="26" t="str">
        <f t="shared" si="1"/>
        <v/>
      </c>
    </row>
    <row r="77">
      <c r="C77" s="8"/>
      <c r="E77" s="8"/>
      <c r="G77" s="2"/>
      <c r="K77" s="18"/>
      <c r="L77" s="8"/>
      <c r="M77" s="8"/>
      <c r="R77" s="8"/>
      <c r="T77" s="26" t="str">
        <f t="shared" si="1"/>
        <v/>
      </c>
    </row>
    <row r="78">
      <c r="C78" s="8"/>
      <c r="E78" s="8"/>
      <c r="G78" s="2"/>
      <c r="K78" s="18"/>
      <c r="L78" s="8"/>
      <c r="M78" s="8"/>
      <c r="R78" s="8"/>
      <c r="T78" s="26" t="str">
        <f t="shared" si="1"/>
        <v/>
      </c>
    </row>
    <row r="79">
      <c r="C79" s="8"/>
      <c r="E79" s="8"/>
      <c r="G79" s="2"/>
      <c r="K79" s="18"/>
      <c r="L79" s="8"/>
      <c r="M79" s="8"/>
      <c r="R79" s="8"/>
      <c r="T79" s="26" t="str">
        <f t="shared" si="1"/>
        <v/>
      </c>
    </row>
    <row r="80">
      <c r="C80" s="8"/>
      <c r="G80" s="2"/>
      <c r="K80" s="18"/>
      <c r="L80" s="8"/>
      <c r="M80" s="8"/>
      <c r="R80" s="8"/>
      <c r="T80" s="26" t="str">
        <f t="shared" si="1"/>
        <v/>
      </c>
    </row>
    <row r="81">
      <c r="C81" s="8"/>
      <c r="G81" s="2"/>
      <c r="K81" s="18"/>
      <c r="L81" s="8"/>
      <c r="M81" s="8"/>
      <c r="R81" s="8"/>
      <c r="T81" s="26" t="str">
        <f t="shared" si="1"/>
        <v/>
      </c>
    </row>
    <row r="82">
      <c r="C82" s="8"/>
      <c r="G82" s="2"/>
      <c r="K82" s="18"/>
      <c r="L82" s="8"/>
      <c r="M82" s="8"/>
      <c r="R82" s="8"/>
      <c r="T82" s="26" t="str">
        <f t="shared" si="1"/>
        <v/>
      </c>
    </row>
    <row r="83">
      <c r="C83" s="8"/>
      <c r="G83" s="2"/>
      <c r="K83" s="18"/>
      <c r="L83" s="8"/>
      <c r="M83" s="8"/>
      <c r="R83" s="8"/>
      <c r="T83" s="26" t="str">
        <f t="shared" si="1"/>
        <v/>
      </c>
    </row>
    <row r="84">
      <c r="C84" s="8"/>
      <c r="G84" s="2"/>
      <c r="K84" s="18"/>
      <c r="L84" s="8"/>
      <c r="M84" s="8"/>
      <c r="R84" s="8"/>
      <c r="T84" s="26" t="str">
        <f t="shared" si="1"/>
        <v/>
      </c>
    </row>
    <row r="85">
      <c r="C85" s="8"/>
      <c r="G85" s="2"/>
      <c r="K85" s="18"/>
      <c r="L85" s="8"/>
      <c r="M85" s="8"/>
      <c r="R85" s="8"/>
      <c r="T85" s="26" t="str">
        <f t="shared" si="1"/>
        <v/>
      </c>
    </row>
    <row r="86">
      <c r="C86" s="8"/>
      <c r="G86" s="2"/>
      <c r="K86" s="18"/>
      <c r="L86" s="8"/>
      <c r="M86" s="8"/>
      <c r="R86" s="8"/>
      <c r="T86" s="26" t="str">
        <f t="shared" si="1"/>
        <v/>
      </c>
    </row>
    <row r="87">
      <c r="C87" s="8"/>
      <c r="G87" s="2"/>
      <c r="K87" s="18"/>
      <c r="L87" s="8"/>
      <c r="M87" s="8"/>
      <c r="R87" s="8"/>
      <c r="T87" s="26" t="str">
        <f t="shared" si="1"/>
        <v/>
      </c>
    </row>
    <row r="88">
      <c r="C88" s="8"/>
      <c r="G88" s="2"/>
      <c r="K88" s="18"/>
      <c r="L88" s="8"/>
      <c r="M88" s="8"/>
      <c r="R88" s="8"/>
      <c r="T88" s="26" t="str">
        <f t="shared" si="1"/>
        <v/>
      </c>
    </row>
    <row r="89">
      <c r="C89" s="8"/>
      <c r="G89" s="2"/>
      <c r="K89" s="18"/>
      <c r="L89" s="8"/>
      <c r="M89" s="8"/>
      <c r="R89" s="8"/>
      <c r="T89" s="26" t="str">
        <f t="shared" si="1"/>
        <v/>
      </c>
    </row>
    <row r="90">
      <c r="C90" s="8"/>
      <c r="G90" s="2"/>
      <c r="K90" s="18"/>
      <c r="L90" s="8"/>
      <c r="M90" s="8"/>
      <c r="R90" s="8"/>
      <c r="T90" s="26" t="str">
        <f t="shared" si="1"/>
        <v/>
      </c>
    </row>
    <row r="91">
      <c r="C91" s="8"/>
      <c r="G91" s="2"/>
      <c r="K91" s="18"/>
      <c r="L91" s="8"/>
      <c r="M91" s="8"/>
      <c r="R91" s="8"/>
      <c r="T91" s="26" t="str">
        <f t="shared" si="1"/>
        <v/>
      </c>
    </row>
    <row r="92">
      <c r="C92" s="8"/>
      <c r="G92" s="2"/>
      <c r="K92" s="18"/>
      <c r="L92" s="8"/>
      <c r="M92" s="8"/>
      <c r="R92" s="8"/>
      <c r="T92" s="26" t="str">
        <f t="shared" si="1"/>
        <v/>
      </c>
    </row>
    <row r="93">
      <c r="C93" s="8"/>
      <c r="G93" s="2"/>
      <c r="K93" s="18"/>
      <c r="L93" s="8"/>
      <c r="M93" s="8"/>
      <c r="R93" s="8"/>
      <c r="T93" s="26" t="str">
        <f t="shared" si="1"/>
        <v/>
      </c>
    </row>
    <row r="94">
      <c r="C94" s="8"/>
      <c r="G94" s="2"/>
      <c r="K94" s="18"/>
      <c r="L94" s="8"/>
      <c r="M94" s="8"/>
      <c r="R94" s="8"/>
      <c r="T94" s="26" t="str">
        <f t="shared" si="1"/>
        <v/>
      </c>
    </row>
    <row r="95">
      <c r="C95" s="8"/>
      <c r="G95" s="2"/>
      <c r="K95" s="18"/>
      <c r="L95" s="8"/>
      <c r="M95" s="8"/>
      <c r="R95" s="8"/>
      <c r="T95" s="26" t="str">
        <f t="shared" si="1"/>
        <v/>
      </c>
    </row>
    <row r="96">
      <c r="C96" s="8"/>
      <c r="G96" s="2"/>
      <c r="K96" s="18"/>
      <c r="L96" s="8"/>
      <c r="M96" s="8"/>
      <c r="R96" s="8"/>
      <c r="T96" s="26" t="str">
        <f t="shared" si="1"/>
        <v/>
      </c>
    </row>
    <row r="97">
      <c r="C97" s="8"/>
      <c r="G97" s="2"/>
      <c r="K97" s="18"/>
      <c r="L97" s="8"/>
      <c r="M97" s="8"/>
      <c r="R97" s="8"/>
      <c r="T97" s="26" t="str">
        <f t="shared" si="1"/>
        <v/>
      </c>
    </row>
    <row r="98">
      <c r="C98" s="8"/>
      <c r="G98" s="2"/>
      <c r="K98" s="18"/>
      <c r="L98" s="8"/>
      <c r="M98" s="8"/>
      <c r="R98" s="8"/>
      <c r="T98" s="26" t="str">
        <f t="shared" si="1"/>
        <v/>
      </c>
    </row>
    <row r="99">
      <c r="C99" s="8"/>
      <c r="G99" s="2"/>
      <c r="K99" s="18"/>
      <c r="L99" s="8"/>
      <c r="M99" s="8"/>
      <c r="R99" s="8"/>
      <c r="T99" s="26" t="str">
        <f t="shared" si="1"/>
        <v/>
      </c>
    </row>
    <row r="100">
      <c r="C100" s="8"/>
      <c r="G100" s="2"/>
      <c r="K100" s="18"/>
      <c r="L100" s="8"/>
      <c r="M100" s="8"/>
      <c r="R100" s="8"/>
      <c r="T100" s="26" t="str">
        <f t="shared" si="1"/>
        <v/>
      </c>
    </row>
    <row r="101">
      <c r="C101" s="8"/>
      <c r="G101" s="2"/>
      <c r="K101" s="18"/>
      <c r="L101" s="8"/>
      <c r="M101" s="8"/>
      <c r="R101" s="8"/>
      <c r="T101" s="26" t="str">
        <f t="shared" si="1"/>
        <v/>
      </c>
    </row>
    <row r="102">
      <c r="C102" s="8"/>
      <c r="G102" s="2"/>
      <c r="K102" s="18"/>
      <c r="L102" s="8"/>
      <c r="M102" s="8"/>
      <c r="R102" s="8"/>
      <c r="T102" s="26" t="str">
        <f t="shared" si="1"/>
        <v/>
      </c>
    </row>
    <row r="103">
      <c r="C103" s="8"/>
      <c r="G103" s="2"/>
      <c r="K103" s="18"/>
      <c r="L103" s="8"/>
      <c r="M103" s="8"/>
      <c r="R103" s="8"/>
      <c r="T103" s="26" t="str">
        <f t="shared" si="1"/>
        <v/>
      </c>
    </row>
    <row r="104">
      <c r="C104" s="8"/>
      <c r="G104" s="2"/>
      <c r="K104" s="18"/>
      <c r="L104" s="8"/>
      <c r="M104" s="8"/>
      <c r="R104" s="8"/>
      <c r="T104" s="26" t="str">
        <f t="shared" si="1"/>
        <v/>
      </c>
    </row>
    <row r="105">
      <c r="C105" s="8"/>
      <c r="G105" s="2"/>
      <c r="K105" s="18"/>
      <c r="L105" s="8"/>
      <c r="M105" s="8"/>
      <c r="R105" s="8"/>
      <c r="T105" s="26" t="str">
        <f t="shared" si="1"/>
        <v/>
      </c>
    </row>
    <row r="106">
      <c r="C106" s="8"/>
      <c r="G106" s="2"/>
      <c r="K106" s="18"/>
      <c r="L106" s="8"/>
      <c r="M106" s="8"/>
      <c r="R106" s="8"/>
      <c r="T106" s="26" t="str">
        <f t="shared" si="1"/>
        <v/>
      </c>
    </row>
    <row r="107">
      <c r="C107" s="8"/>
      <c r="G107" s="2"/>
      <c r="K107" s="18"/>
      <c r="L107" s="8"/>
      <c r="M107" s="8"/>
      <c r="R107" s="8"/>
      <c r="T107" s="26" t="str">
        <f t="shared" si="1"/>
        <v/>
      </c>
    </row>
    <row r="108">
      <c r="C108" s="8"/>
      <c r="G108" s="2"/>
      <c r="K108" s="18"/>
      <c r="L108" s="8"/>
      <c r="M108" s="8"/>
      <c r="R108" s="8"/>
      <c r="T108" s="26" t="str">
        <f t="shared" si="1"/>
        <v/>
      </c>
    </row>
    <row r="109">
      <c r="C109" s="8"/>
      <c r="G109" s="2"/>
      <c r="K109" s="18"/>
      <c r="L109" s="8"/>
      <c r="M109" s="8"/>
      <c r="R109" s="8"/>
      <c r="T109" s="26" t="str">
        <f t="shared" si="1"/>
        <v/>
      </c>
    </row>
    <row r="110">
      <c r="C110" s="8"/>
      <c r="G110" s="2"/>
      <c r="K110" s="18"/>
      <c r="L110" s="8"/>
      <c r="M110" s="8"/>
      <c r="R110" s="8"/>
      <c r="T110" s="26" t="str">
        <f t="shared" si="1"/>
        <v/>
      </c>
    </row>
    <row r="111">
      <c r="C111" s="8"/>
      <c r="G111" s="2"/>
      <c r="K111" s="18"/>
      <c r="L111" s="8"/>
      <c r="M111" s="8"/>
      <c r="R111" s="8"/>
      <c r="T111" s="26" t="str">
        <f t="shared" si="1"/>
        <v/>
      </c>
    </row>
    <row r="112">
      <c r="C112" s="8"/>
      <c r="G112" s="2"/>
      <c r="K112" s="18"/>
      <c r="L112" s="8"/>
      <c r="M112" s="8"/>
      <c r="R112" s="8"/>
      <c r="T112" s="26" t="str">
        <f t="shared" si="1"/>
        <v/>
      </c>
    </row>
    <row r="113">
      <c r="C113" s="8"/>
      <c r="G113" s="2"/>
      <c r="K113" s="18"/>
      <c r="L113" s="8"/>
      <c r="M113" s="8"/>
      <c r="R113" s="8"/>
      <c r="T113" s="26" t="str">
        <f t="shared" si="1"/>
        <v/>
      </c>
    </row>
    <row r="114">
      <c r="C114" s="8"/>
      <c r="G114" s="2"/>
      <c r="K114" s="18"/>
      <c r="L114" s="8"/>
      <c r="M114" s="8"/>
      <c r="R114" s="8"/>
      <c r="T114" s="26" t="str">
        <f t="shared" si="1"/>
        <v/>
      </c>
    </row>
    <row r="115">
      <c r="C115" s="8"/>
      <c r="G115" s="2"/>
      <c r="K115" s="18"/>
      <c r="L115" s="8"/>
      <c r="M115" s="8"/>
      <c r="R115" s="8"/>
      <c r="T115" s="26" t="str">
        <f t="shared" si="1"/>
        <v/>
      </c>
    </row>
    <row r="116">
      <c r="C116" s="8"/>
      <c r="G116" s="2"/>
      <c r="K116" s="18"/>
      <c r="L116" s="8"/>
      <c r="M116" s="8"/>
      <c r="R116" s="8"/>
      <c r="T116" s="26" t="str">
        <f t="shared" si="1"/>
        <v/>
      </c>
    </row>
    <row r="117">
      <c r="C117" s="8"/>
      <c r="G117" s="2"/>
      <c r="K117" s="18"/>
      <c r="L117" s="8"/>
      <c r="M117" s="8"/>
      <c r="R117" s="8"/>
      <c r="T117" s="26" t="str">
        <f t="shared" si="1"/>
        <v/>
      </c>
    </row>
    <row r="118">
      <c r="C118" s="8"/>
      <c r="G118" s="2"/>
      <c r="K118" s="18"/>
      <c r="L118" s="8"/>
      <c r="M118" s="8"/>
      <c r="R118" s="8"/>
      <c r="T118" s="26" t="str">
        <f t="shared" si="1"/>
        <v/>
      </c>
    </row>
    <row r="119">
      <c r="C119" s="8"/>
      <c r="G119" s="2"/>
      <c r="K119" s="18"/>
      <c r="L119" s="8"/>
      <c r="M119" s="8"/>
      <c r="R119" s="8"/>
      <c r="T119" s="26" t="str">
        <f t="shared" si="1"/>
        <v/>
      </c>
    </row>
    <row r="120">
      <c r="C120" s="8"/>
      <c r="G120" s="2"/>
      <c r="K120" s="18"/>
      <c r="L120" s="8"/>
      <c r="M120" s="8"/>
      <c r="R120" s="8"/>
      <c r="T120" s="26" t="str">
        <f t="shared" si="1"/>
        <v/>
      </c>
    </row>
    <row r="121">
      <c r="C121" s="8"/>
      <c r="G121" s="2"/>
      <c r="K121" s="18"/>
      <c r="L121" s="8"/>
      <c r="M121" s="8"/>
      <c r="R121" s="8"/>
      <c r="T121" s="26" t="str">
        <f t="shared" si="1"/>
        <v/>
      </c>
    </row>
    <row r="122">
      <c r="C122" s="8"/>
      <c r="G122" s="2"/>
      <c r="K122" s="18"/>
      <c r="L122" s="8"/>
      <c r="M122" s="8"/>
      <c r="R122" s="8"/>
      <c r="T122" s="26" t="str">
        <f t="shared" si="1"/>
        <v/>
      </c>
    </row>
    <row r="123">
      <c r="C123" s="8"/>
      <c r="G123" s="2"/>
      <c r="K123" s="18"/>
      <c r="L123" s="8"/>
      <c r="M123" s="8"/>
      <c r="R123" s="8"/>
      <c r="T123" s="26" t="str">
        <f t="shared" si="1"/>
        <v/>
      </c>
    </row>
    <row r="124">
      <c r="C124" s="8"/>
      <c r="G124" s="2"/>
      <c r="K124" s="18"/>
      <c r="L124" s="8"/>
      <c r="M124" s="8"/>
      <c r="R124" s="8"/>
      <c r="T124" s="26" t="str">
        <f t="shared" si="1"/>
        <v/>
      </c>
    </row>
    <row r="125">
      <c r="C125" s="8"/>
      <c r="G125" s="8"/>
      <c r="K125" s="18"/>
      <c r="L125" s="8"/>
      <c r="M125" s="8"/>
      <c r="R125" s="8"/>
      <c r="T125" s="26" t="str">
        <f t="shared" si="1"/>
        <v/>
      </c>
    </row>
    <row r="126">
      <c r="C126" s="8"/>
      <c r="G126" s="8"/>
      <c r="K126" s="18"/>
      <c r="L126" s="8"/>
      <c r="M126" s="8"/>
      <c r="R126" s="8"/>
      <c r="T126" s="26" t="str">
        <f t="shared" si="1"/>
        <v/>
      </c>
    </row>
    <row r="127">
      <c r="C127" s="8"/>
      <c r="G127" s="8"/>
      <c r="K127" s="18"/>
      <c r="L127" s="8"/>
      <c r="M127" s="8"/>
      <c r="R127" s="8"/>
      <c r="T127" s="26" t="str">
        <f t="shared" si="1"/>
        <v/>
      </c>
    </row>
    <row r="128">
      <c r="C128" s="8"/>
      <c r="G128" s="8"/>
      <c r="K128" s="18"/>
      <c r="L128" s="8"/>
      <c r="M128" s="8"/>
      <c r="R128" s="8"/>
      <c r="T128" s="26" t="str">
        <f t="shared" si="1"/>
        <v/>
      </c>
    </row>
    <row r="129">
      <c r="C129" s="8"/>
      <c r="G129" s="8"/>
      <c r="K129" s="18"/>
      <c r="L129" s="8"/>
      <c r="M129" s="8"/>
      <c r="R129" s="8"/>
      <c r="T129" s="26" t="str">
        <f t="shared" si="1"/>
        <v/>
      </c>
    </row>
    <row r="130">
      <c r="C130" s="8"/>
      <c r="G130" s="8"/>
      <c r="K130" s="18"/>
      <c r="L130" s="8"/>
      <c r="M130" s="8"/>
      <c r="R130" s="8"/>
      <c r="T130" s="26" t="str">
        <f t="shared" si="1"/>
        <v/>
      </c>
    </row>
    <row r="131">
      <c r="C131" s="8"/>
      <c r="G131" s="8"/>
      <c r="K131" s="18"/>
      <c r="L131" s="8"/>
      <c r="M131" s="8"/>
      <c r="R131" s="8"/>
      <c r="T131" s="26" t="str">
        <f t="shared" si="1"/>
        <v/>
      </c>
    </row>
    <row r="132">
      <c r="C132" s="8"/>
      <c r="G132" s="8"/>
      <c r="K132" s="18"/>
      <c r="L132" s="8"/>
      <c r="M132" s="8"/>
      <c r="R132" s="8"/>
      <c r="T132" s="26" t="str">
        <f t="shared" si="1"/>
        <v/>
      </c>
    </row>
    <row r="133">
      <c r="C133" s="8"/>
      <c r="G133" s="8"/>
      <c r="K133" s="18"/>
      <c r="L133" s="8"/>
      <c r="M133" s="8"/>
      <c r="R133" s="8"/>
      <c r="T133" s="26" t="str">
        <f t="shared" si="1"/>
        <v/>
      </c>
    </row>
    <row r="134">
      <c r="C134" s="8"/>
      <c r="G134" s="8"/>
      <c r="K134" s="18"/>
      <c r="L134" s="8"/>
      <c r="M134" s="8"/>
      <c r="R134" s="8"/>
      <c r="T134" s="26" t="str">
        <f t="shared" si="1"/>
        <v/>
      </c>
    </row>
    <row r="135">
      <c r="C135" s="8"/>
      <c r="G135" s="8"/>
      <c r="K135" s="18"/>
      <c r="L135" s="8"/>
      <c r="M135" s="8"/>
      <c r="R135" s="8"/>
      <c r="T135" s="26" t="str">
        <f t="shared" si="1"/>
        <v/>
      </c>
    </row>
    <row r="136">
      <c r="C136" s="8"/>
      <c r="G136" s="8"/>
      <c r="K136" s="18"/>
      <c r="L136" s="8"/>
      <c r="M136" s="8"/>
      <c r="R136" s="8"/>
      <c r="T136" s="26" t="str">
        <f t="shared" si="1"/>
        <v/>
      </c>
    </row>
    <row r="137">
      <c r="C137" s="8"/>
      <c r="G137" s="8"/>
      <c r="K137" s="18"/>
      <c r="L137" s="8"/>
      <c r="M137" s="8"/>
      <c r="R137" s="8"/>
      <c r="T137" s="26" t="str">
        <f t="shared" si="1"/>
        <v/>
      </c>
    </row>
    <row r="138">
      <c r="C138" s="8"/>
      <c r="G138" s="8"/>
      <c r="K138" s="18"/>
      <c r="L138" s="8"/>
      <c r="M138" s="8"/>
      <c r="R138" s="8"/>
      <c r="T138" s="26" t="str">
        <f t="shared" si="1"/>
        <v/>
      </c>
    </row>
    <row r="139">
      <c r="C139" s="8"/>
      <c r="G139" s="8"/>
      <c r="K139" s="18"/>
      <c r="L139" s="8"/>
      <c r="M139" s="8"/>
      <c r="R139" s="8"/>
      <c r="T139" s="26" t="str">
        <f t="shared" si="1"/>
        <v/>
      </c>
    </row>
    <row r="140">
      <c r="C140" s="8"/>
      <c r="G140" s="8"/>
      <c r="K140" s="18"/>
      <c r="L140" s="8"/>
      <c r="M140" s="8"/>
      <c r="R140" s="8"/>
      <c r="T140" s="26" t="str">
        <f t="shared" si="1"/>
        <v/>
      </c>
    </row>
    <row r="141">
      <c r="C141" s="8"/>
      <c r="G141" s="8"/>
      <c r="K141" s="18"/>
      <c r="L141" s="8"/>
      <c r="M141" s="8"/>
      <c r="R141" s="8"/>
      <c r="T141" s="26" t="str">
        <f t="shared" si="1"/>
        <v/>
      </c>
    </row>
    <row r="142">
      <c r="C142" s="8"/>
      <c r="G142" s="8"/>
      <c r="K142" s="18"/>
      <c r="L142" s="8"/>
      <c r="M142" s="8"/>
      <c r="R142" s="8"/>
      <c r="T142" s="26" t="str">
        <f t="shared" si="1"/>
        <v/>
      </c>
    </row>
    <row r="143">
      <c r="C143" s="8"/>
      <c r="G143" s="8"/>
      <c r="K143" s="18"/>
      <c r="L143" s="8"/>
      <c r="M143" s="8"/>
      <c r="R143" s="8"/>
      <c r="T143" s="26" t="str">
        <f t="shared" si="1"/>
        <v/>
      </c>
    </row>
    <row r="144">
      <c r="C144" s="8"/>
      <c r="G144" s="8"/>
      <c r="K144" s="18"/>
      <c r="L144" s="8"/>
      <c r="M144" s="8"/>
      <c r="R144" s="8"/>
      <c r="T144" s="26" t="str">
        <f t="shared" si="1"/>
        <v/>
      </c>
    </row>
    <row r="145">
      <c r="C145" s="8"/>
      <c r="G145" s="8"/>
      <c r="K145" s="18"/>
      <c r="L145" s="8"/>
      <c r="M145" s="8"/>
      <c r="R145" s="8"/>
      <c r="T145" s="26" t="str">
        <f t="shared" si="1"/>
        <v/>
      </c>
    </row>
    <row r="146">
      <c r="C146" s="8"/>
      <c r="G146" s="8"/>
      <c r="K146" s="18"/>
      <c r="L146" s="8"/>
      <c r="M146" s="8"/>
      <c r="R146" s="8"/>
      <c r="T146" s="26" t="str">
        <f t="shared" si="1"/>
        <v/>
      </c>
    </row>
    <row r="147">
      <c r="C147" s="8"/>
      <c r="G147" s="8"/>
      <c r="K147" s="18"/>
      <c r="L147" s="8"/>
      <c r="M147" s="8"/>
      <c r="R147" s="8"/>
      <c r="T147" s="26" t="str">
        <f t="shared" si="1"/>
        <v/>
      </c>
    </row>
    <row r="148">
      <c r="C148" s="8"/>
      <c r="G148" s="8"/>
      <c r="K148" s="18"/>
      <c r="L148" s="8"/>
      <c r="M148" s="8"/>
      <c r="R148" s="8"/>
      <c r="T148" s="26" t="str">
        <f t="shared" si="1"/>
        <v/>
      </c>
    </row>
    <row r="149">
      <c r="C149" s="8"/>
      <c r="G149" s="8"/>
      <c r="K149" s="18"/>
      <c r="L149" s="8"/>
      <c r="M149" s="8"/>
      <c r="R149" s="8"/>
      <c r="T149" s="26" t="str">
        <f t="shared" si="1"/>
        <v/>
      </c>
    </row>
    <row r="150">
      <c r="C150" s="8"/>
      <c r="G150" s="8"/>
      <c r="K150" s="18"/>
      <c r="L150" s="8"/>
      <c r="M150" s="8"/>
      <c r="R150" s="8"/>
      <c r="T150" s="26" t="str">
        <f t="shared" si="1"/>
        <v/>
      </c>
    </row>
    <row r="151">
      <c r="C151" s="8"/>
      <c r="G151" s="8"/>
      <c r="K151" s="18"/>
      <c r="L151" s="8"/>
      <c r="M151" s="8"/>
      <c r="R151" s="8"/>
      <c r="T151" s="26" t="str">
        <f t="shared" si="1"/>
        <v/>
      </c>
    </row>
    <row r="152">
      <c r="C152" s="8"/>
      <c r="G152" s="8"/>
      <c r="K152" s="18"/>
      <c r="L152" s="8"/>
      <c r="M152" s="8"/>
      <c r="R152" s="8"/>
      <c r="T152" s="26" t="str">
        <f t="shared" si="1"/>
        <v/>
      </c>
    </row>
    <row r="153">
      <c r="C153" s="8"/>
      <c r="G153" s="8"/>
      <c r="K153" s="18"/>
      <c r="L153" s="8"/>
      <c r="M153" s="8"/>
      <c r="R153" s="8"/>
      <c r="T153" s="26" t="str">
        <f t="shared" si="1"/>
        <v/>
      </c>
    </row>
    <row r="154">
      <c r="C154" s="8"/>
      <c r="G154" s="8"/>
      <c r="K154" s="18"/>
      <c r="L154" s="8"/>
      <c r="M154" s="8"/>
      <c r="R154" s="8"/>
      <c r="T154" s="26" t="str">
        <f t="shared" si="1"/>
        <v/>
      </c>
    </row>
    <row r="155">
      <c r="C155" s="8"/>
      <c r="G155" s="8"/>
      <c r="K155" s="18"/>
      <c r="L155" s="8"/>
      <c r="M155" s="8"/>
      <c r="R155" s="8"/>
      <c r="T155" s="26" t="str">
        <f t="shared" si="1"/>
        <v/>
      </c>
    </row>
    <row r="156">
      <c r="C156" s="8"/>
      <c r="G156" s="8"/>
      <c r="K156" s="18"/>
      <c r="L156" s="8"/>
      <c r="M156" s="8"/>
      <c r="R156" s="8"/>
      <c r="T156" s="26" t="str">
        <f t="shared" si="1"/>
        <v/>
      </c>
    </row>
    <row r="157">
      <c r="C157" s="8"/>
      <c r="G157" s="8"/>
      <c r="K157" s="18"/>
      <c r="L157" s="8"/>
      <c r="M157" s="8"/>
      <c r="R157" s="8"/>
      <c r="T157" s="26" t="str">
        <f t="shared" si="1"/>
        <v/>
      </c>
    </row>
    <row r="158">
      <c r="C158" s="8"/>
      <c r="G158" s="8"/>
      <c r="K158" s="18"/>
      <c r="L158" s="8"/>
      <c r="M158" s="8"/>
      <c r="R158" s="8"/>
      <c r="T158" s="26" t="str">
        <f t="shared" si="1"/>
        <v/>
      </c>
    </row>
    <row r="159">
      <c r="C159" s="8"/>
      <c r="G159" s="8"/>
      <c r="K159" s="18"/>
      <c r="L159" s="8"/>
      <c r="M159" s="8"/>
      <c r="R159" s="8"/>
      <c r="T159" s="26" t="str">
        <f t="shared" si="1"/>
        <v/>
      </c>
    </row>
    <row r="160">
      <c r="C160" s="8"/>
      <c r="G160" s="8"/>
      <c r="K160" s="18"/>
      <c r="L160" s="8"/>
      <c r="M160" s="8"/>
      <c r="R160" s="8"/>
      <c r="T160" s="26" t="str">
        <f t="shared" si="1"/>
        <v/>
      </c>
    </row>
    <row r="161">
      <c r="C161" s="8"/>
      <c r="G161" s="8"/>
      <c r="K161" s="18"/>
      <c r="L161" s="8"/>
      <c r="M161" s="8"/>
      <c r="R161" s="8"/>
      <c r="T161" s="26" t="str">
        <f t="shared" si="1"/>
        <v/>
      </c>
    </row>
    <row r="162">
      <c r="C162" s="8"/>
      <c r="G162" s="8"/>
      <c r="K162" s="18"/>
      <c r="L162" s="8"/>
      <c r="M162" s="8"/>
      <c r="R162" s="8"/>
      <c r="T162" s="26" t="str">
        <f t="shared" si="1"/>
        <v/>
      </c>
    </row>
    <row r="163">
      <c r="C163" s="8"/>
      <c r="G163" s="8"/>
      <c r="K163" s="18"/>
      <c r="L163" s="8"/>
      <c r="M163" s="8"/>
      <c r="R163" s="8"/>
      <c r="T163" s="26" t="str">
        <f t="shared" si="1"/>
        <v/>
      </c>
    </row>
    <row r="164">
      <c r="C164" s="8"/>
      <c r="G164" s="8"/>
      <c r="K164" s="18"/>
      <c r="L164" s="8"/>
      <c r="M164" s="8"/>
      <c r="R164" s="8"/>
      <c r="T164" s="26" t="str">
        <f t="shared" si="1"/>
        <v/>
      </c>
    </row>
    <row r="165">
      <c r="C165" s="8"/>
      <c r="G165" s="8"/>
      <c r="K165" s="18"/>
      <c r="L165" s="8"/>
      <c r="M165" s="8"/>
      <c r="R165" s="8"/>
      <c r="T165" s="26" t="str">
        <f t="shared" si="1"/>
        <v/>
      </c>
    </row>
    <row r="166">
      <c r="C166" s="8"/>
      <c r="G166" s="8"/>
      <c r="K166" s="18"/>
      <c r="L166" s="8"/>
      <c r="M166" s="8"/>
      <c r="R166" s="8"/>
      <c r="T166" s="26" t="str">
        <f t="shared" si="1"/>
        <v/>
      </c>
    </row>
    <row r="167">
      <c r="C167" s="8"/>
      <c r="G167" s="8"/>
      <c r="K167" s="18"/>
      <c r="L167" s="8"/>
      <c r="M167" s="8"/>
      <c r="R167" s="8"/>
      <c r="T167" s="26" t="str">
        <f t="shared" si="1"/>
        <v/>
      </c>
    </row>
    <row r="168">
      <c r="C168" s="8"/>
      <c r="G168" s="8"/>
      <c r="K168" s="18"/>
      <c r="L168" s="8"/>
      <c r="M168" s="8"/>
      <c r="R168" s="8"/>
      <c r="T168" s="26" t="str">
        <f t="shared" si="1"/>
        <v/>
      </c>
    </row>
    <row r="169">
      <c r="C169" s="8"/>
      <c r="G169" s="8"/>
      <c r="K169" s="18"/>
      <c r="L169" s="8"/>
      <c r="M169" s="8"/>
      <c r="R169" s="8"/>
      <c r="T169" s="26" t="str">
        <f t="shared" si="1"/>
        <v/>
      </c>
    </row>
    <row r="170">
      <c r="C170" s="8"/>
      <c r="G170" s="8"/>
      <c r="K170" s="18"/>
      <c r="L170" s="8"/>
      <c r="M170" s="8"/>
      <c r="R170" s="8"/>
      <c r="T170" s="26" t="str">
        <f t="shared" si="1"/>
        <v/>
      </c>
    </row>
    <row r="171">
      <c r="C171" s="8"/>
      <c r="G171" s="8"/>
      <c r="K171" s="18"/>
      <c r="L171" s="8"/>
      <c r="M171" s="8"/>
      <c r="R171" s="8"/>
      <c r="T171" s="26" t="str">
        <f t="shared" si="1"/>
        <v/>
      </c>
    </row>
    <row r="172">
      <c r="C172" s="8"/>
      <c r="G172" s="8"/>
      <c r="K172" s="18"/>
      <c r="L172" s="8"/>
      <c r="M172" s="8"/>
      <c r="R172" s="8"/>
      <c r="T172" s="26" t="str">
        <f t="shared" si="1"/>
        <v/>
      </c>
    </row>
    <row r="173">
      <c r="C173" s="8"/>
      <c r="G173" s="8"/>
      <c r="K173" s="18"/>
      <c r="L173" s="8"/>
      <c r="M173" s="8"/>
      <c r="R173" s="8"/>
      <c r="T173" s="26" t="str">
        <f t="shared" si="1"/>
        <v/>
      </c>
    </row>
    <row r="174">
      <c r="C174" s="8"/>
      <c r="G174" s="8"/>
      <c r="K174" s="18"/>
      <c r="L174" s="8"/>
      <c r="M174" s="8"/>
      <c r="R174" s="8"/>
      <c r="T174" s="26" t="str">
        <f t="shared" si="1"/>
        <v/>
      </c>
    </row>
    <row r="175">
      <c r="C175" s="8"/>
      <c r="G175" s="8"/>
      <c r="K175" s="18"/>
      <c r="L175" s="8"/>
      <c r="M175" s="8"/>
      <c r="R175" s="8"/>
      <c r="T175" s="26" t="str">
        <f t="shared" si="1"/>
        <v/>
      </c>
    </row>
    <row r="176">
      <c r="C176" s="8"/>
      <c r="G176" s="8"/>
      <c r="K176" s="18"/>
      <c r="L176" s="8"/>
      <c r="M176" s="8"/>
      <c r="R176" s="8"/>
      <c r="T176" s="26" t="str">
        <f t="shared" si="1"/>
        <v/>
      </c>
    </row>
    <row r="177">
      <c r="C177" s="8"/>
      <c r="G177" s="8"/>
      <c r="K177" s="18"/>
      <c r="L177" s="8"/>
      <c r="M177" s="8"/>
      <c r="R177" s="8"/>
      <c r="T177" s="26" t="str">
        <f t="shared" si="1"/>
        <v/>
      </c>
    </row>
    <row r="178">
      <c r="C178" s="8"/>
      <c r="G178" s="8"/>
      <c r="K178" s="18"/>
      <c r="L178" s="8"/>
      <c r="M178" s="8"/>
      <c r="R178" s="8"/>
      <c r="T178" s="26" t="str">
        <f t="shared" si="1"/>
        <v/>
      </c>
    </row>
    <row r="179">
      <c r="C179" s="8"/>
      <c r="G179" s="8"/>
      <c r="K179" s="18"/>
      <c r="L179" s="8"/>
      <c r="M179" s="8"/>
      <c r="R179" s="8"/>
      <c r="T179" s="26" t="str">
        <f t="shared" si="1"/>
        <v/>
      </c>
    </row>
    <row r="180">
      <c r="C180" s="8"/>
      <c r="G180" s="8"/>
      <c r="K180" s="18"/>
      <c r="L180" s="8"/>
      <c r="M180" s="8"/>
      <c r="R180" s="8"/>
      <c r="T180" s="26" t="str">
        <f t="shared" si="1"/>
        <v/>
      </c>
    </row>
    <row r="181">
      <c r="C181" s="8"/>
      <c r="G181" s="8"/>
      <c r="K181" s="18"/>
      <c r="L181" s="8"/>
      <c r="M181" s="8"/>
      <c r="R181" s="8"/>
      <c r="T181" s="26" t="str">
        <f t="shared" si="1"/>
        <v/>
      </c>
    </row>
    <row r="182">
      <c r="C182" s="8"/>
      <c r="G182" s="8"/>
      <c r="K182" s="18"/>
      <c r="L182" s="8"/>
      <c r="M182" s="8"/>
      <c r="R182" s="8"/>
      <c r="T182" s="26" t="str">
        <f t="shared" si="1"/>
        <v/>
      </c>
    </row>
    <row r="183">
      <c r="C183" s="8"/>
      <c r="G183" s="8"/>
      <c r="K183" s="18"/>
      <c r="L183" s="8"/>
      <c r="M183" s="8"/>
      <c r="R183" s="8"/>
      <c r="T183" s="26" t="str">
        <f t="shared" si="1"/>
        <v/>
      </c>
    </row>
    <row r="184">
      <c r="C184" s="8"/>
      <c r="G184" s="8"/>
      <c r="K184" s="18"/>
      <c r="L184" s="8"/>
      <c r="M184" s="8"/>
      <c r="R184" s="8"/>
      <c r="T184" s="26" t="str">
        <f t="shared" si="1"/>
        <v/>
      </c>
    </row>
    <row r="185">
      <c r="C185" s="8"/>
      <c r="G185" s="8"/>
      <c r="K185" s="18"/>
      <c r="L185" s="8"/>
      <c r="M185" s="8"/>
      <c r="R185" s="8"/>
      <c r="T185" s="26" t="str">
        <f t="shared" si="1"/>
        <v/>
      </c>
    </row>
    <row r="186">
      <c r="C186" s="8"/>
      <c r="G186" s="8"/>
      <c r="K186" s="18"/>
      <c r="L186" s="8"/>
      <c r="M186" s="8"/>
      <c r="R186" s="8"/>
      <c r="T186" s="26" t="str">
        <f t="shared" si="1"/>
        <v/>
      </c>
    </row>
    <row r="187">
      <c r="C187" s="8"/>
      <c r="G187" s="8"/>
      <c r="K187" s="18"/>
      <c r="L187" s="8"/>
      <c r="M187" s="8"/>
      <c r="R187" s="8"/>
      <c r="T187" s="26" t="str">
        <f t="shared" si="1"/>
        <v/>
      </c>
    </row>
    <row r="188">
      <c r="C188" s="8"/>
      <c r="G188" s="8"/>
      <c r="K188" s="18"/>
      <c r="L188" s="8"/>
      <c r="M188" s="8"/>
      <c r="R188" s="8"/>
      <c r="T188" s="26" t="str">
        <f t="shared" si="1"/>
        <v/>
      </c>
    </row>
    <row r="189">
      <c r="C189" s="8"/>
      <c r="G189" s="8"/>
      <c r="K189" s="18"/>
      <c r="L189" s="8"/>
      <c r="M189" s="8"/>
      <c r="R189" s="8"/>
      <c r="T189" s="26" t="str">
        <f t="shared" si="1"/>
        <v/>
      </c>
    </row>
    <row r="190">
      <c r="C190" s="8"/>
      <c r="G190" s="8"/>
      <c r="K190" s="18"/>
      <c r="L190" s="8"/>
      <c r="M190" s="8"/>
      <c r="R190" s="8"/>
      <c r="T190" s="26" t="str">
        <f t="shared" si="1"/>
        <v/>
      </c>
    </row>
    <row r="191">
      <c r="C191" s="8"/>
      <c r="G191" s="8"/>
      <c r="K191" s="18"/>
      <c r="L191" s="8"/>
      <c r="M191" s="8"/>
      <c r="R191" s="8"/>
      <c r="T191" s="26" t="str">
        <f t="shared" si="1"/>
        <v/>
      </c>
    </row>
    <row r="192">
      <c r="C192" s="8"/>
      <c r="G192" s="8"/>
      <c r="K192" s="18"/>
      <c r="L192" s="8"/>
      <c r="M192" s="8"/>
      <c r="R192" s="8"/>
      <c r="T192" s="26" t="str">
        <f t="shared" si="1"/>
        <v/>
      </c>
    </row>
    <row r="193">
      <c r="C193" s="8"/>
      <c r="G193" s="8"/>
      <c r="K193" s="18"/>
      <c r="L193" s="8"/>
      <c r="M193" s="8"/>
      <c r="R193" s="8"/>
      <c r="T193" s="26" t="str">
        <f t="shared" si="1"/>
        <v/>
      </c>
    </row>
    <row r="194">
      <c r="C194" s="8"/>
      <c r="G194" s="8"/>
      <c r="K194" s="18"/>
      <c r="L194" s="8"/>
      <c r="M194" s="8"/>
      <c r="R194" s="8"/>
      <c r="T194" s="26" t="str">
        <f t="shared" si="1"/>
        <v/>
      </c>
    </row>
    <row r="195">
      <c r="C195" s="8"/>
      <c r="G195" s="8"/>
      <c r="K195" s="18"/>
      <c r="L195" s="8"/>
      <c r="M195" s="8"/>
      <c r="R195" s="8"/>
      <c r="T195" s="26" t="str">
        <f t="shared" si="1"/>
        <v/>
      </c>
    </row>
    <row r="196">
      <c r="C196" s="8"/>
      <c r="G196" s="8"/>
      <c r="K196" s="18"/>
      <c r="L196" s="8"/>
      <c r="M196" s="8"/>
      <c r="R196" s="8"/>
      <c r="T196" s="26" t="str">
        <f t="shared" si="1"/>
        <v/>
      </c>
    </row>
    <row r="197">
      <c r="C197" s="8"/>
      <c r="G197" s="8"/>
      <c r="K197" s="18"/>
      <c r="L197" s="8"/>
      <c r="M197" s="8"/>
      <c r="R197" s="8"/>
      <c r="T197" s="26" t="str">
        <f t="shared" si="1"/>
        <v/>
      </c>
    </row>
    <row r="198">
      <c r="C198" s="8"/>
      <c r="G198" s="8"/>
      <c r="K198" s="18"/>
      <c r="L198" s="8"/>
      <c r="M198" s="8"/>
      <c r="R198" s="8"/>
      <c r="T198" s="26" t="str">
        <f t="shared" si="1"/>
        <v/>
      </c>
    </row>
    <row r="199">
      <c r="C199" s="8"/>
      <c r="G199" s="8"/>
      <c r="K199" s="18"/>
      <c r="L199" s="8"/>
      <c r="M199" s="8"/>
      <c r="R199" s="8"/>
      <c r="T199" s="26" t="str">
        <f t="shared" si="1"/>
        <v/>
      </c>
    </row>
    <row r="200">
      <c r="C200" s="8"/>
      <c r="G200" s="8"/>
      <c r="K200" s="18"/>
      <c r="L200" s="8"/>
      <c r="M200" s="8"/>
      <c r="R200" s="8"/>
      <c r="T200" s="26" t="str">
        <f t="shared" si="1"/>
        <v/>
      </c>
    </row>
    <row r="201">
      <c r="C201" s="8"/>
      <c r="G201" s="8"/>
      <c r="K201" s="18"/>
      <c r="L201" s="8"/>
      <c r="M201" s="8"/>
      <c r="R201" s="8"/>
      <c r="T201" s="26" t="str">
        <f t="shared" si="1"/>
        <v/>
      </c>
    </row>
    <row r="202">
      <c r="C202" s="8"/>
      <c r="G202" s="8"/>
      <c r="K202" s="18"/>
      <c r="L202" s="8"/>
      <c r="M202" s="8"/>
      <c r="R202" s="8"/>
      <c r="T202" s="26" t="str">
        <f t="shared" si="1"/>
        <v/>
      </c>
    </row>
    <row r="203">
      <c r="C203" s="8"/>
      <c r="G203" s="8"/>
      <c r="K203" s="18"/>
      <c r="L203" s="8"/>
      <c r="M203" s="8"/>
      <c r="R203" s="8"/>
      <c r="T203" s="26" t="str">
        <f t="shared" si="1"/>
        <v/>
      </c>
    </row>
    <row r="204">
      <c r="C204" s="8"/>
      <c r="G204" s="8"/>
      <c r="K204" s="18"/>
      <c r="L204" s="8"/>
      <c r="M204" s="8"/>
      <c r="R204" s="8"/>
      <c r="T204" s="26" t="str">
        <f t="shared" si="1"/>
        <v/>
      </c>
    </row>
    <row r="205">
      <c r="C205" s="8"/>
      <c r="G205" s="8"/>
      <c r="K205" s="18"/>
      <c r="L205" s="8"/>
      <c r="M205" s="8"/>
      <c r="R205" s="8"/>
      <c r="T205" s="26" t="str">
        <f t="shared" si="1"/>
        <v/>
      </c>
    </row>
    <row r="206">
      <c r="C206" s="8"/>
      <c r="G206" s="8"/>
      <c r="K206" s="18"/>
      <c r="L206" s="8"/>
      <c r="M206" s="8"/>
      <c r="R206" s="8"/>
      <c r="T206" s="26" t="str">
        <f t="shared" si="1"/>
        <v/>
      </c>
    </row>
    <row r="207">
      <c r="C207" s="8"/>
      <c r="G207" s="8"/>
      <c r="K207" s="18"/>
      <c r="L207" s="8"/>
      <c r="M207" s="8"/>
      <c r="R207" s="8"/>
      <c r="T207" s="26" t="str">
        <f t="shared" si="1"/>
        <v/>
      </c>
    </row>
    <row r="208">
      <c r="C208" s="8"/>
      <c r="G208" s="8"/>
      <c r="K208" s="18"/>
      <c r="L208" s="8"/>
      <c r="M208" s="8"/>
      <c r="R208" s="8"/>
      <c r="T208" s="26" t="str">
        <f t="shared" si="1"/>
        <v/>
      </c>
    </row>
    <row r="209">
      <c r="C209" s="8"/>
      <c r="G209" s="8"/>
      <c r="K209" s="18"/>
      <c r="L209" s="8"/>
      <c r="M209" s="8"/>
      <c r="R209" s="8"/>
      <c r="T209" s="26" t="str">
        <f t="shared" si="1"/>
        <v/>
      </c>
    </row>
    <row r="210">
      <c r="C210" s="8"/>
      <c r="G210" s="8"/>
      <c r="K210" s="18"/>
      <c r="L210" s="8"/>
      <c r="M210" s="8"/>
      <c r="R210" s="8"/>
      <c r="T210" s="26" t="str">
        <f t="shared" si="1"/>
        <v/>
      </c>
    </row>
    <row r="211">
      <c r="C211" s="8"/>
      <c r="G211" s="8"/>
      <c r="K211" s="18"/>
      <c r="L211" s="8"/>
      <c r="M211" s="8"/>
      <c r="R211" s="8"/>
      <c r="T211" s="26" t="str">
        <f t="shared" si="1"/>
        <v/>
      </c>
    </row>
    <row r="212">
      <c r="C212" s="8"/>
      <c r="G212" s="8"/>
      <c r="K212" s="18"/>
      <c r="L212" s="8"/>
      <c r="M212" s="8"/>
      <c r="R212" s="8"/>
      <c r="T212" s="26" t="str">
        <f t="shared" si="1"/>
        <v/>
      </c>
    </row>
    <row r="213">
      <c r="C213" s="8"/>
      <c r="G213" s="8"/>
      <c r="K213" s="18"/>
      <c r="L213" s="8"/>
      <c r="M213" s="8"/>
      <c r="R213" s="8"/>
      <c r="T213" s="26" t="str">
        <f t="shared" si="1"/>
        <v/>
      </c>
    </row>
    <row r="214">
      <c r="C214" s="8"/>
      <c r="G214" s="8"/>
      <c r="K214" s="18"/>
      <c r="L214" s="8"/>
      <c r="M214" s="8"/>
      <c r="R214" s="8"/>
      <c r="T214" s="26" t="str">
        <f t="shared" si="1"/>
        <v/>
      </c>
    </row>
    <row r="215">
      <c r="C215" s="8"/>
      <c r="G215" s="8"/>
      <c r="K215" s="18"/>
      <c r="L215" s="8"/>
      <c r="M215" s="8"/>
      <c r="R215" s="8"/>
      <c r="T215" s="26" t="str">
        <f t="shared" si="1"/>
        <v/>
      </c>
    </row>
    <row r="216">
      <c r="C216" s="8"/>
      <c r="G216" s="8"/>
      <c r="K216" s="18"/>
      <c r="L216" s="8"/>
      <c r="M216" s="8"/>
      <c r="R216" s="8"/>
      <c r="T216" s="26" t="str">
        <f t="shared" si="1"/>
        <v/>
      </c>
    </row>
    <row r="217">
      <c r="C217" s="8"/>
      <c r="G217" s="8"/>
      <c r="K217" s="18"/>
      <c r="L217" s="8"/>
      <c r="M217" s="8"/>
      <c r="R217" s="8"/>
      <c r="T217" s="26" t="str">
        <f t="shared" si="1"/>
        <v/>
      </c>
    </row>
    <row r="218">
      <c r="C218" s="8"/>
      <c r="G218" s="8"/>
      <c r="K218" s="18"/>
      <c r="L218" s="8"/>
      <c r="M218" s="8"/>
      <c r="R218" s="8"/>
      <c r="T218" s="26" t="str">
        <f t="shared" si="1"/>
        <v/>
      </c>
    </row>
    <row r="219">
      <c r="C219" s="8"/>
      <c r="G219" s="8"/>
      <c r="K219" s="18"/>
      <c r="L219" s="8"/>
      <c r="M219" s="8"/>
      <c r="R219" s="8"/>
      <c r="T219" s="26" t="str">
        <f t="shared" si="1"/>
        <v/>
      </c>
    </row>
    <row r="220">
      <c r="C220" s="8"/>
      <c r="G220" s="8"/>
      <c r="K220" s="18"/>
      <c r="L220" s="8"/>
      <c r="M220" s="8"/>
      <c r="R220" s="8"/>
      <c r="T220" s="26" t="str">
        <f t="shared" si="1"/>
        <v/>
      </c>
    </row>
    <row r="221">
      <c r="C221" s="8"/>
      <c r="G221" s="8"/>
      <c r="K221" s="18"/>
      <c r="L221" s="8"/>
      <c r="M221" s="8"/>
      <c r="R221" s="8"/>
      <c r="T221" s="26" t="str">
        <f t="shared" si="1"/>
        <v/>
      </c>
    </row>
    <row r="222">
      <c r="C222" s="8"/>
      <c r="G222" s="8"/>
      <c r="K222" s="18"/>
      <c r="L222" s="8"/>
      <c r="M222" s="8"/>
      <c r="R222" s="8"/>
      <c r="T222" s="26" t="str">
        <f t="shared" si="1"/>
        <v/>
      </c>
    </row>
    <row r="223">
      <c r="C223" s="8"/>
      <c r="G223" s="8"/>
      <c r="K223" s="18"/>
      <c r="L223" s="8"/>
      <c r="M223" s="8"/>
      <c r="R223" s="8"/>
      <c r="T223" s="26" t="str">
        <f t="shared" si="1"/>
        <v/>
      </c>
    </row>
    <row r="224">
      <c r="C224" s="8"/>
      <c r="G224" s="8"/>
      <c r="K224" s="18"/>
      <c r="L224" s="8"/>
      <c r="M224" s="8"/>
      <c r="R224" s="8"/>
      <c r="T224" s="26" t="str">
        <f t="shared" si="1"/>
        <v/>
      </c>
    </row>
    <row r="225">
      <c r="C225" s="8"/>
      <c r="G225" s="8"/>
      <c r="K225" s="18"/>
      <c r="L225" s="8"/>
      <c r="M225" s="8"/>
      <c r="R225" s="8"/>
      <c r="T225" s="26" t="str">
        <f t="shared" si="1"/>
        <v/>
      </c>
    </row>
    <row r="226">
      <c r="C226" s="8"/>
      <c r="G226" s="8"/>
      <c r="K226" s="18"/>
      <c r="L226" s="8"/>
      <c r="M226" s="8"/>
      <c r="R226" s="8"/>
      <c r="T226" s="26" t="str">
        <f t="shared" si="1"/>
        <v/>
      </c>
    </row>
    <row r="227">
      <c r="C227" s="8"/>
      <c r="G227" s="8"/>
      <c r="K227" s="18"/>
      <c r="L227" s="8"/>
      <c r="M227" s="8"/>
      <c r="R227" s="8"/>
      <c r="T227" s="26" t="str">
        <f t="shared" si="1"/>
        <v/>
      </c>
    </row>
    <row r="228">
      <c r="C228" s="8"/>
      <c r="G228" s="8"/>
      <c r="K228" s="18"/>
      <c r="L228" s="8"/>
      <c r="M228" s="8"/>
      <c r="R228" s="8"/>
      <c r="T228" s="26" t="str">
        <f t="shared" si="1"/>
        <v/>
      </c>
    </row>
    <row r="229">
      <c r="C229" s="8"/>
      <c r="G229" s="8"/>
      <c r="K229" s="18"/>
      <c r="L229" s="8"/>
      <c r="M229" s="8"/>
      <c r="R229" s="8"/>
      <c r="T229" s="26" t="str">
        <f t="shared" si="1"/>
        <v/>
      </c>
    </row>
    <row r="230">
      <c r="C230" s="8"/>
      <c r="G230" s="8"/>
      <c r="K230" s="18"/>
      <c r="L230" s="8"/>
      <c r="M230" s="8"/>
      <c r="R230" s="8"/>
      <c r="T230" s="26" t="str">
        <f t="shared" si="1"/>
        <v/>
      </c>
    </row>
    <row r="231">
      <c r="C231" s="8"/>
      <c r="G231" s="8"/>
      <c r="K231" s="18"/>
      <c r="L231" s="8"/>
      <c r="M231" s="8"/>
      <c r="R231" s="8"/>
      <c r="T231" s="26" t="str">
        <f t="shared" si="1"/>
        <v/>
      </c>
    </row>
    <row r="232">
      <c r="C232" s="8"/>
      <c r="G232" s="8"/>
      <c r="K232" s="18"/>
      <c r="L232" s="8"/>
      <c r="M232" s="8"/>
      <c r="R232" s="8"/>
      <c r="T232" s="26" t="str">
        <f t="shared" si="1"/>
        <v/>
      </c>
    </row>
    <row r="233">
      <c r="C233" s="8"/>
      <c r="G233" s="8"/>
      <c r="K233" s="18"/>
      <c r="L233" s="8"/>
      <c r="M233" s="8"/>
      <c r="R233" s="8"/>
      <c r="T233" s="26" t="str">
        <f t="shared" si="1"/>
        <v/>
      </c>
    </row>
    <row r="234">
      <c r="C234" s="8"/>
      <c r="G234" s="8"/>
      <c r="K234" s="18"/>
      <c r="L234" s="8"/>
      <c r="M234" s="8"/>
      <c r="R234" s="8"/>
      <c r="T234" s="26" t="str">
        <f t="shared" si="1"/>
        <v/>
      </c>
    </row>
    <row r="235">
      <c r="C235" s="8"/>
      <c r="G235" s="8"/>
      <c r="K235" s="18"/>
      <c r="L235" s="8"/>
      <c r="M235" s="8"/>
      <c r="R235" s="8"/>
      <c r="T235" s="26" t="str">
        <f t="shared" si="1"/>
        <v/>
      </c>
    </row>
    <row r="236">
      <c r="C236" s="8"/>
      <c r="G236" s="8"/>
      <c r="K236" s="18"/>
      <c r="L236" s="8"/>
      <c r="M236" s="8"/>
      <c r="R236" s="8"/>
      <c r="T236" s="26" t="str">
        <f t="shared" si="1"/>
        <v/>
      </c>
    </row>
    <row r="237">
      <c r="C237" s="8"/>
      <c r="G237" s="8"/>
      <c r="K237" s="18"/>
      <c r="L237" s="8"/>
      <c r="M237" s="8"/>
      <c r="R237" s="8"/>
      <c r="T237" s="26" t="str">
        <f t="shared" si="1"/>
        <v/>
      </c>
    </row>
    <row r="238">
      <c r="C238" s="8"/>
      <c r="G238" s="8"/>
      <c r="K238" s="18"/>
      <c r="L238" s="8"/>
      <c r="M238" s="8"/>
      <c r="R238" s="8"/>
      <c r="T238" s="26" t="str">
        <f t="shared" si="1"/>
        <v/>
      </c>
    </row>
    <row r="239">
      <c r="C239" s="8"/>
      <c r="G239" s="8"/>
      <c r="K239" s="18"/>
      <c r="L239" s="8"/>
      <c r="M239" s="8"/>
      <c r="R239" s="8"/>
      <c r="T239" s="26" t="str">
        <f t="shared" si="1"/>
        <v/>
      </c>
    </row>
    <row r="240">
      <c r="C240" s="8"/>
      <c r="G240" s="8"/>
      <c r="K240" s="18"/>
      <c r="L240" s="8"/>
      <c r="M240" s="8"/>
      <c r="R240" s="8"/>
      <c r="T240" s="26" t="str">
        <f t="shared" si="1"/>
        <v/>
      </c>
    </row>
    <row r="241">
      <c r="C241" s="8"/>
      <c r="G241" s="8"/>
      <c r="K241" s="18"/>
      <c r="L241" s="8"/>
      <c r="M241" s="8"/>
      <c r="R241" s="8"/>
      <c r="T241" s="26" t="str">
        <f t="shared" si="1"/>
        <v/>
      </c>
    </row>
    <row r="242">
      <c r="C242" s="8"/>
      <c r="G242" s="8"/>
      <c r="K242" s="18"/>
      <c r="L242" s="8"/>
      <c r="M242" s="8"/>
      <c r="R242" s="8"/>
      <c r="T242" s="26" t="str">
        <f t="shared" si="1"/>
        <v/>
      </c>
    </row>
    <row r="243">
      <c r="C243" s="8"/>
      <c r="G243" s="8"/>
      <c r="K243" s="18"/>
      <c r="L243" s="8"/>
      <c r="M243" s="8"/>
      <c r="R243" s="8"/>
      <c r="T243" s="26" t="str">
        <f t="shared" si="1"/>
        <v/>
      </c>
    </row>
    <row r="244">
      <c r="C244" s="8"/>
      <c r="G244" s="8"/>
      <c r="K244" s="18"/>
      <c r="L244" s="8"/>
      <c r="M244" s="8"/>
      <c r="R244" s="8"/>
      <c r="T244" s="26" t="str">
        <f t="shared" si="1"/>
        <v/>
      </c>
    </row>
    <row r="245">
      <c r="C245" s="8"/>
      <c r="G245" s="8"/>
      <c r="K245" s="18"/>
      <c r="L245" s="8"/>
      <c r="M245" s="8"/>
      <c r="R245" s="8"/>
      <c r="T245" s="26" t="str">
        <f t="shared" si="1"/>
        <v/>
      </c>
    </row>
    <row r="246">
      <c r="C246" s="8"/>
      <c r="G246" s="8"/>
      <c r="K246" s="18"/>
      <c r="L246" s="8"/>
      <c r="M246" s="8"/>
      <c r="R246" s="8"/>
      <c r="T246" s="26" t="str">
        <f t="shared" si="1"/>
        <v/>
      </c>
    </row>
    <row r="247">
      <c r="C247" s="8"/>
      <c r="G247" s="8"/>
      <c r="K247" s="18"/>
      <c r="L247" s="8"/>
      <c r="M247" s="8"/>
      <c r="R247" s="8"/>
      <c r="T247" s="26" t="str">
        <f t="shared" si="1"/>
        <v/>
      </c>
    </row>
    <row r="248">
      <c r="C248" s="8"/>
      <c r="G248" s="8"/>
      <c r="K248" s="18"/>
      <c r="L248" s="8"/>
      <c r="M248" s="8"/>
      <c r="R248" s="8"/>
      <c r="T248" s="26" t="str">
        <f t="shared" si="1"/>
        <v/>
      </c>
    </row>
    <row r="249">
      <c r="C249" s="8"/>
      <c r="G249" s="8"/>
      <c r="K249" s="18"/>
      <c r="L249" s="8"/>
      <c r="M249" s="8"/>
      <c r="R249" s="8"/>
      <c r="T249" s="26" t="str">
        <f t="shared" si="1"/>
        <v/>
      </c>
    </row>
    <row r="250">
      <c r="C250" s="8"/>
      <c r="G250" s="8"/>
      <c r="K250" s="18"/>
      <c r="L250" s="8"/>
      <c r="M250" s="8"/>
      <c r="R250" s="8"/>
      <c r="T250" s="26" t="str">
        <f t="shared" si="1"/>
        <v/>
      </c>
    </row>
    <row r="251">
      <c r="C251" s="8"/>
      <c r="G251" s="8"/>
      <c r="K251" s="18"/>
      <c r="L251" s="8"/>
      <c r="M251" s="8"/>
      <c r="R251" s="8"/>
      <c r="T251" s="26" t="str">
        <f t="shared" si="1"/>
        <v/>
      </c>
    </row>
    <row r="252">
      <c r="C252" s="8"/>
      <c r="G252" s="8"/>
      <c r="K252" s="18"/>
      <c r="L252" s="8"/>
      <c r="M252" s="8"/>
      <c r="R252" s="8"/>
      <c r="T252" s="26" t="str">
        <f t="shared" si="1"/>
        <v/>
      </c>
    </row>
    <row r="253">
      <c r="C253" s="8"/>
      <c r="G253" s="8"/>
      <c r="K253" s="18"/>
      <c r="L253" s="8"/>
      <c r="M253" s="8"/>
      <c r="R253" s="8"/>
      <c r="T253" s="26" t="str">
        <f t="shared" si="1"/>
        <v/>
      </c>
    </row>
    <row r="254">
      <c r="C254" s="8"/>
      <c r="G254" s="8"/>
      <c r="K254" s="18"/>
      <c r="L254" s="8"/>
      <c r="M254" s="8"/>
      <c r="R254" s="8"/>
      <c r="T254" s="26" t="str">
        <f t="shared" si="1"/>
        <v/>
      </c>
    </row>
    <row r="255">
      <c r="C255" s="8"/>
      <c r="G255" s="8"/>
      <c r="K255" s="18"/>
      <c r="L255" s="8"/>
      <c r="M255" s="8"/>
      <c r="R255" s="8"/>
      <c r="T255" s="26" t="str">
        <f t="shared" si="1"/>
        <v/>
      </c>
    </row>
    <row r="256">
      <c r="C256" s="8"/>
      <c r="G256" s="8"/>
      <c r="K256" s="18"/>
      <c r="L256" s="8"/>
      <c r="M256" s="8"/>
      <c r="R256" s="8"/>
      <c r="T256" s="26" t="str">
        <f t="shared" si="1"/>
        <v/>
      </c>
    </row>
    <row r="257">
      <c r="C257" s="8"/>
      <c r="G257" s="8"/>
      <c r="K257" s="18"/>
      <c r="L257" s="8"/>
      <c r="M257" s="8"/>
      <c r="R257" s="8"/>
      <c r="T257" s="26" t="str">
        <f t="shared" si="1"/>
        <v/>
      </c>
    </row>
    <row r="258">
      <c r="C258" s="8"/>
      <c r="G258" s="8"/>
      <c r="K258" s="18"/>
      <c r="L258" s="8"/>
      <c r="M258" s="8"/>
      <c r="R258" s="8"/>
      <c r="T258" s="26" t="str">
        <f t="shared" si="1"/>
        <v/>
      </c>
    </row>
    <row r="259">
      <c r="C259" s="8"/>
      <c r="G259" s="8"/>
      <c r="K259" s="18"/>
      <c r="L259" s="8"/>
      <c r="M259" s="8"/>
      <c r="R259" s="8"/>
      <c r="T259" s="26" t="str">
        <f t="shared" si="1"/>
        <v/>
      </c>
    </row>
    <row r="260">
      <c r="C260" s="8"/>
      <c r="G260" s="8"/>
      <c r="K260" s="18"/>
      <c r="L260" s="8"/>
      <c r="M260" s="8"/>
      <c r="R260" s="8"/>
      <c r="T260" s="26" t="str">
        <f t="shared" si="1"/>
        <v/>
      </c>
    </row>
    <row r="261">
      <c r="C261" s="8"/>
      <c r="G261" s="8"/>
      <c r="K261" s="18"/>
      <c r="L261" s="8"/>
      <c r="M261" s="8"/>
      <c r="R261" s="8"/>
      <c r="T261" s="26" t="str">
        <f t="shared" si="1"/>
        <v/>
      </c>
    </row>
    <row r="262">
      <c r="C262" s="8"/>
      <c r="G262" s="8"/>
      <c r="K262" s="18"/>
      <c r="L262" s="8"/>
      <c r="M262" s="8"/>
      <c r="R262" s="8"/>
      <c r="T262" s="26" t="str">
        <f t="shared" si="1"/>
        <v/>
      </c>
    </row>
    <row r="263">
      <c r="C263" s="8"/>
      <c r="G263" s="8"/>
      <c r="K263" s="18"/>
      <c r="L263" s="8"/>
      <c r="M263" s="8"/>
      <c r="R263" s="8"/>
      <c r="T263" s="26" t="str">
        <f t="shared" si="1"/>
        <v/>
      </c>
    </row>
    <row r="264">
      <c r="C264" s="8"/>
      <c r="G264" s="8"/>
      <c r="K264" s="18"/>
      <c r="L264" s="8"/>
      <c r="M264" s="8"/>
      <c r="R264" s="8"/>
      <c r="T264" s="26" t="str">
        <f t="shared" si="1"/>
        <v/>
      </c>
    </row>
    <row r="265">
      <c r="C265" s="8"/>
      <c r="G265" s="8"/>
      <c r="K265" s="18"/>
      <c r="L265" s="8"/>
      <c r="M265" s="8"/>
      <c r="R265" s="8"/>
      <c r="T265" s="26" t="str">
        <f t="shared" si="1"/>
        <v/>
      </c>
    </row>
    <row r="266">
      <c r="C266" s="8"/>
      <c r="G266" s="8"/>
      <c r="K266" s="18"/>
      <c r="L266" s="8"/>
      <c r="M266" s="8"/>
      <c r="R266" s="8"/>
      <c r="T266" s="26" t="str">
        <f t="shared" si="1"/>
        <v/>
      </c>
    </row>
    <row r="267">
      <c r="C267" s="8"/>
      <c r="G267" s="8"/>
      <c r="K267" s="18"/>
      <c r="L267" s="8"/>
      <c r="M267" s="8"/>
      <c r="R267" s="8"/>
      <c r="T267" s="26" t="str">
        <f t="shared" si="1"/>
        <v/>
      </c>
    </row>
    <row r="268">
      <c r="C268" s="8"/>
      <c r="G268" s="8"/>
      <c r="K268" s="18"/>
      <c r="L268" s="8"/>
      <c r="M268" s="8"/>
      <c r="R268" s="8"/>
      <c r="T268" s="26" t="str">
        <f t="shared" si="1"/>
        <v/>
      </c>
    </row>
    <row r="269">
      <c r="C269" s="8"/>
      <c r="G269" s="8"/>
      <c r="K269" s="18"/>
      <c r="L269" s="8"/>
      <c r="M269" s="8"/>
      <c r="R269" s="8"/>
      <c r="T269" s="26" t="str">
        <f t="shared" si="1"/>
        <v/>
      </c>
    </row>
    <row r="270">
      <c r="C270" s="8"/>
      <c r="G270" s="8"/>
      <c r="K270" s="18"/>
      <c r="L270" s="8"/>
      <c r="M270" s="8"/>
      <c r="R270" s="8"/>
      <c r="T270" s="26" t="str">
        <f t="shared" si="1"/>
        <v/>
      </c>
    </row>
    <row r="271">
      <c r="C271" s="8"/>
      <c r="G271" s="8"/>
      <c r="K271" s="18"/>
      <c r="L271" s="8"/>
      <c r="M271" s="8"/>
      <c r="R271" s="8"/>
      <c r="T271" s="26" t="str">
        <f t="shared" si="1"/>
        <v/>
      </c>
    </row>
    <row r="272">
      <c r="C272" s="8"/>
      <c r="G272" s="8"/>
      <c r="K272" s="18"/>
      <c r="L272" s="8"/>
      <c r="M272" s="8"/>
      <c r="R272" s="8"/>
      <c r="T272" s="26" t="str">
        <f t="shared" si="1"/>
        <v/>
      </c>
    </row>
    <row r="273">
      <c r="C273" s="8"/>
      <c r="G273" s="8"/>
      <c r="K273" s="18"/>
      <c r="L273" s="8"/>
      <c r="M273" s="8"/>
      <c r="R273" s="8"/>
      <c r="T273" s="26" t="str">
        <f t="shared" si="1"/>
        <v/>
      </c>
    </row>
    <row r="274">
      <c r="C274" s="8"/>
      <c r="G274" s="8"/>
      <c r="K274" s="18"/>
      <c r="L274" s="8"/>
      <c r="M274" s="8"/>
      <c r="R274" s="8"/>
      <c r="T274" s="26" t="str">
        <f t="shared" si="1"/>
        <v/>
      </c>
    </row>
    <row r="275">
      <c r="C275" s="8"/>
      <c r="G275" s="8"/>
      <c r="K275" s="18"/>
      <c r="L275" s="8"/>
      <c r="M275" s="8"/>
      <c r="R275" s="8"/>
      <c r="T275" s="26" t="str">
        <f t="shared" si="1"/>
        <v/>
      </c>
    </row>
    <row r="276">
      <c r="C276" s="8"/>
      <c r="G276" s="8"/>
      <c r="K276" s="18"/>
      <c r="L276" s="8"/>
      <c r="M276" s="8"/>
      <c r="R276" s="8"/>
      <c r="T276" s="26" t="str">
        <f t="shared" si="1"/>
        <v/>
      </c>
    </row>
    <row r="277">
      <c r="C277" s="8"/>
      <c r="G277" s="8"/>
      <c r="K277" s="18"/>
      <c r="L277" s="8"/>
      <c r="M277" s="8"/>
      <c r="R277" s="8"/>
      <c r="T277" s="26" t="str">
        <f t="shared" si="1"/>
        <v/>
      </c>
    </row>
    <row r="278">
      <c r="C278" s="8"/>
      <c r="G278" s="8"/>
      <c r="K278" s="18"/>
      <c r="L278" s="8"/>
      <c r="M278" s="8"/>
      <c r="R278" s="8"/>
      <c r="T278" s="26" t="str">
        <f t="shared" si="1"/>
        <v/>
      </c>
    </row>
    <row r="279">
      <c r="C279" s="8"/>
      <c r="G279" s="8"/>
      <c r="K279" s="18"/>
      <c r="L279" s="8"/>
      <c r="M279" s="8"/>
      <c r="R279" s="8"/>
      <c r="T279" s="26" t="str">
        <f t="shared" si="1"/>
        <v/>
      </c>
    </row>
    <row r="280">
      <c r="C280" s="8"/>
      <c r="G280" s="8"/>
      <c r="K280" s="18"/>
      <c r="L280" s="8"/>
      <c r="M280" s="8"/>
      <c r="R280" s="8"/>
      <c r="T280" s="26" t="str">
        <f t="shared" si="1"/>
        <v/>
      </c>
    </row>
    <row r="281">
      <c r="C281" s="8"/>
      <c r="G281" s="8"/>
      <c r="K281" s="18"/>
      <c r="L281" s="8"/>
      <c r="M281" s="8"/>
      <c r="R281" s="8"/>
      <c r="T281" s="26" t="str">
        <f t="shared" si="1"/>
        <v/>
      </c>
    </row>
    <row r="282">
      <c r="C282" s="8"/>
      <c r="G282" s="8"/>
      <c r="K282" s="18"/>
      <c r="L282" s="8"/>
      <c r="M282" s="8"/>
      <c r="R282" s="8"/>
      <c r="T282" s="26" t="str">
        <f t="shared" si="1"/>
        <v/>
      </c>
    </row>
    <row r="283">
      <c r="C283" s="8"/>
      <c r="G283" s="8"/>
      <c r="K283" s="18"/>
      <c r="L283" s="8"/>
      <c r="M283" s="8"/>
      <c r="R283" s="8"/>
      <c r="T283" s="26" t="str">
        <f t="shared" si="1"/>
        <v/>
      </c>
    </row>
    <row r="284">
      <c r="G284" s="8"/>
      <c r="K284" s="18"/>
      <c r="R284" s="8"/>
      <c r="T284" s="26" t="str">
        <f t="shared" si="1"/>
        <v/>
      </c>
    </row>
    <row r="285">
      <c r="G285" s="8"/>
      <c r="K285" s="18"/>
      <c r="R285" s="8"/>
      <c r="T285" s="26" t="str">
        <f t="shared" si="1"/>
        <v/>
      </c>
    </row>
    <row r="286">
      <c r="G286" s="8"/>
      <c r="K286" s="18"/>
      <c r="R286" s="8"/>
      <c r="T286" s="26" t="str">
        <f t="shared" si="1"/>
        <v/>
      </c>
    </row>
    <row r="287">
      <c r="G287" s="8"/>
      <c r="K287" s="18"/>
      <c r="R287" s="8"/>
      <c r="T287" s="26" t="str">
        <f t="shared" si="1"/>
        <v/>
      </c>
    </row>
    <row r="288">
      <c r="G288" s="8"/>
      <c r="K288" s="18"/>
      <c r="R288" s="8"/>
      <c r="T288" s="26" t="str">
        <f t="shared" si="1"/>
        <v/>
      </c>
    </row>
    <row r="289">
      <c r="G289" s="8"/>
      <c r="K289" s="18"/>
      <c r="R289" s="8"/>
      <c r="T289" s="26" t="str">
        <f t="shared" si="1"/>
        <v/>
      </c>
    </row>
    <row r="290">
      <c r="G290" s="8"/>
      <c r="K290" s="18"/>
      <c r="R290" s="8"/>
      <c r="T290" s="26" t="str">
        <f t="shared" si="1"/>
        <v/>
      </c>
    </row>
    <row r="291">
      <c r="G291" s="8"/>
      <c r="K291" s="18"/>
      <c r="R291" s="8"/>
      <c r="T291" s="26" t="str">
        <f t="shared" si="1"/>
        <v/>
      </c>
    </row>
    <row r="292">
      <c r="G292" s="8"/>
      <c r="K292" s="18"/>
      <c r="R292" s="8"/>
      <c r="T292" s="26" t="str">
        <f t="shared" si="1"/>
        <v/>
      </c>
    </row>
    <row r="293">
      <c r="G293" s="8"/>
      <c r="K293" s="18"/>
      <c r="R293" s="8"/>
      <c r="T293" s="26" t="str">
        <f t="shared" si="1"/>
        <v/>
      </c>
    </row>
    <row r="294">
      <c r="G294" s="8"/>
      <c r="K294" s="18"/>
      <c r="R294" s="8"/>
      <c r="T294" s="26" t="str">
        <f t="shared" si="1"/>
        <v/>
      </c>
    </row>
    <row r="295">
      <c r="G295" s="8"/>
      <c r="K295" s="18"/>
      <c r="R295" s="8"/>
      <c r="T295" s="26" t="str">
        <f t="shared" si="1"/>
        <v/>
      </c>
    </row>
    <row r="296">
      <c r="G296" s="8"/>
      <c r="K296" s="18"/>
      <c r="R296" s="8"/>
      <c r="T296" s="26" t="str">
        <f t="shared" si="1"/>
        <v/>
      </c>
    </row>
    <row r="297">
      <c r="G297" s="8"/>
      <c r="K297" s="18"/>
      <c r="R297" s="8"/>
      <c r="T297" s="26" t="str">
        <f t="shared" si="1"/>
        <v/>
      </c>
    </row>
    <row r="298">
      <c r="G298" s="8"/>
      <c r="K298" s="18"/>
      <c r="R298" s="8"/>
      <c r="T298" s="26" t="str">
        <f t="shared" si="1"/>
        <v/>
      </c>
    </row>
    <row r="299">
      <c r="G299" s="8"/>
      <c r="K299" s="18"/>
      <c r="R299" s="8"/>
      <c r="T299" s="26" t="str">
        <f t="shared" si="1"/>
        <v/>
      </c>
    </row>
    <row r="300">
      <c r="G300" s="8"/>
      <c r="K300" s="18"/>
      <c r="R300" s="8"/>
      <c r="T300" s="26" t="str">
        <f t="shared" si="1"/>
        <v/>
      </c>
    </row>
    <row r="301">
      <c r="G301" s="8"/>
      <c r="K301" s="18"/>
      <c r="R301" s="8"/>
      <c r="T301" s="26" t="str">
        <f t="shared" si="1"/>
        <v/>
      </c>
    </row>
    <row r="302">
      <c r="G302" s="8"/>
      <c r="K302" s="18"/>
      <c r="R302" s="8"/>
      <c r="T302" s="26" t="str">
        <f t="shared" si="1"/>
        <v/>
      </c>
    </row>
    <row r="303">
      <c r="G303" s="8"/>
      <c r="K303" s="18"/>
      <c r="R303" s="8"/>
      <c r="T303" s="26" t="str">
        <f t="shared" si="1"/>
        <v/>
      </c>
    </row>
    <row r="304">
      <c r="G304" s="8"/>
      <c r="K304" s="18"/>
      <c r="R304" s="8"/>
      <c r="T304" s="26" t="str">
        <f t="shared" si="1"/>
        <v/>
      </c>
    </row>
    <row r="305">
      <c r="G305" s="8"/>
      <c r="K305" s="18"/>
      <c r="R305" s="8"/>
      <c r="T305" s="26" t="str">
        <f t="shared" si="1"/>
        <v/>
      </c>
    </row>
    <row r="306">
      <c r="G306" s="8"/>
      <c r="K306" s="18"/>
      <c r="R306" s="8"/>
      <c r="T306" s="26" t="str">
        <f t="shared" si="1"/>
        <v/>
      </c>
    </row>
    <row r="307">
      <c r="G307" s="8"/>
      <c r="K307" s="18"/>
      <c r="R307" s="8"/>
      <c r="T307" s="26" t="str">
        <f t="shared" si="1"/>
        <v/>
      </c>
    </row>
    <row r="308">
      <c r="G308" s="8"/>
      <c r="K308" s="18"/>
      <c r="R308" s="8"/>
      <c r="T308" s="26" t="str">
        <f t="shared" si="1"/>
        <v/>
      </c>
    </row>
    <row r="309">
      <c r="G309" s="8"/>
      <c r="K309" s="18"/>
      <c r="R309" s="8"/>
      <c r="T309" s="26" t="str">
        <f t="shared" si="1"/>
        <v/>
      </c>
    </row>
    <row r="310">
      <c r="G310" s="8"/>
      <c r="K310" s="18"/>
      <c r="R310" s="8"/>
      <c r="T310" s="26" t="str">
        <f t="shared" si="1"/>
        <v/>
      </c>
    </row>
    <row r="311">
      <c r="G311" s="8"/>
      <c r="K311" s="18"/>
      <c r="R311" s="8"/>
      <c r="T311" s="26" t="str">
        <f t="shared" si="1"/>
        <v/>
      </c>
    </row>
    <row r="312">
      <c r="G312" s="8"/>
      <c r="K312" s="18"/>
      <c r="R312" s="8"/>
      <c r="T312" s="26" t="str">
        <f t="shared" si="1"/>
        <v/>
      </c>
    </row>
    <row r="313">
      <c r="G313" s="8"/>
      <c r="K313" s="18"/>
      <c r="R313" s="8"/>
      <c r="T313" s="26" t="str">
        <f t="shared" si="1"/>
        <v/>
      </c>
    </row>
    <row r="314">
      <c r="G314" s="8"/>
      <c r="K314" s="18"/>
      <c r="R314" s="8"/>
      <c r="T314" s="26" t="str">
        <f t="shared" si="1"/>
        <v/>
      </c>
    </row>
    <row r="315">
      <c r="G315" s="8"/>
      <c r="K315" s="18"/>
      <c r="R315" s="8"/>
      <c r="T315" s="26" t="str">
        <f t="shared" si="1"/>
        <v/>
      </c>
    </row>
    <row r="316">
      <c r="G316" s="8"/>
      <c r="K316" s="18"/>
      <c r="R316" s="8"/>
      <c r="T316" s="26" t="str">
        <f t="shared" si="1"/>
        <v/>
      </c>
    </row>
    <row r="317">
      <c r="G317" s="8"/>
      <c r="K317" s="18"/>
      <c r="R317" s="8"/>
      <c r="T317" s="26" t="str">
        <f t="shared" si="1"/>
        <v/>
      </c>
    </row>
    <row r="318">
      <c r="G318" s="8"/>
      <c r="K318" s="18"/>
      <c r="R318" s="8"/>
      <c r="T318" s="26" t="str">
        <f t="shared" si="1"/>
        <v/>
      </c>
    </row>
    <row r="319">
      <c r="G319" s="8"/>
      <c r="K319" s="18"/>
      <c r="R319" s="8"/>
      <c r="T319" s="26" t="str">
        <f t="shared" si="1"/>
        <v/>
      </c>
    </row>
    <row r="320">
      <c r="G320" s="8"/>
      <c r="K320" s="18"/>
      <c r="R320" s="8"/>
      <c r="T320" s="26" t="str">
        <f t="shared" si="1"/>
        <v/>
      </c>
    </row>
    <row r="321">
      <c r="G321" s="8"/>
      <c r="K321" s="18"/>
      <c r="R321" s="8"/>
      <c r="T321" s="26" t="str">
        <f t="shared" si="1"/>
        <v/>
      </c>
    </row>
    <row r="322">
      <c r="G322" s="8"/>
      <c r="K322" s="18"/>
      <c r="R322" s="8"/>
      <c r="T322" s="26" t="str">
        <f t="shared" si="1"/>
        <v/>
      </c>
    </row>
    <row r="323">
      <c r="G323" s="8"/>
      <c r="K323" s="18"/>
      <c r="R323" s="8"/>
      <c r="T323" s="26" t="str">
        <f t="shared" si="1"/>
        <v/>
      </c>
    </row>
    <row r="324">
      <c r="G324" s="8"/>
      <c r="K324" s="18"/>
      <c r="R324" s="8"/>
      <c r="T324" s="26" t="str">
        <f t="shared" si="1"/>
        <v/>
      </c>
    </row>
    <row r="325">
      <c r="G325" s="8"/>
      <c r="K325" s="18"/>
      <c r="R325" s="8"/>
      <c r="T325" s="26" t="str">
        <f t="shared" si="1"/>
        <v/>
      </c>
    </row>
    <row r="326">
      <c r="G326" s="8"/>
      <c r="K326" s="18"/>
      <c r="R326" s="8"/>
      <c r="T326" s="26" t="str">
        <f t="shared" si="1"/>
        <v/>
      </c>
    </row>
    <row r="327">
      <c r="G327" s="8"/>
      <c r="K327" s="18"/>
      <c r="R327" s="8"/>
      <c r="T327" s="26" t="str">
        <f t="shared" si="1"/>
        <v/>
      </c>
    </row>
    <row r="328">
      <c r="G328" s="8"/>
      <c r="K328" s="18"/>
      <c r="R328" s="8"/>
      <c r="T328" s="26" t="str">
        <f t="shared" si="1"/>
        <v/>
      </c>
    </row>
    <row r="329">
      <c r="G329" s="8"/>
      <c r="K329" s="18"/>
      <c r="R329" s="8"/>
      <c r="T329" s="26" t="str">
        <f t="shared" si="1"/>
        <v/>
      </c>
    </row>
    <row r="330">
      <c r="G330" s="8"/>
      <c r="K330" s="18"/>
      <c r="R330" s="8"/>
      <c r="T330" s="26" t="str">
        <f t="shared" si="1"/>
        <v/>
      </c>
    </row>
    <row r="331">
      <c r="G331" s="8"/>
      <c r="K331" s="18"/>
      <c r="R331" s="8"/>
      <c r="T331" s="26" t="str">
        <f t="shared" si="1"/>
        <v/>
      </c>
    </row>
    <row r="332">
      <c r="G332" s="8"/>
      <c r="K332" s="18"/>
      <c r="R332" s="8"/>
      <c r="T332" s="26" t="str">
        <f t="shared" si="1"/>
        <v/>
      </c>
    </row>
    <row r="333">
      <c r="G333" s="8"/>
      <c r="K333" s="18"/>
      <c r="R333" s="8"/>
      <c r="T333" s="26" t="str">
        <f t="shared" si="1"/>
        <v/>
      </c>
    </row>
    <row r="334">
      <c r="G334" s="8"/>
      <c r="K334" s="18"/>
      <c r="R334" s="8"/>
      <c r="T334" s="26" t="str">
        <f t="shared" si="1"/>
        <v/>
      </c>
    </row>
    <row r="335">
      <c r="G335" s="8"/>
      <c r="K335" s="18"/>
      <c r="R335" s="8"/>
      <c r="T335" s="26" t="str">
        <f t="shared" si="1"/>
        <v/>
      </c>
    </row>
    <row r="336">
      <c r="G336" s="8"/>
      <c r="K336" s="18"/>
      <c r="R336" s="8"/>
      <c r="T336" s="26" t="str">
        <f t="shared" si="1"/>
        <v/>
      </c>
    </row>
    <row r="337">
      <c r="G337" s="8"/>
      <c r="K337" s="18"/>
      <c r="R337" s="8"/>
      <c r="T337" s="26" t="str">
        <f t="shared" si="1"/>
        <v/>
      </c>
    </row>
    <row r="338">
      <c r="G338" s="8"/>
      <c r="K338" s="18"/>
      <c r="R338" s="8"/>
      <c r="T338" s="26" t="str">
        <f t="shared" si="1"/>
        <v/>
      </c>
    </row>
    <row r="339">
      <c r="G339" s="8"/>
      <c r="K339" s="18"/>
      <c r="R339" s="8"/>
      <c r="T339" s="26" t="str">
        <f t="shared" si="1"/>
        <v/>
      </c>
    </row>
    <row r="340">
      <c r="G340" s="8"/>
      <c r="K340" s="18"/>
      <c r="R340" s="8"/>
      <c r="T340" s="26" t="str">
        <f t="shared" si="1"/>
        <v/>
      </c>
    </row>
    <row r="341">
      <c r="G341" s="8"/>
      <c r="K341" s="18"/>
      <c r="R341" s="8"/>
      <c r="T341" s="26" t="str">
        <f t="shared" si="1"/>
        <v/>
      </c>
    </row>
    <row r="342">
      <c r="G342" s="8"/>
      <c r="K342" s="18"/>
      <c r="R342" s="8"/>
      <c r="T342" s="26" t="str">
        <f t="shared" si="1"/>
        <v/>
      </c>
    </row>
    <row r="343">
      <c r="G343" s="8"/>
      <c r="K343" s="18"/>
      <c r="R343" s="8"/>
      <c r="T343" s="26" t="str">
        <f t="shared" si="1"/>
        <v/>
      </c>
    </row>
    <row r="344">
      <c r="G344" s="8"/>
      <c r="K344" s="18"/>
      <c r="R344" s="8"/>
      <c r="T344" s="26" t="str">
        <f t="shared" si="1"/>
        <v/>
      </c>
    </row>
    <row r="345">
      <c r="G345" s="8"/>
      <c r="K345" s="18"/>
      <c r="R345" s="8"/>
      <c r="T345" s="26" t="str">
        <f t="shared" si="1"/>
        <v/>
      </c>
    </row>
    <row r="346">
      <c r="G346" s="8"/>
      <c r="K346" s="18"/>
      <c r="R346" s="8"/>
      <c r="T346" s="26" t="str">
        <f t="shared" si="1"/>
        <v/>
      </c>
    </row>
    <row r="347">
      <c r="G347" s="8"/>
      <c r="K347" s="18"/>
      <c r="R347" s="8"/>
      <c r="T347" s="26" t="str">
        <f t="shared" si="1"/>
        <v/>
      </c>
    </row>
    <row r="348">
      <c r="G348" s="8"/>
      <c r="K348" s="18"/>
      <c r="R348" s="8"/>
      <c r="T348" s="26" t="str">
        <f t="shared" si="1"/>
        <v/>
      </c>
    </row>
    <row r="349">
      <c r="G349" s="8"/>
      <c r="K349" s="18"/>
      <c r="R349" s="8"/>
      <c r="T349" s="26" t="str">
        <f t="shared" si="1"/>
        <v/>
      </c>
    </row>
    <row r="350">
      <c r="G350" s="8"/>
      <c r="K350" s="18"/>
      <c r="R350" s="8"/>
      <c r="T350" s="26" t="str">
        <f t="shared" si="1"/>
        <v/>
      </c>
    </row>
    <row r="351">
      <c r="G351" s="8"/>
      <c r="K351" s="18"/>
      <c r="R351" s="8"/>
      <c r="T351" s="26" t="str">
        <f t="shared" si="1"/>
        <v/>
      </c>
    </row>
    <row r="352">
      <c r="G352" s="8"/>
      <c r="K352" s="18"/>
      <c r="R352" s="8"/>
      <c r="T352" s="26" t="str">
        <f t="shared" si="1"/>
        <v/>
      </c>
    </row>
    <row r="353">
      <c r="G353" s="8"/>
      <c r="K353" s="18"/>
      <c r="R353" s="8"/>
      <c r="T353" s="26" t="str">
        <f t="shared" si="1"/>
        <v/>
      </c>
    </row>
    <row r="354">
      <c r="G354" s="8"/>
      <c r="K354" s="18"/>
      <c r="R354" s="8"/>
      <c r="T354" s="26" t="str">
        <f t="shared" si="1"/>
        <v/>
      </c>
    </row>
    <row r="355">
      <c r="G355" s="8"/>
      <c r="K355" s="18"/>
      <c r="R355" s="8"/>
      <c r="T355" s="26" t="str">
        <f t="shared" si="1"/>
        <v/>
      </c>
    </row>
    <row r="356">
      <c r="G356" s="8"/>
      <c r="K356" s="18"/>
      <c r="R356" s="8"/>
      <c r="T356" s="26" t="str">
        <f t="shared" si="1"/>
        <v/>
      </c>
    </row>
    <row r="357">
      <c r="G357" s="8"/>
      <c r="K357" s="18"/>
      <c r="R357" s="8"/>
      <c r="T357" s="26" t="str">
        <f t="shared" si="1"/>
        <v/>
      </c>
    </row>
    <row r="358">
      <c r="G358" s="8"/>
      <c r="K358" s="18"/>
      <c r="R358" s="8"/>
      <c r="T358" s="26" t="str">
        <f t="shared" si="1"/>
        <v/>
      </c>
    </row>
    <row r="359">
      <c r="G359" s="8"/>
      <c r="K359" s="18"/>
      <c r="R359" s="8"/>
      <c r="T359" s="26" t="str">
        <f t="shared" si="1"/>
        <v/>
      </c>
    </row>
    <row r="360">
      <c r="G360" s="8"/>
      <c r="K360" s="18"/>
      <c r="R360" s="8"/>
      <c r="T360" s="26" t="str">
        <f t="shared" si="1"/>
        <v/>
      </c>
    </row>
    <row r="361">
      <c r="G361" s="8"/>
      <c r="K361" s="18"/>
      <c r="R361" s="8"/>
      <c r="T361" s="26" t="str">
        <f t="shared" si="1"/>
        <v/>
      </c>
    </row>
    <row r="362">
      <c r="G362" s="8"/>
      <c r="K362" s="18"/>
      <c r="R362" s="8"/>
      <c r="T362" s="26" t="str">
        <f t="shared" si="1"/>
        <v/>
      </c>
    </row>
    <row r="363">
      <c r="G363" s="8"/>
      <c r="K363" s="18"/>
      <c r="R363" s="8"/>
      <c r="T363" s="26" t="str">
        <f t="shared" si="1"/>
        <v/>
      </c>
    </row>
    <row r="364">
      <c r="G364" s="8"/>
      <c r="K364" s="18"/>
      <c r="R364" s="8"/>
      <c r="T364" s="26" t="str">
        <f t="shared" si="1"/>
        <v/>
      </c>
    </row>
    <row r="365">
      <c r="G365" s="8"/>
      <c r="K365" s="18"/>
      <c r="R365" s="8"/>
      <c r="T365" s="26" t="str">
        <f t="shared" si="1"/>
        <v/>
      </c>
    </row>
    <row r="366">
      <c r="G366" s="8"/>
      <c r="K366" s="18"/>
      <c r="R366" s="8"/>
      <c r="T366" s="26" t="str">
        <f t="shared" si="1"/>
        <v/>
      </c>
    </row>
    <row r="367">
      <c r="G367" s="8"/>
      <c r="K367" s="18"/>
      <c r="R367" s="8"/>
      <c r="T367" s="26" t="str">
        <f t="shared" si="1"/>
        <v/>
      </c>
    </row>
    <row r="368">
      <c r="G368" s="8"/>
      <c r="K368" s="18"/>
      <c r="R368" s="8"/>
      <c r="T368" s="26" t="str">
        <f t="shared" si="1"/>
        <v/>
      </c>
    </row>
    <row r="369">
      <c r="G369" s="8"/>
      <c r="K369" s="18"/>
      <c r="R369" s="8"/>
      <c r="T369" s="26" t="str">
        <f t="shared" si="1"/>
        <v/>
      </c>
    </row>
    <row r="370">
      <c r="G370" s="8"/>
      <c r="K370" s="18"/>
      <c r="R370" s="8"/>
      <c r="T370" s="26" t="str">
        <f t="shared" si="1"/>
        <v/>
      </c>
    </row>
    <row r="371">
      <c r="G371" s="8"/>
      <c r="K371" s="18"/>
      <c r="R371" s="8"/>
      <c r="T371" s="26" t="str">
        <f t="shared" si="1"/>
        <v/>
      </c>
    </row>
    <row r="372">
      <c r="G372" s="8"/>
      <c r="K372" s="18"/>
      <c r="R372" s="8"/>
      <c r="T372" s="26" t="str">
        <f t="shared" si="1"/>
        <v/>
      </c>
    </row>
    <row r="373">
      <c r="G373" s="8"/>
      <c r="K373" s="18"/>
      <c r="R373" s="8"/>
      <c r="T373" s="26" t="str">
        <f t="shared" si="1"/>
        <v/>
      </c>
    </row>
    <row r="374">
      <c r="G374" s="8"/>
      <c r="K374" s="18"/>
      <c r="R374" s="8"/>
    </row>
    <row r="375">
      <c r="G375" s="8"/>
      <c r="K375" s="18"/>
      <c r="R375" s="8"/>
    </row>
    <row r="376">
      <c r="G376" s="8"/>
      <c r="K376" s="18"/>
      <c r="R376" s="8"/>
    </row>
    <row r="377">
      <c r="G377" s="8"/>
      <c r="K377" s="18"/>
      <c r="R377" s="8"/>
    </row>
    <row r="378">
      <c r="G378" s="8"/>
      <c r="K378" s="18"/>
      <c r="R378" s="8"/>
    </row>
    <row r="379">
      <c r="G379" s="8"/>
      <c r="K379" s="18"/>
      <c r="R379" s="8"/>
    </row>
    <row r="380">
      <c r="G380" s="8"/>
      <c r="K380" s="18"/>
      <c r="R380" s="8"/>
    </row>
    <row r="381">
      <c r="G381" s="8"/>
      <c r="K381" s="18"/>
      <c r="R381" s="8"/>
    </row>
    <row r="382">
      <c r="G382" s="8"/>
      <c r="K382" s="18"/>
      <c r="R382" s="8"/>
    </row>
    <row r="383">
      <c r="G383" s="8"/>
      <c r="K383" s="18"/>
      <c r="R383" s="8"/>
    </row>
    <row r="384">
      <c r="G384" s="8"/>
      <c r="K384" s="18"/>
      <c r="R384" s="8"/>
    </row>
    <row r="385">
      <c r="G385" s="8"/>
      <c r="K385" s="18"/>
      <c r="R385" s="8"/>
    </row>
    <row r="386">
      <c r="G386" s="8"/>
      <c r="K386" s="18"/>
      <c r="R386" s="8"/>
    </row>
    <row r="387">
      <c r="G387" s="8"/>
      <c r="K387" s="18"/>
      <c r="R387" s="8"/>
    </row>
    <row r="388">
      <c r="G388" s="8"/>
      <c r="K388" s="18"/>
      <c r="R388" s="8"/>
    </row>
    <row r="389">
      <c r="G389" s="8"/>
      <c r="K389" s="18"/>
      <c r="R389" s="8"/>
    </row>
    <row r="390">
      <c r="G390" s="8"/>
      <c r="K390" s="18"/>
      <c r="R390" s="8"/>
    </row>
    <row r="391">
      <c r="G391" s="8"/>
      <c r="K391" s="18"/>
      <c r="R391" s="8"/>
    </row>
    <row r="392">
      <c r="G392" s="8"/>
      <c r="K392" s="18"/>
      <c r="R392" s="8"/>
    </row>
    <row r="393">
      <c r="G393" s="8"/>
      <c r="K393" s="18"/>
      <c r="R393" s="8"/>
    </row>
    <row r="394">
      <c r="G394" s="8"/>
      <c r="K394" s="18"/>
      <c r="R394" s="8"/>
    </row>
    <row r="395">
      <c r="G395" s="8"/>
      <c r="K395" s="18"/>
      <c r="R395" s="8"/>
    </row>
    <row r="396">
      <c r="G396" s="8"/>
      <c r="K396" s="18"/>
      <c r="R396" s="8"/>
    </row>
    <row r="397">
      <c r="G397" s="8"/>
      <c r="K397" s="18"/>
      <c r="R397" s="8"/>
    </row>
    <row r="398">
      <c r="G398" s="8"/>
      <c r="K398" s="18"/>
      <c r="R398" s="8"/>
    </row>
    <row r="399">
      <c r="G399" s="8"/>
      <c r="K399" s="18"/>
      <c r="R399" s="8"/>
    </row>
    <row r="400">
      <c r="G400" s="8"/>
      <c r="K400" s="18"/>
      <c r="R400" s="8"/>
    </row>
    <row r="401">
      <c r="G401" s="8"/>
      <c r="K401" s="18"/>
      <c r="R401" s="8"/>
    </row>
    <row r="402">
      <c r="G402" s="8"/>
      <c r="K402" s="18"/>
      <c r="R402" s="8"/>
    </row>
    <row r="403">
      <c r="G403" s="8"/>
      <c r="K403" s="18"/>
      <c r="R403" s="8"/>
    </row>
    <row r="404">
      <c r="G404" s="8"/>
      <c r="K404" s="18"/>
      <c r="R404" s="8"/>
    </row>
    <row r="405">
      <c r="G405" s="8"/>
      <c r="K405" s="18"/>
      <c r="R405" s="8"/>
    </row>
    <row r="406">
      <c r="G406" s="8"/>
      <c r="K406" s="18"/>
      <c r="R406" s="8"/>
    </row>
    <row r="407">
      <c r="G407" s="8"/>
      <c r="K407" s="18"/>
      <c r="R407" s="8"/>
    </row>
    <row r="408">
      <c r="G408" s="8"/>
      <c r="K408" s="18"/>
      <c r="R408" s="8"/>
    </row>
    <row r="409">
      <c r="G409" s="8"/>
      <c r="K409" s="18"/>
      <c r="R409" s="8"/>
    </row>
    <row r="410">
      <c r="G410" s="8"/>
      <c r="K410" s="18"/>
      <c r="R410" s="8"/>
    </row>
    <row r="411">
      <c r="G411" s="8"/>
      <c r="K411" s="18"/>
      <c r="R411" s="8"/>
    </row>
    <row r="412">
      <c r="G412" s="8"/>
      <c r="K412" s="18"/>
      <c r="R412" s="8"/>
    </row>
    <row r="413">
      <c r="G413" s="8"/>
      <c r="K413" s="18"/>
      <c r="R413" s="8"/>
    </row>
    <row r="414">
      <c r="G414" s="8"/>
      <c r="K414" s="18"/>
      <c r="R414" s="8"/>
    </row>
    <row r="415">
      <c r="G415" s="8"/>
      <c r="K415" s="18"/>
      <c r="R415" s="8"/>
    </row>
    <row r="416">
      <c r="G416" s="8"/>
      <c r="K416" s="18"/>
      <c r="R416" s="8"/>
    </row>
    <row r="417">
      <c r="G417" s="8"/>
      <c r="K417" s="18"/>
      <c r="R417" s="8"/>
    </row>
    <row r="418">
      <c r="G418" s="8"/>
      <c r="K418" s="18"/>
      <c r="R418" s="8"/>
    </row>
    <row r="419">
      <c r="G419" s="8"/>
      <c r="K419" s="18"/>
      <c r="R419" s="8"/>
    </row>
    <row r="420">
      <c r="G420" s="8"/>
      <c r="K420" s="18"/>
      <c r="R420" s="8"/>
    </row>
    <row r="421">
      <c r="G421" s="8"/>
      <c r="K421" s="18"/>
      <c r="R421" s="8"/>
    </row>
    <row r="422">
      <c r="G422" s="8"/>
      <c r="K422" s="18"/>
      <c r="R422" s="8"/>
    </row>
    <row r="423">
      <c r="G423" s="8"/>
      <c r="K423" s="18"/>
      <c r="R423" s="8"/>
    </row>
    <row r="424">
      <c r="G424" s="8"/>
      <c r="K424" s="18"/>
      <c r="R424" s="8"/>
    </row>
    <row r="425">
      <c r="G425" s="8"/>
      <c r="K425" s="18"/>
      <c r="R425" s="8"/>
    </row>
    <row r="426">
      <c r="G426" s="8"/>
      <c r="K426" s="18"/>
      <c r="R426" s="8"/>
    </row>
    <row r="427">
      <c r="G427" s="8"/>
      <c r="K427" s="18"/>
      <c r="R427" s="8"/>
    </row>
    <row r="428">
      <c r="G428" s="8"/>
      <c r="K428" s="18"/>
      <c r="R428" s="8"/>
    </row>
    <row r="429">
      <c r="G429" s="8"/>
      <c r="K429" s="18"/>
      <c r="R429" s="8"/>
    </row>
    <row r="430">
      <c r="G430" s="8"/>
      <c r="K430" s="18"/>
      <c r="R430" s="8"/>
    </row>
    <row r="431">
      <c r="G431" s="8"/>
      <c r="K431" s="18"/>
      <c r="R431" s="8"/>
    </row>
    <row r="432">
      <c r="G432" s="8"/>
      <c r="K432" s="18"/>
      <c r="R432" s="8"/>
    </row>
    <row r="433">
      <c r="G433" s="8"/>
      <c r="K433" s="18"/>
      <c r="R433" s="8"/>
    </row>
    <row r="434">
      <c r="G434" s="8"/>
      <c r="K434" s="18"/>
      <c r="R434" s="8"/>
    </row>
    <row r="435">
      <c r="G435" s="8"/>
      <c r="K435" s="18"/>
      <c r="R435" s="8"/>
    </row>
    <row r="436">
      <c r="G436" s="8"/>
      <c r="K436" s="18"/>
      <c r="R436" s="8"/>
    </row>
    <row r="437">
      <c r="G437" s="8"/>
      <c r="K437" s="18"/>
      <c r="R437" s="8"/>
    </row>
    <row r="438">
      <c r="G438" s="8"/>
      <c r="K438" s="18"/>
      <c r="R438" s="8"/>
    </row>
    <row r="439">
      <c r="G439" s="8"/>
      <c r="K439" s="18"/>
      <c r="R439" s="8"/>
    </row>
    <row r="440">
      <c r="G440" s="8"/>
      <c r="K440" s="18"/>
      <c r="R440" s="8"/>
    </row>
    <row r="441">
      <c r="G441" s="8"/>
      <c r="K441" s="18"/>
      <c r="R441" s="8"/>
    </row>
    <row r="442">
      <c r="G442" s="8"/>
      <c r="K442" s="18"/>
      <c r="R442" s="8"/>
    </row>
    <row r="443">
      <c r="G443" s="8"/>
      <c r="K443" s="18"/>
      <c r="R443" s="8"/>
    </row>
    <row r="444">
      <c r="G444" s="8"/>
      <c r="K444" s="18"/>
      <c r="R444" s="8"/>
    </row>
    <row r="445">
      <c r="G445" s="8"/>
      <c r="K445" s="18"/>
      <c r="R445" s="8"/>
    </row>
    <row r="446">
      <c r="G446" s="8"/>
      <c r="K446" s="18"/>
      <c r="R446" s="8"/>
    </row>
    <row r="447">
      <c r="G447" s="8"/>
      <c r="K447" s="18"/>
      <c r="R447" s="8"/>
    </row>
    <row r="448">
      <c r="G448" s="8"/>
      <c r="K448" s="18"/>
      <c r="R448" s="8"/>
    </row>
    <row r="449">
      <c r="G449" s="8"/>
      <c r="K449" s="18"/>
      <c r="R449" s="8"/>
    </row>
    <row r="450">
      <c r="G450" s="8"/>
      <c r="K450" s="18"/>
      <c r="R450" s="8"/>
    </row>
    <row r="451">
      <c r="G451" s="8"/>
      <c r="K451" s="18"/>
      <c r="R451" s="8"/>
    </row>
    <row r="452">
      <c r="G452" s="8"/>
      <c r="K452" s="18"/>
      <c r="R452" s="8"/>
    </row>
    <row r="453">
      <c r="G453" s="8"/>
      <c r="K453" s="18"/>
      <c r="R453" s="8"/>
    </row>
    <row r="454">
      <c r="G454" s="8"/>
      <c r="K454" s="18"/>
      <c r="R454" s="8"/>
    </row>
    <row r="455">
      <c r="G455" s="8"/>
      <c r="K455" s="18"/>
      <c r="R455" s="8"/>
    </row>
    <row r="456">
      <c r="G456" s="8"/>
      <c r="K456" s="18"/>
      <c r="R456" s="8"/>
    </row>
    <row r="457">
      <c r="G457" s="8"/>
      <c r="K457" s="18"/>
      <c r="R457" s="8"/>
    </row>
    <row r="458">
      <c r="G458" s="8"/>
      <c r="K458" s="18"/>
      <c r="R458" s="8"/>
    </row>
    <row r="459">
      <c r="G459" s="8"/>
      <c r="K459" s="18"/>
      <c r="R459" s="8"/>
    </row>
    <row r="460">
      <c r="G460" s="8"/>
      <c r="K460" s="18"/>
      <c r="R460" s="8"/>
    </row>
    <row r="461">
      <c r="G461" s="8"/>
      <c r="K461" s="18"/>
      <c r="R461" s="8"/>
    </row>
    <row r="462">
      <c r="G462" s="8"/>
      <c r="K462" s="18"/>
      <c r="R462" s="8"/>
    </row>
    <row r="463">
      <c r="G463" s="8"/>
      <c r="K463" s="18"/>
      <c r="R463" s="8"/>
    </row>
    <row r="464">
      <c r="G464" s="8"/>
      <c r="K464" s="18"/>
      <c r="R464" s="8"/>
    </row>
    <row r="465">
      <c r="G465" s="8"/>
      <c r="K465" s="18"/>
      <c r="R465" s="8"/>
    </row>
    <row r="466">
      <c r="G466" s="8"/>
      <c r="K466" s="18"/>
      <c r="R466" s="8"/>
    </row>
    <row r="467">
      <c r="G467" s="8"/>
      <c r="K467" s="18"/>
      <c r="R467" s="8"/>
    </row>
    <row r="468">
      <c r="G468" s="8"/>
      <c r="K468" s="18"/>
      <c r="R468" s="8"/>
    </row>
    <row r="469">
      <c r="G469" s="8"/>
      <c r="K469" s="18"/>
      <c r="R469" s="8"/>
    </row>
    <row r="470">
      <c r="G470" s="8"/>
      <c r="K470" s="18"/>
      <c r="R470" s="8"/>
    </row>
    <row r="471">
      <c r="G471" s="8"/>
      <c r="K471" s="18"/>
      <c r="R471" s="8"/>
    </row>
    <row r="472">
      <c r="G472" s="8"/>
      <c r="K472" s="18"/>
      <c r="R472" s="8"/>
    </row>
    <row r="473">
      <c r="G473" s="8"/>
      <c r="K473" s="18"/>
      <c r="R473" s="8"/>
    </row>
    <row r="474">
      <c r="G474" s="8"/>
      <c r="K474" s="18"/>
      <c r="R474" s="8"/>
    </row>
    <row r="475">
      <c r="G475" s="8"/>
      <c r="K475" s="18"/>
      <c r="R475" s="8"/>
    </row>
    <row r="476">
      <c r="G476" s="8"/>
      <c r="K476" s="18"/>
      <c r="R476" s="8"/>
    </row>
    <row r="477">
      <c r="G477" s="8"/>
      <c r="K477" s="18"/>
      <c r="R477" s="8"/>
    </row>
    <row r="478">
      <c r="G478" s="8"/>
      <c r="K478" s="18"/>
      <c r="R478" s="8"/>
    </row>
    <row r="479">
      <c r="G479" s="8"/>
      <c r="K479" s="18"/>
      <c r="R479" s="8"/>
    </row>
    <row r="480">
      <c r="G480" s="8"/>
      <c r="K480" s="18"/>
      <c r="R480" s="8"/>
    </row>
    <row r="481">
      <c r="G481" s="8"/>
      <c r="K481" s="18"/>
      <c r="R481" s="8"/>
    </row>
    <row r="482">
      <c r="G482" s="8"/>
      <c r="K482" s="18"/>
      <c r="R482" s="8"/>
    </row>
    <row r="483">
      <c r="G483" s="8"/>
      <c r="K483" s="18"/>
      <c r="R483" s="8"/>
    </row>
    <row r="484">
      <c r="G484" s="8"/>
      <c r="K484" s="18"/>
      <c r="R484" s="8"/>
    </row>
    <row r="485">
      <c r="G485" s="8"/>
      <c r="K485" s="18"/>
      <c r="R485" s="8"/>
    </row>
    <row r="486">
      <c r="G486" s="8"/>
      <c r="K486" s="18"/>
      <c r="R486" s="8"/>
    </row>
    <row r="487">
      <c r="G487" s="8"/>
      <c r="K487" s="18"/>
      <c r="R487" s="8"/>
    </row>
    <row r="488">
      <c r="G488" s="8"/>
      <c r="K488" s="18"/>
      <c r="R488" s="8"/>
    </row>
    <row r="489">
      <c r="G489" s="8"/>
      <c r="K489" s="18"/>
      <c r="R489" s="8"/>
    </row>
    <row r="490">
      <c r="G490" s="8"/>
      <c r="K490" s="18"/>
      <c r="R490" s="8"/>
    </row>
    <row r="491">
      <c r="G491" s="8"/>
      <c r="K491" s="18"/>
      <c r="R491" s="8"/>
    </row>
    <row r="492">
      <c r="G492" s="8"/>
      <c r="K492" s="18"/>
      <c r="R492" s="8"/>
    </row>
    <row r="493">
      <c r="G493" s="8"/>
      <c r="K493" s="18"/>
      <c r="R493" s="8"/>
    </row>
    <row r="494">
      <c r="G494" s="8"/>
      <c r="K494" s="18"/>
      <c r="R494" s="8"/>
    </row>
    <row r="495">
      <c r="G495" s="8"/>
      <c r="K495" s="18"/>
      <c r="R495" s="8"/>
    </row>
    <row r="496">
      <c r="G496" s="8"/>
      <c r="K496" s="18"/>
      <c r="R496" s="8"/>
    </row>
    <row r="497">
      <c r="G497" s="8"/>
      <c r="K497" s="18"/>
      <c r="R497" s="8"/>
    </row>
    <row r="498">
      <c r="G498" s="8"/>
      <c r="K498" s="18"/>
      <c r="R498" s="8"/>
    </row>
    <row r="499">
      <c r="G499" s="8"/>
      <c r="K499" s="18"/>
      <c r="R499" s="8"/>
    </row>
    <row r="500">
      <c r="G500" s="8"/>
      <c r="K500" s="18"/>
      <c r="R500" s="8"/>
    </row>
    <row r="501">
      <c r="G501" s="8"/>
      <c r="K501" s="18"/>
      <c r="R501" s="8"/>
    </row>
    <row r="502">
      <c r="G502" s="8"/>
      <c r="K502" s="18"/>
      <c r="R502" s="8"/>
    </row>
    <row r="503">
      <c r="G503" s="8"/>
      <c r="K503" s="18"/>
      <c r="R503" s="8"/>
    </row>
    <row r="504">
      <c r="G504" s="8"/>
      <c r="K504" s="18"/>
      <c r="R504" s="8"/>
    </row>
    <row r="505">
      <c r="G505" s="8"/>
      <c r="K505" s="18"/>
      <c r="R505" s="8"/>
    </row>
    <row r="506">
      <c r="G506" s="8"/>
      <c r="K506" s="18"/>
      <c r="R506" s="8"/>
    </row>
    <row r="507">
      <c r="G507" s="8"/>
      <c r="K507" s="18"/>
      <c r="R507" s="8"/>
    </row>
    <row r="508">
      <c r="G508" s="8"/>
      <c r="K508" s="18"/>
      <c r="R508" s="8"/>
    </row>
    <row r="509">
      <c r="G509" s="8"/>
      <c r="K509" s="18"/>
      <c r="R509" s="8"/>
    </row>
    <row r="510">
      <c r="G510" s="8"/>
      <c r="K510" s="18"/>
      <c r="R510" s="8"/>
    </row>
    <row r="511">
      <c r="G511" s="8"/>
      <c r="K511" s="18"/>
      <c r="R511" s="8"/>
    </row>
    <row r="512">
      <c r="G512" s="8"/>
      <c r="K512" s="18"/>
      <c r="R512" s="8"/>
    </row>
    <row r="513">
      <c r="G513" s="8"/>
      <c r="K513" s="18"/>
      <c r="R513" s="8"/>
    </row>
    <row r="514">
      <c r="G514" s="8"/>
      <c r="K514" s="18"/>
      <c r="R514" s="8"/>
    </row>
    <row r="515">
      <c r="G515" s="8"/>
      <c r="K515" s="18"/>
      <c r="R515" s="8"/>
    </row>
    <row r="516">
      <c r="G516" s="8"/>
      <c r="K516" s="18"/>
      <c r="R516" s="8"/>
    </row>
    <row r="517">
      <c r="G517" s="8"/>
      <c r="K517" s="18"/>
      <c r="R517" s="8"/>
    </row>
    <row r="518">
      <c r="G518" s="8"/>
      <c r="K518" s="18"/>
      <c r="R518" s="8"/>
    </row>
    <row r="519">
      <c r="G519" s="8"/>
      <c r="K519" s="18"/>
      <c r="R519" s="8"/>
    </row>
    <row r="520">
      <c r="G520" s="8"/>
      <c r="K520" s="18"/>
      <c r="R520" s="8"/>
    </row>
    <row r="521">
      <c r="G521" s="8"/>
      <c r="K521" s="18"/>
      <c r="R521" s="8"/>
    </row>
    <row r="522">
      <c r="G522" s="8"/>
      <c r="K522" s="18"/>
      <c r="R522" s="8"/>
    </row>
    <row r="523">
      <c r="G523" s="8"/>
      <c r="K523" s="18"/>
      <c r="R523" s="8"/>
    </row>
    <row r="524">
      <c r="G524" s="8"/>
      <c r="K524" s="18"/>
      <c r="R524" s="8"/>
    </row>
    <row r="525">
      <c r="G525" s="8"/>
      <c r="K525" s="18"/>
      <c r="R525" s="8"/>
    </row>
    <row r="526">
      <c r="G526" s="8"/>
      <c r="K526" s="18"/>
      <c r="R526" s="8"/>
    </row>
    <row r="527">
      <c r="G527" s="8"/>
      <c r="K527" s="18"/>
      <c r="R527" s="8"/>
    </row>
    <row r="528">
      <c r="G528" s="8"/>
      <c r="K528" s="18"/>
      <c r="R528" s="8"/>
    </row>
    <row r="529">
      <c r="G529" s="8"/>
      <c r="K529" s="18"/>
      <c r="R529" s="8"/>
    </row>
    <row r="530">
      <c r="G530" s="8"/>
      <c r="K530" s="18"/>
      <c r="R530" s="8"/>
    </row>
    <row r="531">
      <c r="G531" s="8"/>
      <c r="K531" s="18"/>
      <c r="R531" s="8"/>
    </row>
    <row r="532">
      <c r="G532" s="8"/>
      <c r="K532" s="18"/>
      <c r="R532" s="8"/>
    </row>
    <row r="533">
      <c r="G533" s="8"/>
      <c r="K533" s="18"/>
      <c r="R533" s="8"/>
    </row>
    <row r="534">
      <c r="G534" s="8"/>
      <c r="K534" s="18"/>
      <c r="R534" s="8"/>
    </row>
    <row r="535">
      <c r="G535" s="8"/>
      <c r="K535" s="18"/>
      <c r="R535" s="8"/>
    </row>
    <row r="536">
      <c r="G536" s="8"/>
      <c r="K536" s="18"/>
      <c r="R536" s="8"/>
    </row>
    <row r="537">
      <c r="G537" s="8"/>
      <c r="K537" s="18"/>
      <c r="R537" s="8"/>
    </row>
    <row r="538">
      <c r="G538" s="8"/>
      <c r="K538" s="18"/>
      <c r="R538" s="8"/>
    </row>
    <row r="539">
      <c r="G539" s="8"/>
      <c r="K539" s="18"/>
      <c r="R539" s="8"/>
    </row>
    <row r="540">
      <c r="G540" s="8"/>
      <c r="K540" s="18"/>
      <c r="R540" s="8"/>
    </row>
    <row r="541">
      <c r="G541" s="8"/>
      <c r="K541" s="18"/>
      <c r="R541" s="8"/>
    </row>
    <row r="542">
      <c r="G542" s="8"/>
      <c r="K542" s="18"/>
      <c r="R542" s="8"/>
    </row>
    <row r="543">
      <c r="G543" s="8"/>
      <c r="K543" s="18"/>
      <c r="R543" s="8"/>
    </row>
    <row r="544">
      <c r="G544" s="8"/>
      <c r="K544" s="18"/>
      <c r="R544" s="8"/>
    </row>
    <row r="545">
      <c r="G545" s="8"/>
      <c r="K545" s="18"/>
      <c r="R545" s="8"/>
    </row>
    <row r="546">
      <c r="G546" s="8"/>
      <c r="K546" s="18"/>
      <c r="R546" s="8"/>
    </row>
    <row r="547">
      <c r="G547" s="8"/>
      <c r="K547" s="18"/>
      <c r="R547" s="8"/>
    </row>
    <row r="548">
      <c r="G548" s="8"/>
      <c r="K548" s="18"/>
      <c r="R548" s="8"/>
    </row>
    <row r="549">
      <c r="G549" s="8"/>
      <c r="K549" s="18"/>
      <c r="R549" s="8"/>
    </row>
    <row r="550">
      <c r="G550" s="8"/>
      <c r="K550" s="18"/>
      <c r="R550" s="8"/>
    </row>
    <row r="551">
      <c r="G551" s="8"/>
      <c r="K551" s="18"/>
      <c r="R551" s="8"/>
    </row>
    <row r="552">
      <c r="G552" s="8"/>
      <c r="K552" s="18"/>
      <c r="R552" s="8"/>
    </row>
    <row r="553">
      <c r="G553" s="8"/>
      <c r="K553" s="18"/>
      <c r="R553" s="8"/>
    </row>
    <row r="554">
      <c r="G554" s="8"/>
      <c r="K554" s="18"/>
      <c r="R554" s="8"/>
    </row>
    <row r="555">
      <c r="G555" s="8"/>
      <c r="K555" s="18"/>
      <c r="R555" s="8"/>
    </row>
    <row r="556">
      <c r="G556" s="8"/>
      <c r="K556" s="18"/>
      <c r="R556" s="8"/>
    </row>
    <row r="557">
      <c r="G557" s="8"/>
      <c r="K557" s="18"/>
      <c r="R557" s="8"/>
    </row>
    <row r="558">
      <c r="G558" s="8"/>
      <c r="K558" s="18"/>
      <c r="R558" s="8"/>
    </row>
    <row r="559">
      <c r="G559" s="8"/>
      <c r="K559" s="18"/>
      <c r="R559" s="8"/>
    </row>
    <row r="560">
      <c r="G560" s="8"/>
      <c r="K560" s="18"/>
      <c r="R560" s="8"/>
    </row>
    <row r="561">
      <c r="G561" s="8"/>
      <c r="K561" s="18"/>
      <c r="R561" s="8"/>
    </row>
    <row r="562">
      <c r="G562" s="8"/>
      <c r="K562" s="18"/>
      <c r="R562" s="8"/>
    </row>
    <row r="563">
      <c r="G563" s="8"/>
      <c r="K563" s="18"/>
      <c r="R563" s="8"/>
    </row>
    <row r="564">
      <c r="G564" s="8"/>
      <c r="K564" s="18"/>
      <c r="R564" s="8"/>
    </row>
    <row r="565">
      <c r="G565" s="8"/>
      <c r="K565" s="18"/>
      <c r="R565" s="8"/>
    </row>
    <row r="566">
      <c r="G566" s="8"/>
      <c r="K566" s="18"/>
      <c r="R566" s="8"/>
    </row>
    <row r="567">
      <c r="G567" s="8"/>
      <c r="K567" s="18"/>
      <c r="R567" s="8"/>
    </row>
    <row r="568">
      <c r="G568" s="8"/>
      <c r="K568" s="18"/>
      <c r="R568" s="8"/>
    </row>
    <row r="569">
      <c r="G569" s="8"/>
      <c r="K569" s="18"/>
      <c r="R569" s="8"/>
    </row>
    <row r="570">
      <c r="G570" s="8"/>
      <c r="K570" s="18"/>
      <c r="R570" s="8"/>
    </row>
    <row r="571">
      <c r="G571" s="8"/>
      <c r="K571" s="18"/>
      <c r="R571" s="8"/>
    </row>
    <row r="572">
      <c r="G572" s="8"/>
      <c r="K572" s="18"/>
      <c r="R572" s="8"/>
    </row>
    <row r="573">
      <c r="G573" s="8"/>
      <c r="K573" s="18"/>
      <c r="R573" s="8"/>
    </row>
    <row r="574">
      <c r="G574" s="8"/>
      <c r="K574" s="18"/>
      <c r="R574" s="8"/>
    </row>
    <row r="575">
      <c r="G575" s="8"/>
      <c r="K575" s="18"/>
      <c r="R575" s="8"/>
    </row>
    <row r="576">
      <c r="G576" s="8"/>
      <c r="K576" s="18"/>
      <c r="R576" s="8"/>
    </row>
    <row r="577">
      <c r="G577" s="8"/>
      <c r="K577" s="18"/>
      <c r="R577" s="8"/>
    </row>
    <row r="578">
      <c r="G578" s="8"/>
      <c r="K578" s="18"/>
      <c r="R578" s="8"/>
    </row>
    <row r="579">
      <c r="G579" s="8"/>
      <c r="K579" s="18"/>
      <c r="R579" s="8"/>
    </row>
    <row r="580">
      <c r="G580" s="8"/>
      <c r="K580" s="18"/>
      <c r="R580" s="8"/>
    </row>
    <row r="581">
      <c r="G581" s="8"/>
      <c r="K581" s="18"/>
      <c r="R581" s="8"/>
    </row>
    <row r="582">
      <c r="G582" s="8"/>
      <c r="K582" s="18"/>
      <c r="R582" s="8"/>
    </row>
    <row r="583">
      <c r="G583" s="8"/>
      <c r="K583" s="18"/>
      <c r="R583" s="8"/>
    </row>
    <row r="584">
      <c r="G584" s="8"/>
      <c r="K584" s="18"/>
      <c r="R584" s="8"/>
    </row>
    <row r="585">
      <c r="G585" s="8"/>
      <c r="K585" s="18"/>
      <c r="R585" s="8"/>
    </row>
    <row r="586">
      <c r="G586" s="8"/>
      <c r="K586" s="18"/>
      <c r="R586" s="8"/>
    </row>
    <row r="587">
      <c r="G587" s="8"/>
      <c r="K587" s="18"/>
      <c r="R587" s="8"/>
    </row>
    <row r="588">
      <c r="G588" s="8"/>
      <c r="K588" s="18"/>
      <c r="R588" s="8"/>
    </row>
    <row r="589">
      <c r="G589" s="8"/>
      <c r="K589" s="18"/>
      <c r="R589" s="8"/>
    </row>
    <row r="590">
      <c r="G590" s="8"/>
      <c r="K590" s="18"/>
      <c r="R590" s="8"/>
    </row>
    <row r="591">
      <c r="G591" s="8"/>
      <c r="K591" s="18"/>
      <c r="R591" s="8"/>
    </row>
    <row r="592">
      <c r="G592" s="8"/>
      <c r="K592" s="18"/>
      <c r="R592" s="8"/>
    </row>
    <row r="593">
      <c r="G593" s="8"/>
      <c r="K593" s="18"/>
      <c r="R593" s="8"/>
    </row>
    <row r="594">
      <c r="G594" s="8"/>
      <c r="K594" s="18"/>
      <c r="R594" s="8"/>
    </row>
    <row r="595">
      <c r="G595" s="8"/>
      <c r="K595" s="18"/>
      <c r="R595" s="8"/>
    </row>
    <row r="596">
      <c r="G596" s="8"/>
      <c r="K596" s="18"/>
      <c r="R596" s="8"/>
    </row>
    <row r="597">
      <c r="G597" s="8"/>
      <c r="K597" s="18"/>
      <c r="R597" s="8"/>
    </row>
    <row r="598">
      <c r="G598" s="8"/>
      <c r="K598" s="18"/>
      <c r="R598" s="8"/>
    </row>
    <row r="599">
      <c r="G599" s="8"/>
      <c r="K599" s="18"/>
      <c r="R599" s="8"/>
    </row>
    <row r="600">
      <c r="G600" s="8"/>
      <c r="K600" s="18"/>
      <c r="R600" s="8"/>
    </row>
    <row r="601">
      <c r="G601" s="8"/>
      <c r="K601" s="18"/>
      <c r="R601" s="8"/>
    </row>
    <row r="602">
      <c r="G602" s="8"/>
      <c r="K602" s="18"/>
      <c r="R602" s="8"/>
    </row>
    <row r="603">
      <c r="G603" s="8"/>
      <c r="K603" s="18"/>
      <c r="R603" s="8"/>
    </row>
    <row r="604">
      <c r="G604" s="8"/>
      <c r="K604" s="18"/>
      <c r="R604" s="8"/>
    </row>
    <row r="605">
      <c r="G605" s="8"/>
      <c r="K605" s="18"/>
      <c r="R605" s="8"/>
    </row>
    <row r="606">
      <c r="G606" s="8"/>
      <c r="K606" s="18"/>
      <c r="R606" s="8"/>
    </row>
    <row r="607">
      <c r="G607" s="8"/>
      <c r="K607" s="18"/>
      <c r="R607" s="8"/>
    </row>
    <row r="608">
      <c r="G608" s="8"/>
      <c r="K608" s="18"/>
      <c r="R608" s="8"/>
    </row>
    <row r="609">
      <c r="G609" s="8"/>
      <c r="K609" s="18"/>
      <c r="R609" s="8"/>
    </row>
    <row r="610">
      <c r="G610" s="8"/>
      <c r="K610" s="18"/>
      <c r="R610" s="8"/>
    </row>
    <row r="611">
      <c r="G611" s="8"/>
      <c r="K611" s="18"/>
      <c r="R611" s="8"/>
    </row>
    <row r="612">
      <c r="G612" s="8"/>
      <c r="K612" s="18"/>
      <c r="R612" s="8"/>
    </row>
    <row r="613">
      <c r="G613" s="8"/>
      <c r="K613" s="18"/>
      <c r="R613" s="8"/>
    </row>
    <row r="614">
      <c r="G614" s="8"/>
      <c r="K614" s="18"/>
      <c r="R614" s="8"/>
    </row>
    <row r="615">
      <c r="G615" s="8"/>
      <c r="K615" s="18"/>
      <c r="R615" s="8"/>
    </row>
    <row r="616">
      <c r="G616" s="8"/>
      <c r="K616" s="18"/>
      <c r="R616" s="8"/>
    </row>
    <row r="617">
      <c r="G617" s="8"/>
      <c r="K617" s="18"/>
      <c r="R617" s="8"/>
    </row>
    <row r="618">
      <c r="G618" s="8"/>
      <c r="K618" s="18"/>
      <c r="R618" s="8"/>
    </row>
    <row r="619">
      <c r="G619" s="8"/>
      <c r="K619" s="18"/>
      <c r="R619" s="8"/>
    </row>
    <row r="620">
      <c r="G620" s="8"/>
      <c r="K620" s="18"/>
      <c r="R620" s="8"/>
    </row>
    <row r="621">
      <c r="G621" s="8"/>
      <c r="K621" s="18"/>
      <c r="R621" s="8"/>
    </row>
    <row r="622">
      <c r="G622" s="8"/>
      <c r="K622" s="18"/>
      <c r="R622" s="8"/>
    </row>
    <row r="623">
      <c r="G623" s="8"/>
      <c r="K623" s="18"/>
      <c r="R623" s="8"/>
    </row>
    <row r="624">
      <c r="G624" s="8"/>
      <c r="K624" s="18"/>
      <c r="R624" s="8"/>
    </row>
    <row r="625">
      <c r="G625" s="8"/>
      <c r="K625" s="18"/>
      <c r="R625" s="8"/>
    </row>
    <row r="626">
      <c r="G626" s="8"/>
      <c r="K626" s="18"/>
      <c r="R626" s="8"/>
    </row>
    <row r="627">
      <c r="G627" s="8"/>
      <c r="K627" s="18"/>
      <c r="R627" s="8"/>
    </row>
    <row r="628">
      <c r="G628" s="8"/>
      <c r="K628" s="18"/>
      <c r="R628" s="8"/>
    </row>
    <row r="629">
      <c r="G629" s="8"/>
      <c r="K629" s="18"/>
      <c r="R629" s="8"/>
    </row>
    <row r="630">
      <c r="G630" s="8"/>
      <c r="K630" s="18"/>
      <c r="R630" s="8"/>
    </row>
    <row r="631">
      <c r="G631" s="8"/>
      <c r="K631" s="18"/>
      <c r="R631" s="8"/>
    </row>
    <row r="632">
      <c r="G632" s="8"/>
      <c r="K632" s="18"/>
      <c r="R632" s="8"/>
    </row>
    <row r="633">
      <c r="G633" s="8"/>
      <c r="K633" s="18"/>
      <c r="R633" s="8"/>
    </row>
    <row r="634">
      <c r="G634" s="8"/>
      <c r="K634" s="18"/>
      <c r="R634" s="8"/>
    </row>
    <row r="635">
      <c r="G635" s="8"/>
      <c r="K635" s="18"/>
      <c r="R635" s="8"/>
    </row>
    <row r="636">
      <c r="G636" s="8"/>
      <c r="K636" s="18"/>
      <c r="R636" s="8"/>
    </row>
    <row r="637">
      <c r="G637" s="8"/>
      <c r="K637" s="18"/>
      <c r="R637" s="8"/>
    </row>
    <row r="638">
      <c r="G638" s="8"/>
      <c r="K638" s="18"/>
      <c r="R638" s="8"/>
    </row>
    <row r="639">
      <c r="G639" s="8"/>
      <c r="K639" s="18"/>
      <c r="R639" s="8"/>
    </row>
    <row r="640">
      <c r="G640" s="8"/>
      <c r="K640" s="18"/>
      <c r="R640" s="8"/>
    </row>
    <row r="641">
      <c r="G641" s="8"/>
      <c r="K641" s="18"/>
      <c r="R641" s="8"/>
    </row>
    <row r="642">
      <c r="G642" s="8"/>
      <c r="K642" s="18"/>
      <c r="R642" s="8"/>
    </row>
    <row r="643">
      <c r="G643" s="8"/>
      <c r="K643" s="18"/>
      <c r="R643" s="8"/>
    </row>
    <row r="644">
      <c r="G644" s="8"/>
      <c r="K644" s="18"/>
      <c r="R644" s="8"/>
    </row>
    <row r="645">
      <c r="G645" s="8"/>
      <c r="K645" s="18"/>
      <c r="R645" s="8"/>
    </row>
    <row r="646">
      <c r="G646" s="8"/>
      <c r="K646" s="18"/>
      <c r="R646" s="8"/>
    </row>
    <row r="647">
      <c r="G647" s="8"/>
      <c r="K647" s="18"/>
      <c r="R647" s="8"/>
    </row>
    <row r="648">
      <c r="G648" s="8"/>
      <c r="K648" s="18"/>
      <c r="R648" s="8"/>
    </row>
    <row r="649">
      <c r="G649" s="8"/>
      <c r="K649" s="18"/>
      <c r="R649" s="8"/>
    </row>
    <row r="650">
      <c r="G650" s="8"/>
      <c r="K650" s="18"/>
      <c r="R650" s="8"/>
    </row>
    <row r="651">
      <c r="G651" s="8"/>
      <c r="K651" s="18"/>
      <c r="R651" s="8"/>
    </row>
    <row r="652">
      <c r="G652" s="8"/>
      <c r="K652" s="18"/>
      <c r="R652" s="8"/>
    </row>
    <row r="653">
      <c r="G653" s="8"/>
      <c r="K653" s="18"/>
      <c r="R653" s="8"/>
    </row>
    <row r="654">
      <c r="G654" s="8"/>
      <c r="K654" s="18"/>
      <c r="R654" s="8"/>
    </row>
    <row r="655">
      <c r="G655" s="8"/>
      <c r="K655" s="18"/>
      <c r="R655" s="8"/>
    </row>
    <row r="656">
      <c r="G656" s="8"/>
      <c r="K656" s="18"/>
      <c r="R656" s="8"/>
    </row>
    <row r="657">
      <c r="G657" s="8"/>
      <c r="K657" s="18"/>
      <c r="R657" s="8"/>
    </row>
    <row r="658">
      <c r="G658" s="8"/>
      <c r="K658" s="18"/>
      <c r="R658" s="8"/>
    </row>
    <row r="659">
      <c r="G659" s="8"/>
      <c r="K659" s="18"/>
      <c r="R659" s="8"/>
    </row>
    <row r="660">
      <c r="G660" s="8"/>
      <c r="K660" s="18"/>
      <c r="R660" s="8"/>
    </row>
    <row r="661">
      <c r="G661" s="8"/>
      <c r="K661" s="18"/>
      <c r="R661" s="8"/>
    </row>
    <row r="662">
      <c r="G662" s="8"/>
      <c r="K662" s="18"/>
      <c r="R662" s="8"/>
    </row>
    <row r="663">
      <c r="G663" s="8"/>
      <c r="K663" s="18"/>
      <c r="R663" s="8"/>
    </row>
    <row r="664">
      <c r="G664" s="8"/>
      <c r="K664" s="18"/>
      <c r="R664" s="8"/>
    </row>
    <row r="665">
      <c r="G665" s="8"/>
      <c r="K665" s="18"/>
      <c r="R665" s="8"/>
    </row>
    <row r="666">
      <c r="G666" s="8"/>
      <c r="K666" s="18"/>
      <c r="R666" s="8"/>
    </row>
    <row r="667">
      <c r="G667" s="8"/>
      <c r="K667" s="18"/>
      <c r="R667" s="8"/>
    </row>
    <row r="668">
      <c r="G668" s="8"/>
      <c r="K668" s="18"/>
      <c r="R668" s="8"/>
    </row>
    <row r="669">
      <c r="G669" s="8"/>
      <c r="K669" s="18"/>
      <c r="R669" s="8"/>
    </row>
    <row r="670">
      <c r="G670" s="8"/>
      <c r="K670" s="18"/>
      <c r="R670" s="8"/>
    </row>
    <row r="671">
      <c r="G671" s="8"/>
      <c r="K671" s="18"/>
      <c r="R671" s="8"/>
    </row>
    <row r="672">
      <c r="G672" s="8"/>
      <c r="K672" s="18"/>
      <c r="R672" s="8"/>
    </row>
    <row r="673">
      <c r="G673" s="8"/>
      <c r="K673" s="18"/>
      <c r="R673" s="8"/>
    </row>
    <row r="674">
      <c r="G674" s="8"/>
      <c r="K674" s="18"/>
      <c r="R674" s="8"/>
    </row>
    <row r="675">
      <c r="G675" s="8"/>
      <c r="K675" s="18"/>
      <c r="R675" s="8"/>
    </row>
    <row r="676">
      <c r="G676" s="8"/>
      <c r="K676" s="18"/>
      <c r="R676" s="8"/>
    </row>
    <row r="677">
      <c r="G677" s="8"/>
      <c r="K677" s="18"/>
      <c r="R677" s="8"/>
    </row>
    <row r="678">
      <c r="G678" s="8"/>
      <c r="K678" s="18"/>
      <c r="R678" s="8"/>
    </row>
    <row r="679">
      <c r="G679" s="8"/>
      <c r="K679" s="18"/>
      <c r="R679" s="8"/>
    </row>
    <row r="680">
      <c r="G680" s="8"/>
      <c r="K680" s="18"/>
      <c r="R680" s="8"/>
    </row>
    <row r="681">
      <c r="G681" s="8"/>
      <c r="K681" s="18"/>
      <c r="R681" s="8"/>
    </row>
    <row r="682">
      <c r="G682" s="8"/>
      <c r="K682" s="18"/>
      <c r="R682" s="8"/>
    </row>
    <row r="683">
      <c r="G683" s="8"/>
      <c r="K683" s="18"/>
      <c r="R683" s="8"/>
    </row>
    <row r="684">
      <c r="G684" s="8"/>
      <c r="K684" s="18"/>
      <c r="R684" s="8"/>
    </row>
    <row r="685">
      <c r="G685" s="8"/>
      <c r="K685" s="18"/>
      <c r="R685" s="8"/>
    </row>
    <row r="686">
      <c r="G686" s="8"/>
      <c r="K686" s="18"/>
      <c r="R686" s="8"/>
    </row>
    <row r="687">
      <c r="G687" s="8"/>
      <c r="K687" s="18"/>
      <c r="R687" s="8"/>
    </row>
    <row r="688">
      <c r="G688" s="8"/>
      <c r="K688" s="18"/>
      <c r="R688" s="8"/>
    </row>
    <row r="689">
      <c r="G689" s="8"/>
      <c r="K689" s="18"/>
      <c r="R689" s="8"/>
    </row>
    <row r="690">
      <c r="G690" s="8"/>
      <c r="K690" s="18"/>
      <c r="R690" s="8"/>
    </row>
    <row r="691">
      <c r="G691" s="8"/>
      <c r="K691" s="18"/>
      <c r="R691" s="8"/>
    </row>
    <row r="692">
      <c r="G692" s="8"/>
      <c r="K692" s="18"/>
      <c r="R692" s="8"/>
    </row>
    <row r="693">
      <c r="G693" s="8"/>
      <c r="K693" s="18"/>
      <c r="R693" s="8"/>
    </row>
    <row r="694">
      <c r="G694" s="8"/>
      <c r="K694" s="18"/>
      <c r="R694" s="8"/>
    </row>
    <row r="695">
      <c r="G695" s="8"/>
      <c r="K695" s="18"/>
      <c r="R695" s="8"/>
    </row>
    <row r="696">
      <c r="G696" s="8"/>
      <c r="K696" s="18"/>
      <c r="R696" s="8"/>
    </row>
    <row r="697">
      <c r="G697" s="8"/>
      <c r="K697" s="18"/>
      <c r="R697" s="8"/>
    </row>
    <row r="698">
      <c r="G698" s="8"/>
      <c r="K698" s="18"/>
      <c r="R698" s="8"/>
    </row>
    <row r="699">
      <c r="G699" s="8"/>
      <c r="K699" s="18"/>
      <c r="R699" s="8"/>
    </row>
    <row r="700">
      <c r="G700" s="8"/>
      <c r="K700" s="18"/>
      <c r="R700" s="8"/>
    </row>
    <row r="701">
      <c r="G701" s="8"/>
      <c r="K701" s="18"/>
      <c r="R701" s="8"/>
    </row>
    <row r="702">
      <c r="G702" s="8"/>
      <c r="K702" s="18"/>
      <c r="R702" s="8"/>
    </row>
    <row r="703">
      <c r="G703" s="8"/>
      <c r="K703" s="18"/>
      <c r="R703" s="8"/>
    </row>
    <row r="704">
      <c r="G704" s="8"/>
      <c r="K704" s="18"/>
      <c r="R704" s="8"/>
    </row>
    <row r="705">
      <c r="G705" s="8"/>
      <c r="K705" s="18"/>
      <c r="R705" s="8"/>
    </row>
    <row r="706">
      <c r="G706" s="8"/>
      <c r="K706" s="18"/>
      <c r="R706" s="8"/>
    </row>
    <row r="707">
      <c r="G707" s="8"/>
      <c r="K707" s="18"/>
      <c r="R707" s="8"/>
    </row>
    <row r="708">
      <c r="G708" s="8"/>
      <c r="K708" s="18"/>
      <c r="R708" s="8"/>
    </row>
    <row r="709">
      <c r="G709" s="8"/>
      <c r="K709" s="18"/>
      <c r="R709" s="8"/>
    </row>
    <row r="710">
      <c r="G710" s="8"/>
      <c r="K710" s="18"/>
      <c r="R710" s="8"/>
    </row>
    <row r="711">
      <c r="G711" s="8"/>
      <c r="K711" s="18"/>
      <c r="R711" s="8"/>
    </row>
    <row r="712">
      <c r="G712" s="8"/>
      <c r="K712" s="18"/>
      <c r="R712" s="8"/>
    </row>
    <row r="713">
      <c r="G713" s="8"/>
      <c r="K713" s="18"/>
      <c r="R713" s="8"/>
    </row>
    <row r="714">
      <c r="G714" s="8"/>
      <c r="K714" s="18"/>
      <c r="R714" s="8"/>
    </row>
    <row r="715">
      <c r="G715" s="8"/>
      <c r="K715" s="18"/>
      <c r="R715" s="8"/>
    </row>
    <row r="716">
      <c r="G716" s="8"/>
      <c r="K716" s="18"/>
      <c r="R716" s="8"/>
    </row>
    <row r="717">
      <c r="G717" s="8"/>
      <c r="K717" s="18"/>
      <c r="R717" s="8"/>
    </row>
    <row r="718">
      <c r="G718" s="8"/>
      <c r="K718" s="18"/>
      <c r="R718" s="8"/>
    </row>
    <row r="719">
      <c r="G719" s="8"/>
      <c r="K719" s="18"/>
      <c r="R719" s="8"/>
    </row>
    <row r="720">
      <c r="G720" s="8"/>
      <c r="K720" s="18"/>
      <c r="R720" s="8"/>
    </row>
    <row r="721">
      <c r="G721" s="8"/>
      <c r="K721" s="18"/>
      <c r="R721" s="8"/>
    </row>
    <row r="722">
      <c r="G722" s="8"/>
      <c r="K722" s="18"/>
      <c r="R722" s="8"/>
    </row>
    <row r="723">
      <c r="G723" s="8"/>
      <c r="K723" s="18"/>
      <c r="R723" s="8"/>
    </row>
    <row r="724">
      <c r="G724" s="8"/>
      <c r="K724" s="18"/>
      <c r="R724" s="8"/>
    </row>
    <row r="725">
      <c r="G725" s="8"/>
      <c r="K725" s="18"/>
      <c r="R725" s="8"/>
    </row>
    <row r="726">
      <c r="G726" s="8"/>
      <c r="K726" s="18"/>
      <c r="R726" s="8"/>
    </row>
    <row r="727">
      <c r="G727" s="8"/>
      <c r="K727" s="18"/>
      <c r="R727" s="8"/>
    </row>
    <row r="728">
      <c r="G728" s="8"/>
      <c r="K728" s="18"/>
      <c r="R728" s="8"/>
    </row>
    <row r="729">
      <c r="G729" s="8"/>
      <c r="K729" s="18"/>
      <c r="R729" s="8"/>
    </row>
    <row r="730">
      <c r="G730" s="8"/>
      <c r="K730" s="18"/>
      <c r="R730" s="8"/>
    </row>
    <row r="731">
      <c r="G731" s="8"/>
      <c r="K731" s="18"/>
      <c r="R731" s="8"/>
    </row>
    <row r="732">
      <c r="G732" s="8"/>
      <c r="K732" s="18"/>
      <c r="R732" s="8"/>
    </row>
    <row r="733">
      <c r="G733" s="8"/>
      <c r="K733" s="18"/>
      <c r="R733" s="8"/>
    </row>
    <row r="734">
      <c r="G734" s="8"/>
      <c r="K734" s="18"/>
      <c r="R734" s="8"/>
    </row>
    <row r="735">
      <c r="G735" s="8"/>
      <c r="K735" s="18"/>
      <c r="R735" s="8"/>
    </row>
    <row r="736">
      <c r="G736" s="8"/>
      <c r="K736" s="18"/>
      <c r="R736" s="8"/>
    </row>
    <row r="737">
      <c r="G737" s="8"/>
      <c r="K737" s="18"/>
      <c r="R737" s="8"/>
    </row>
    <row r="738">
      <c r="G738" s="8"/>
      <c r="K738" s="18"/>
      <c r="R738" s="8"/>
    </row>
    <row r="739">
      <c r="G739" s="8"/>
      <c r="K739" s="18"/>
      <c r="R739" s="8"/>
    </row>
    <row r="740">
      <c r="G740" s="8"/>
      <c r="K740" s="18"/>
      <c r="R740" s="8"/>
    </row>
    <row r="741">
      <c r="G741" s="8"/>
      <c r="K741" s="18"/>
      <c r="R741" s="8"/>
    </row>
    <row r="742">
      <c r="G742" s="8"/>
      <c r="K742" s="18"/>
      <c r="R742" s="8"/>
    </row>
    <row r="743">
      <c r="G743" s="8"/>
      <c r="K743" s="18"/>
      <c r="R743" s="8"/>
    </row>
    <row r="744">
      <c r="G744" s="8"/>
      <c r="K744" s="18"/>
      <c r="R744" s="8"/>
    </row>
    <row r="745">
      <c r="G745" s="8"/>
      <c r="K745" s="18"/>
      <c r="R745" s="8"/>
    </row>
    <row r="746">
      <c r="G746" s="8"/>
      <c r="K746" s="18"/>
      <c r="R746" s="8"/>
    </row>
    <row r="747">
      <c r="G747" s="8"/>
      <c r="K747" s="18"/>
      <c r="R747" s="8"/>
    </row>
    <row r="748">
      <c r="G748" s="8"/>
      <c r="K748" s="18"/>
      <c r="R748" s="8"/>
    </row>
    <row r="749">
      <c r="G749" s="8"/>
      <c r="K749" s="18"/>
      <c r="R749" s="8"/>
    </row>
    <row r="750">
      <c r="G750" s="8"/>
      <c r="K750" s="18"/>
      <c r="R750" s="8"/>
    </row>
    <row r="751">
      <c r="G751" s="8"/>
      <c r="K751" s="18"/>
      <c r="R751" s="8"/>
    </row>
    <row r="752">
      <c r="G752" s="8"/>
      <c r="K752" s="18"/>
      <c r="R752" s="8"/>
    </row>
    <row r="753">
      <c r="G753" s="8"/>
      <c r="K753" s="18"/>
      <c r="R753" s="8"/>
    </row>
    <row r="754">
      <c r="G754" s="8"/>
      <c r="K754" s="18"/>
      <c r="R754" s="8"/>
    </row>
    <row r="755">
      <c r="G755" s="8"/>
      <c r="K755" s="18"/>
      <c r="R755" s="8"/>
    </row>
    <row r="756">
      <c r="G756" s="8"/>
      <c r="K756" s="18"/>
      <c r="R756" s="8"/>
    </row>
    <row r="757">
      <c r="G757" s="8"/>
      <c r="K757" s="18"/>
      <c r="R757" s="8"/>
    </row>
    <row r="758">
      <c r="G758" s="8"/>
      <c r="K758" s="18"/>
      <c r="R758" s="8"/>
    </row>
    <row r="759">
      <c r="G759" s="8"/>
      <c r="K759" s="18"/>
      <c r="R759" s="8"/>
    </row>
    <row r="760">
      <c r="G760" s="8"/>
      <c r="K760" s="18"/>
      <c r="R760" s="8"/>
    </row>
    <row r="761">
      <c r="G761" s="8"/>
      <c r="K761" s="18"/>
      <c r="R761" s="8"/>
    </row>
    <row r="762">
      <c r="G762" s="8"/>
      <c r="K762" s="18"/>
      <c r="R762" s="8"/>
    </row>
    <row r="763">
      <c r="G763" s="8"/>
      <c r="K763" s="18"/>
      <c r="R763" s="8"/>
    </row>
    <row r="764">
      <c r="G764" s="8"/>
      <c r="K764" s="18"/>
      <c r="R764" s="8"/>
    </row>
    <row r="765">
      <c r="G765" s="8"/>
      <c r="K765" s="18"/>
      <c r="R765" s="8"/>
    </row>
    <row r="766">
      <c r="G766" s="8"/>
      <c r="K766" s="18"/>
      <c r="R766" s="8"/>
    </row>
    <row r="767">
      <c r="G767" s="8"/>
      <c r="K767" s="18"/>
      <c r="R767" s="8"/>
    </row>
    <row r="768">
      <c r="G768" s="8"/>
      <c r="K768" s="18"/>
      <c r="R768" s="8"/>
    </row>
    <row r="769">
      <c r="G769" s="8"/>
      <c r="K769" s="18"/>
      <c r="R769" s="8"/>
    </row>
    <row r="770">
      <c r="G770" s="8"/>
      <c r="K770" s="18"/>
      <c r="R770" s="8"/>
    </row>
    <row r="771">
      <c r="G771" s="8"/>
      <c r="K771" s="18"/>
      <c r="R771" s="8"/>
    </row>
    <row r="772">
      <c r="G772" s="8"/>
      <c r="K772" s="18"/>
      <c r="R772" s="8"/>
    </row>
    <row r="773">
      <c r="G773" s="8"/>
      <c r="K773" s="18"/>
      <c r="R773" s="8"/>
    </row>
    <row r="774">
      <c r="G774" s="8"/>
      <c r="K774" s="18"/>
      <c r="R774" s="8"/>
    </row>
    <row r="775">
      <c r="G775" s="8"/>
      <c r="K775" s="18"/>
      <c r="R775" s="8"/>
    </row>
    <row r="776">
      <c r="G776" s="8"/>
      <c r="K776" s="18"/>
      <c r="R776" s="8"/>
    </row>
    <row r="777">
      <c r="G777" s="8"/>
      <c r="K777" s="18"/>
      <c r="R777" s="8"/>
    </row>
    <row r="778">
      <c r="G778" s="8"/>
      <c r="K778" s="18"/>
      <c r="R778" s="8"/>
    </row>
    <row r="779">
      <c r="G779" s="8"/>
      <c r="K779" s="18"/>
      <c r="R779" s="8"/>
    </row>
    <row r="780">
      <c r="G780" s="8"/>
      <c r="K780" s="18"/>
      <c r="R780" s="8"/>
    </row>
    <row r="781">
      <c r="G781" s="8"/>
      <c r="K781" s="18"/>
      <c r="R781" s="8"/>
    </row>
    <row r="782">
      <c r="G782" s="8"/>
      <c r="K782" s="18"/>
      <c r="R782" s="8"/>
    </row>
    <row r="783">
      <c r="G783" s="8"/>
      <c r="K783" s="18"/>
      <c r="R783" s="8"/>
    </row>
    <row r="784">
      <c r="G784" s="8"/>
      <c r="K784" s="18"/>
      <c r="R784" s="8"/>
    </row>
    <row r="785">
      <c r="G785" s="8"/>
      <c r="K785" s="18"/>
      <c r="R785" s="8"/>
    </row>
    <row r="786">
      <c r="G786" s="8"/>
      <c r="K786" s="18"/>
      <c r="R786" s="8"/>
    </row>
    <row r="787">
      <c r="G787" s="8"/>
      <c r="K787" s="18"/>
      <c r="R787" s="8"/>
    </row>
    <row r="788">
      <c r="G788" s="8"/>
      <c r="K788" s="18"/>
      <c r="R788" s="8"/>
    </row>
    <row r="789">
      <c r="G789" s="8"/>
      <c r="K789" s="18"/>
      <c r="R789" s="8"/>
    </row>
    <row r="790">
      <c r="G790" s="8"/>
      <c r="K790" s="18"/>
      <c r="R790" s="8"/>
    </row>
    <row r="791">
      <c r="G791" s="8"/>
      <c r="K791" s="18"/>
      <c r="R791" s="8"/>
    </row>
    <row r="792">
      <c r="G792" s="8"/>
      <c r="K792" s="18"/>
      <c r="R792" s="8"/>
    </row>
    <row r="793">
      <c r="G793" s="8"/>
      <c r="K793" s="18"/>
      <c r="R793" s="8"/>
    </row>
    <row r="794">
      <c r="G794" s="8"/>
      <c r="K794" s="18"/>
      <c r="R794" s="8"/>
    </row>
    <row r="795">
      <c r="G795" s="8"/>
      <c r="K795" s="18"/>
      <c r="R795" s="8"/>
    </row>
    <row r="796">
      <c r="G796" s="8"/>
      <c r="K796" s="18"/>
      <c r="R796" s="8"/>
    </row>
    <row r="797">
      <c r="G797" s="8"/>
      <c r="K797" s="18"/>
      <c r="R797" s="8"/>
    </row>
    <row r="798">
      <c r="G798" s="8"/>
      <c r="K798" s="18"/>
      <c r="R798" s="8"/>
    </row>
    <row r="799">
      <c r="G799" s="8"/>
      <c r="K799" s="18"/>
      <c r="R799" s="8"/>
    </row>
    <row r="800">
      <c r="G800" s="8"/>
      <c r="K800" s="18"/>
      <c r="R800" s="8"/>
    </row>
    <row r="801">
      <c r="G801" s="8"/>
      <c r="K801" s="18"/>
      <c r="R801" s="8"/>
    </row>
    <row r="802">
      <c r="G802" s="8"/>
      <c r="K802" s="18"/>
      <c r="R802" s="8"/>
    </row>
    <row r="803">
      <c r="G803" s="8"/>
      <c r="K803" s="18"/>
      <c r="R803" s="8"/>
    </row>
    <row r="804">
      <c r="G804" s="8"/>
      <c r="K804" s="18"/>
      <c r="R804" s="8"/>
    </row>
    <row r="805">
      <c r="G805" s="8"/>
      <c r="K805" s="18"/>
      <c r="R805" s="8"/>
    </row>
    <row r="806">
      <c r="G806" s="8"/>
      <c r="K806" s="18"/>
      <c r="R806" s="8"/>
    </row>
    <row r="807">
      <c r="G807" s="8"/>
      <c r="K807" s="18"/>
      <c r="R807" s="8"/>
    </row>
    <row r="808">
      <c r="G808" s="8"/>
      <c r="K808" s="18"/>
      <c r="R808" s="8"/>
    </row>
    <row r="809">
      <c r="G809" s="8"/>
      <c r="K809" s="18"/>
      <c r="R809" s="8"/>
    </row>
    <row r="810">
      <c r="G810" s="8"/>
      <c r="K810" s="18"/>
      <c r="R810" s="8"/>
    </row>
    <row r="811">
      <c r="G811" s="8"/>
      <c r="K811" s="18"/>
      <c r="R811" s="8"/>
    </row>
    <row r="812">
      <c r="G812" s="8"/>
      <c r="K812" s="18"/>
      <c r="R812" s="8"/>
    </row>
    <row r="813">
      <c r="G813" s="8"/>
      <c r="K813" s="18"/>
      <c r="R813" s="8"/>
    </row>
    <row r="814">
      <c r="G814" s="8"/>
      <c r="K814" s="18"/>
      <c r="R814" s="8"/>
    </row>
    <row r="815">
      <c r="G815" s="8"/>
      <c r="K815" s="18"/>
      <c r="R815" s="8"/>
    </row>
    <row r="816">
      <c r="G816" s="8"/>
      <c r="K816" s="18"/>
      <c r="R816" s="8"/>
    </row>
    <row r="817">
      <c r="G817" s="8"/>
      <c r="K817" s="18"/>
      <c r="R817" s="8"/>
    </row>
    <row r="818">
      <c r="G818" s="8"/>
      <c r="K818" s="18"/>
      <c r="R818" s="8"/>
    </row>
    <row r="819">
      <c r="G819" s="8"/>
      <c r="K819" s="18"/>
      <c r="R819" s="8"/>
    </row>
    <row r="820">
      <c r="G820" s="8"/>
      <c r="K820" s="18"/>
      <c r="R820" s="8"/>
    </row>
    <row r="821">
      <c r="G821" s="8"/>
      <c r="K821" s="18"/>
      <c r="R821" s="8"/>
    </row>
    <row r="822">
      <c r="G822" s="8"/>
      <c r="K822" s="18"/>
      <c r="R822" s="8"/>
    </row>
    <row r="823">
      <c r="G823" s="8"/>
      <c r="K823" s="18"/>
      <c r="R823" s="8"/>
    </row>
    <row r="824">
      <c r="G824" s="8"/>
      <c r="K824" s="18"/>
      <c r="R824" s="8"/>
    </row>
    <row r="825">
      <c r="G825" s="8"/>
      <c r="K825" s="18"/>
      <c r="R825" s="8"/>
    </row>
    <row r="826">
      <c r="G826" s="8"/>
      <c r="K826" s="18"/>
      <c r="R826" s="8"/>
    </row>
    <row r="827">
      <c r="G827" s="8"/>
      <c r="K827" s="18"/>
      <c r="R827" s="8"/>
    </row>
    <row r="828">
      <c r="G828" s="8"/>
      <c r="K828" s="18"/>
      <c r="R828" s="8"/>
    </row>
    <row r="829">
      <c r="G829" s="8"/>
      <c r="K829" s="18"/>
      <c r="R829" s="8"/>
    </row>
    <row r="830">
      <c r="G830" s="8"/>
      <c r="K830" s="18"/>
      <c r="R830" s="8"/>
    </row>
    <row r="831">
      <c r="G831" s="8"/>
      <c r="K831" s="18"/>
      <c r="R831" s="8"/>
    </row>
    <row r="832">
      <c r="G832" s="8"/>
      <c r="K832" s="18"/>
      <c r="R832" s="8"/>
    </row>
    <row r="833">
      <c r="G833" s="8"/>
      <c r="K833" s="18"/>
      <c r="R833" s="8"/>
    </row>
    <row r="834">
      <c r="G834" s="8"/>
      <c r="K834" s="18"/>
      <c r="R834" s="8"/>
    </row>
    <row r="835">
      <c r="G835" s="8"/>
      <c r="K835" s="18"/>
      <c r="R835" s="8"/>
    </row>
    <row r="836">
      <c r="G836" s="8"/>
      <c r="K836" s="18"/>
      <c r="R836" s="8"/>
    </row>
    <row r="837">
      <c r="G837" s="8"/>
      <c r="K837" s="18"/>
      <c r="R837" s="8"/>
    </row>
    <row r="838">
      <c r="G838" s="8"/>
      <c r="K838" s="18"/>
      <c r="R838" s="8"/>
    </row>
    <row r="839">
      <c r="G839" s="8"/>
      <c r="K839" s="18"/>
      <c r="R839" s="8"/>
    </row>
    <row r="840">
      <c r="G840" s="8"/>
      <c r="K840" s="18"/>
      <c r="R840" s="8"/>
    </row>
    <row r="841">
      <c r="G841" s="8"/>
      <c r="K841" s="18"/>
      <c r="R841" s="8"/>
    </row>
    <row r="842">
      <c r="G842" s="8"/>
      <c r="K842" s="18"/>
      <c r="R842" s="8"/>
    </row>
    <row r="843">
      <c r="G843" s="8"/>
      <c r="K843" s="18"/>
      <c r="R843" s="8"/>
    </row>
    <row r="844">
      <c r="G844" s="8"/>
      <c r="K844" s="18"/>
      <c r="R844" s="8"/>
    </row>
    <row r="845">
      <c r="G845" s="8"/>
      <c r="K845" s="18"/>
      <c r="R845" s="8"/>
    </row>
    <row r="846">
      <c r="G846" s="8"/>
      <c r="K846" s="18"/>
      <c r="R846" s="8"/>
    </row>
    <row r="847">
      <c r="G847" s="8"/>
      <c r="K847" s="18"/>
      <c r="R847" s="8"/>
    </row>
    <row r="848">
      <c r="G848" s="8"/>
      <c r="K848" s="18"/>
      <c r="R848" s="8"/>
    </row>
    <row r="849">
      <c r="G849" s="8"/>
      <c r="K849" s="18"/>
      <c r="R849" s="8"/>
    </row>
    <row r="850">
      <c r="G850" s="8"/>
      <c r="K850" s="18"/>
      <c r="R850" s="8"/>
    </row>
    <row r="851">
      <c r="G851" s="8"/>
      <c r="K851" s="18"/>
      <c r="R851" s="8"/>
    </row>
    <row r="852">
      <c r="G852" s="8"/>
      <c r="K852" s="18"/>
      <c r="R852" s="8"/>
    </row>
    <row r="853">
      <c r="G853" s="8"/>
      <c r="K853" s="18"/>
      <c r="R853" s="8"/>
    </row>
    <row r="854">
      <c r="G854" s="8"/>
      <c r="K854" s="18"/>
      <c r="R854" s="8"/>
    </row>
    <row r="855">
      <c r="G855" s="8"/>
      <c r="K855" s="18"/>
      <c r="R855" s="8"/>
    </row>
    <row r="856">
      <c r="G856" s="8"/>
      <c r="K856" s="18"/>
      <c r="R856" s="8"/>
    </row>
    <row r="857">
      <c r="G857" s="8"/>
      <c r="K857" s="18"/>
      <c r="R857" s="8"/>
    </row>
    <row r="858">
      <c r="G858" s="8"/>
      <c r="K858" s="18"/>
      <c r="R858" s="8"/>
    </row>
    <row r="859">
      <c r="G859" s="8"/>
      <c r="K859" s="18"/>
      <c r="R859" s="8"/>
    </row>
    <row r="860">
      <c r="G860" s="8"/>
      <c r="K860" s="18"/>
      <c r="R860" s="8"/>
    </row>
    <row r="861">
      <c r="G861" s="8"/>
      <c r="K861" s="18"/>
      <c r="R861" s="8"/>
    </row>
    <row r="862">
      <c r="G862" s="8"/>
      <c r="K862" s="18"/>
      <c r="R862" s="8"/>
    </row>
    <row r="863">
      <c r="G863" s="8"/>
      <c r="K863" s="18"/>
      <c r="R863" s="8"/>
    </row>
    <row r="864">
      <c r="G864" s="8"/>
      <c r="K864" s="18"/>
      <c r="R864" s="8"/>
    </row>
    <row r="865">
      <c r="G865" s="8"/>
      <c r="K865" s="18"/>
      <c r="R865" s="8"/>
    </row>
    <row r="866">
      <c r="G866" s="8"/>
      <c r="K866" s="18"/>
      <c r="R866" s="8"/>
    </row>
    <row r="867">
      <c r="G867" s="8"/>
      <c r="K867" s="18"/>
      <c r="R867" s="8"/>
    </row>
    <row r="868">
      <c r="G868" s="8"/>
      <c r="K868" s="18"/>
      <c r="R868" s="8"/>
    </row>
    <row r="869">
      <c r="G869" s="8"/>
      <c r="K869" s="18"/>
      <c r="R869" s="8"/>
    </row>
    <row r="870">
      <c r="G870" s="8"/>
      <c r="K870" s="18"/>
      <c r="R870" s="8"/>
    </row>
    <row r="871">
      <c r="G871" s="8"/>
      <c r="K871" s="18"/>
      <c r="R871" s="8"/>
    </row>
    <row r="872">
      <c r="G872" s="8"/>
      <c r="K872" s="18"/>
      <c r="R872" s="8"/>
    </row>
    <row r="873">
      <c r="G873" s="8"/>
      <c r="K873" s="18"/>
      <c r="R873" s="8"/>
    </row>
    <row r="874">
      <c r="G874" s="8"/>
      <c r="K874" s="18"/>
      <c r="R874" s="8"/>
    </row>
    <row r="875">
      <c r="G875" s="8"/>
      <c r="K875" s="18"/>
      <c r="R875" s="8"/>
    </row>
    <row r="876">
      <c r="G876" s="8"/>
      <c r="K876" s="18"/>
      <c r="R876" s="8"/>
    </row>
    <row r="877">
      <c r="G877" s="8"/>
      <c r="K877" s="18"/>
      <c r="R877" s="8"/>
    </row>
    <row r="878">
      <c r="G878" s="8"/>
      <c r="K878" s="18"/>
      <c r="R878" s="8"/>
    </row>
    <row r="879">
      <c r="G879" s="8"/>
      <c r="K879" s="18"/>
      <c r="R879" s="8"/>
    </row>
    <row r="880">
      <c r="G880" s="8"/>
      <c r="K880" s="18"/>
      <c r="R880" s="8"/>
    </row>
    <row r="881">
      <c r="G881" s="8"/>
      <c r="K881" s="18"/>
      <c r="R881" s="8"/>
    </row>
    <row r="882">
      <c r="G882" s="8"/>
      <c r="K882" s="18"/>
      <c r="R882" s="8"/>
    </row>
    <row r="883">
      <c r="G883" s="8"/>
      <c r="K883" s="18"/>
      <c r="R883" s="8"/>
    </row>
    <row r="884">
      <c r="G884" s="8"/>
      <c r="K884" s="18"/>
      <c r="R884" s="8"/>
    </row>
    <row r="885">
      <c r="G885" s="8"/>
      <c r="K885" s="18"/>
      <c r="R885" s="8"/>
    </row>
    <row r="886">
      <c r="G886" s="8"/>
      <c r="K886" s="18"/>
      <c r="R886" s="8"/>
    </row>
    <row r="887">
      <c r="G887" s="8"/>
      <c r="K887" s="18"/>
      <c r="R887" s="8"/>
    </row>
    <row r="888">
      <c r="G888" s="8"/>
      <c r="K888" s="18"/>
      <c r="R888" s="8"/>
    </row>
    <row r="889">
      <c r="G889" s="8"/>
      <c r="K889" s="18"/>
      <c r="R889" s="8"/>
    </row>
    <row r="890">
      <c r="G890" s="8"/>
      <c r="K890" s="18"/>
      <c r="R890" s="8"/>
    </row>
    <row r="891">
      <c r="G891" s="8"/>
      <c r="K891" s="18"/>
      <c r="R891" s="8"/>
    </row>
    <row r="892">
      <c r="G892" s="8"/>
      <c r="K892" s="18"/>
      <c r="R892" s="8"/>
    </row>
    <row r="893">
      <c r="G893" s="8"/>
      <c r="K893" s="18"/>
      <c r="R893" s="8"/>
    </row>
    <row r="894">
      <c r="G894" s="8"/>
      <c r="K894" s="18"/>
      <c r="R894" s="8"/>
    </row>
    <row r="895">
      <c r="G895" s="8"/>
      <c r="K895" s="18"/>
      <c r="R895" s="8"/>
    </row>
    <row r="896">
      <c r="G896" s="8"/>
      <c r="K896" s="18"/>
      <c r="R896" s="8"/>
    </row>
    <row r="897">
      <c r="G897" s="8"/>
      <c r="K897" s="18"/>
      <c r="R897" s="8"/>
    </row>
    <row r="898">
      <c r="G898" s="8"/>
      <c r="K898" s="18"/>
      <c r="R898" s="8"/>
    </row>
    <row r="899">
      <c r="G899" s="8"/>
      <c r="K899" s="18"/>
      <c r="R899" s="8"/>
    </row>
    <row r="900">
      <c r="G900" s="8"/>
      <c r="K900" s="18"/>
      <c r="R900" s="8"/>
    </row>
    <row r="901">
      <c r="G901" s="8"/>
      <c r="K901" s="18"/>
      <c r="R901" s="8"/>
    </row>
    <row r="902">
      <c r="G902" s="8"/>
      <c r="K902" s="18"/>
      <c r="R902" s="8"/>
    </row>
    <row r="903">
      <c r="G903" s="8"/>
      <c r="K903" s="18"/>
      <c r="R903" s="8"/>
    </row>
    <row r="904">
      <c r="G904" s="8"/>
      <c r="K904" s="18"/>
      <c r="R904" s="8"/>
    </row>
    <row r="905">
      <c r="G905" s="8"/>
      <c r="K905" s="18"/>
      <c r="R905" s="8"/>
    </row>
    <row r="906">
      <c r="G906" s="8"/>
      <c r="K906" s="18"/>
      <c r="R906" s="8"/>
    </row>
    <row r="907">
      <c r="G907" s="8"/>
      <c r="K907" s="18"/>
      <c r="R907" s="8"/>
    </row>
    <row r="908">
      <c r="G908" s="8"/>
      <c r="K908" s="18"/>
      <c r="R908" s="8"/>
    </row>
    <row r="909">
      <c r="G909" s="8"/>
      <c r="K909" s="18"/>
      <c r="R909" s="8"/>
    </row>
    <row r="910">
      <c r="G910" s="8"/>
      <c r="K910" s="18"/>
      <c r="R910" s="8"/>
    </row>
    <row r="911">
      <c r="G911" s="8"/>
      <c r="K911" s="18"/>
      <c r="R911" s="8"/>
    </row>
    <row r="912">
      <c r="G912" s="8"/>
      <c r="K912" s="18"/>
      <c r="R912" s="8"/>
    </row>
    <row r="913">
      <c r="G913" s="8"/>
      <c r="K913" s="18"/>
      <c r="R913" s="8"/>
    </row>
    <row r="914">
      <c r="G914" s="8"/>
      <c r="K914" s="18"/>
      <c r="R914" s="8"/>
    </row>
    <row r="915">
      <c r="G915" s="8"/>
      <c r="K915" s="18"/>
      <c r="R915" s="8"/>
    </row>
    <row r="916">
      <c r="G916" s="8"/>
      <c r="K916" s="18"/>
      <c r="R916" s="8"/>
    </row>
    <row r="917">
      <c r="G917" s="8"/>
      <c r="K917" s="18"/>
      <c r="R917" s="8"/>
    </row>
    <row r="918">
      <c r="G918" s="8"/>
      <c r="K918" s="18"/>
      <c r="R918" s="8"/>
    </row>
    <row r="919">
      <c r="G919" s="8"/>
      <c r="K919" s="18"/>
      <c r="R919" s="8"/>
    </row>
    <row r="920">
      <c r="G920" s="8"/>
      <c r="K920" s="18"/>
      <c r="R920" s="8"/>
    </row>
    <row r="921">
      <c r="G921" s="8"/>
      <c r="K921" s="18"/>
      <c r="R921" s="8"/>
    </row>
    <row r="922">
      <c r="G922" s="8"/>
      <c r="K922" s="18"/>
      <c r="R922" s="8"/>
    </row>
    <row r="923">
      <c r="G923" s="8"/>
      <c r="K923" s="18"/>
      <c r="R923" s="8"/>
    </row>
    <row r="924">
      <c r="G924" s="8"/>
      <c r="K924" s="18"/>
      <c r="R924" s="8"/>
    </row>
    <row r="925">
      <c r="G925" s="8"/>
      <c r="K925" s="18"/>
      <c r="R925" s="8"/>
    </row>
    <row r="926">
      <c r="G926" s="8"/>
      <c r="K926" s="18"/>
      <c r="R926" s="8"/>
    </row>
    <row r="927">
      <c r="G927" s="8"/>
      <c r="K927" s="18"/>
      <c r="R927" s="8"/>
    </row>
    <row r="928">
      <c r="G928" s="8"/>
      <c r="K928" s="18"/>
      <c r="R928" s="8"/>
    </row>
    <row r="929">
      <c r="G929" s="8"/>
      <c r="K929" s="18"/>
      <c r="R929" s="8"/>
    </row>
    <row r="930">
      <c r="G930" s="8"/>
      <c r="K930" s="18"/>
      <c r="R930" s="8"/>
    </row>
    <row r="931">
      <c r="G931" s="8"/>
      <c r="K931" s="18"/>
      <c r="R931" s="8"/>
    </row>
    <row r="932">
      <c r="G932" s="8"/>
      <c r="K932" s="18"/>
      <c r="R932" s="8"/>
    </row>
    <row r="933">
      <c r="G933" s="8"/>
      <c r="K933" s="18"/>
      <c r="R933" s="8"/>
    </row>
    <row r="934">
      <c r="G934" s="8"/>
      <c r="K934" s="18"/>
      <c r="R934" s="8"/>
    </row>
    <row r="935">
      <c r="G935" s="8"/>
      <c r="K935" s="18"/>
      <c r="R935" s="8"/>
    </row>
    <row r="936">
      <c r="G936" s="8"/>
      <c r="K936" s="18"/>
      <c r="R936" s="8"/>
    </row>
    <row r="937">
      <c r="G937" s="8"/>
      <c r="K937" s="18"/>
      <c r="R937" s="8"/>
    </row>
    <row r="938">
      <c r="G938" s="8"/>
      <c r="K938" s="18"/>
      <c r="R938" s="8"/>
    </row>
    <row r="939">
      <c r="G939" s="8"/>
      <c r="K939" s="18"/>
      <c r="R939" s="8"/>
    </row>
    <row r="940">
      <c r="G940" s="8"/>
      <c r="K940" s="18"/>
      <c r="R940" s="8"/>
    </row>
    <row r="941">
      <c r="G941" s="8"/>
      <c r="K941" s="18"/>
      <c r="R941" s="8"/>
    </row>
    <row r="942">
      <c r="G942" s="8"/>
      <c r="K942" s="18"/>
      <c r="R942" s="8"/>
    </row>
    <row r="943">
      <c r="G943" s="8"/>
      <c r="K943" s="18"/>
      <c r="R943" s="8"/>
    </row>
    <row r="944">
      <c r="G944" s="8"/>
      <c r="K944" s="18"/>
      <c r="R944" s="8"/>
    </row>
    <row r="945">
      <c r="G945" s="8"/>
      <c r="K945" s="18"/>
      <c r="R945" s="8"/>
    </row>
    <row r="946">
      <c r="G946" s="8"/>
      <c r="K946" s="18"/>
      <c r="R946" s="8"/>
    </row>
    <row r="947">
      <c r="G947" s="8"/>
      <c r="K947" s="18"/>
      <c r="R947" s="8"/>
    </row>
    <row r="948">
      <c r="G948" s="8"/>
      <c r="K948" s="18"/>
      <c r="R948" s="8"/>
    </row>
    <row r="949">
      <c r="G949" s="8"/>
      <c r="K949" s="18"/>
      <c r="R949" s="8"/>
    </row>
    <row r="950">
      <c r="G950" s="8"/>
      <c r="K950" s="18"/>
      <c r="R950" s="8"/>
    </row>
    <row r="951">
      <c r="G951" s="8"/>
      <c r="K951" s="18"/>
      <c r="R951" s="8"/>
    </row>
    <row r="952">
      <c r="G952" s="8"/>
      <c r="K952" s="18"/>
      <c r="R952" s="8"/>
    </row>
    <row r="953">
      <c r="G953" s="8"/>
      <c r="K953" s="18"/>
      <c r="R953" s="8"/>
    </row>
    <row r="954">
      <c r="G954" s="8"/>
      <c r="K954" s="18"/>
      <c r="R954" s="8"/>
    </row>
    <row r="955">
      <c r="G955" s="8"/>
      <c r="K955" s="18"/>
      <c r="R955" s="8"/>
    </row>
    <row r="956">
      <c r="G956" s="8"/>
      <c r="K956" s="18"/>
      <c r="R956" s="8"/>
    </row>
    <row r="957">
      <c r="G957" s="8"/>
      <c r="K957" s="18"/>
      <c r="R957" s="8"/>
    </row>
    <row r="958">
      <c r="G958" s="8"/>
      <c r="K958" s="18"/>
      <c r="R958" s="8"/>
    </row>
    <row r="959">
      <c r="G959" s="8"/>
      <c r="K959" s="18"/>
      <c r="R959" s="8"/>
    </row>
    <row r="960">
      <c r="G960" s="8"/>
      <c r="K960" s="18"/>
      <c r="R960" s="8"/>
    </row>
    <row r="961">
      <c r="G961" s="8"/>
      <c r="K961" s="18"/>
      <c r="R961" s="8"/>
    </row>
    <row r="962">
      <c r="G962" s="8"/>
      <c r="K962" s="18"/>
      <c r="R962" s="8"/>
    </row>
    <row r="963">
      <c r="G963" s="8"/>
      <c r="K963" s="18"/>
      <c r="R963" s="8"/>
    </row>
    <row r="964">
      <c r="G964" s="8"/>
      <c r="K964" s="18"/>
      <c r="R964" s="8"/>
    </row>
    <row r="965">
      <c r="G965" s="8"/>
      <c r="K965" s="18"/>
      <c r="R965" s="8"/>
    </row>
    <row r="966">
      <c r="G966" s="8"/>
      <c r="K966" s="18"/>
      <c r="R966" s="8"/>
    </row>
    <row r="967">
      <c r="G967" s="8"/>
      <c r="K967" s="18"/>
      <c r="R967" s="8"/>
    </row>
    <row r="968">
      <c r="G968" s="8"/>
      <c r="K968" s="18"/>
      <c r="R968" s="8"/>
    </row>
    <row r="969">
      <c r="G969" s="8"/>
      <c r="K969" s="18"/>
      <c r="R969" s="8"/>
    </row>
    <row r="970">
      <c r="G970" s="8"/>
      <c r="K970" s="18"/>
      <c r="R970" s="8"/>
    </row>
    <row r="971">
      <c r="G971" s="8"/>
      <c r="K971" s="18"/>
      <c r="R971" s="8"/>
    </row>
    <row r="972">
      <c r="G972" s="8"/>
      <c r="K972" s="18"/>
      <c r="R972" s="8"/>
    </row>
    <row r="973">
      <c r="G973" s="8"/>
      <c r="K973" s="18"/>
      <c r="R973" s="8"/>
    </row>
    <row r="974">
      <c r="G974" s="8"/>
      <c r="K974" s="18"/>
      <c r="R974" s="8"/>
    </row>
    <row r="975">
      <c r="G975" s="8"/>
      <c r="K975" s="18"/>
      <c r="R975" s="8"/>
    </row>
    <row r="976">
      <c r="G976" s="8"/>
      <c r="K976" s="18"/>
      <c r="R976" s="8"/>
    </row>
    <row r="977">
      <c r="G977" s="8"/>
      <c r="K977" s="18"/>
      <c r="R977" s="8"/>
    </row>
    <row r="978">
      <c r="G978" s="8"/>
      <c r="K978" s="18"/>
      <c r="R978" s="8"/>
    </row>
    <row r="979">
      <c r="G979" s="8"/>
      <c r="K979" s="18"/>
      <c r="R979" s="8"/>
    </row>
    <row r="980">
      <c r="G980" s="8"/>
      <c r="K980" s="18"/>
      <c r="R980" s="8"/>
    </row>
    <row r="981">
      <c r="G981" s="8"/>
      <c r="K981" s="18"/>
      <c r="R981" s="8"/>
    </row>
    <row r="982">
      <c r="G982" s="8"/>
      <c r="K982" s="18"/>
      <c r="R982" s="8"/>
    </row>
    <row r="983">
      <c r="G983" s="8"/>
      <c r="K983" s="18"/>
      <c r="R983" s="8"/>
    </row>
    <row r="984">
      <c r="G984" s="8"/>
      <c r="K984" s="18"/>
      <c r="R984" s="8"/>
    </row>
    <row r="985">
      <c r="G985" s="8"/>
      <c r="K985" s="18"/>
      <c r="R985" s="8"/>
    </row>
    <row r="986">
      <c r="G986" s="8"/>
      <c r="K986" s="18"/>
      <c r="R986" s="8"/>
    </row>
    <row r="987">
      <c r="G987" s="8"/>
      <c r="K987" s="18"/>
      <c r="R987" s="8"/>
    </row>
    <row r="988">
      <c r="G988" s="8"/>
      <c r="K988" s="18"/>
      <c r="R988" s="8"/>
    </row>
    <row r="989">
      <c r="G989" s="8"/>
      <c r="K989" s="18"/>
      <c r="R989" s="8"/>
    </row>
    <row r="990">
      <c r="G990" s="8"/>
      <c r="K990" s="18"/>
      <c r="R990" s="8"/>
    </row>
    <row r="991">
      <c r="G991" s="8"/>
      <c r="K991" s="18"/>
      <c r="R991" s="8"/>
    </row>
    <row r="992">
      <c r="G992" s="8"/>
      <c r="K992" s="18"/>
      <c r="R992" s="8"/>
    </row>
    <row r="993">
      <c r="G993" s="8"/>
      <c r="K993" s="18"/>
      <c r="R993" s="8"/>
    </row>
    <row r="994">
      <c r="G994" s="8"/>
      <c r="K994" s="18"/>
      <c r="R994" s="8"/>
    </row>
    <row r="995">
      <c r="G995" s="8"/>
      <c r="K995" s="18"/>
      <c r="R995" s="8"/>
    </row>
    <row r="996">
      <c r="G996" s="8"/>
      <c r="K996" s="18"/>
      <c r="R996" s="8"/>
    </row>
    <row r="997">
      <c r="G997" s="8"/>
      <c r="K997" s="18"/>
      <c r="R997" s="8"/>
    </row>
    <row r="998">
      <c r="G998" s="8"/>
      <c r="K998" s="18"/>
      <c r="R998" s="8"/>
    </row>
    <row r="999">
      <c r="G999" s="8"/>
      <c r="K999" s="18"/>
      <c r="R999" s="8"/>
    </row>
    <row r="1000">
      <c r="K1000" s="18"/>
    </row>
  </sheetData>
  <mergeCells count="3">
    <mergeCell ref="A1:U2"/>
    <mergeCell ref="A3:N4"/>
    <mergeCell ref="P3:U4"/>
  </mergeCells>
  <dataValidations>
    <dataValidation type="list" allowBlank="1" showErrorMessage="1" sqref="M6:M283">
      <formula1>Uitleg!$C$2:$C$5</formula1>
    </dataValidation>
    <dataValidation type="list" allowBlank="1" showErrorMessage="1" sqref="L6:L283">
      <formula1>Uitleg!$B$2:$B$7</formula1>
    </dataValidation>
    <dataValidation type="list" allowBlank="1" showErrorMessage="1" sqref="C6:C283">
      <formula1>Uitleg!$A$2:$A$3</formula1>
    </dataValidation>
    <dataValidation type="list" allowBlank="1" showErrorMessage="1" sqref="E52:E79">
      <formula1>Leveranciers!$A$4:$A$999</formula1>
    </dataValidation>
    <dataValidation type="list" allowBlank="1" showErrorMessage="1" sqref="G6:G999 R6:R999">
      <formula1>'Grondstof soorten'!$B$7:$B$999</formula1>
    </dataValidation>
  </dataValidations>
  <hyperlinks>
    <hyperlink r:id="rId1" ref="E4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13"/>
    <col customWidth="1" min="3" max="3" width="12.0"/>
    <col customWidth="1" min="4" max="4" width="9.5"/>
    <col customWidth="1" min="5" max="6" width="13.5"/>
    <col customWidth="1" min="7" max="7" width="21.0"/>
    <col customWidth="1" min="16" max="16" width="10.25"/>
    <col customWidth="1" min="17" max="18" width="9.5"/>
    <col customWidth="1" min="19" max="19" width="21.38"/>
  </cols>
  <sheetData>
    <row r="1">
      <c r="A1" s="1" t="s">
        <v>12</v>
      </c>
    </row>
    <row r="3">
      <c r="A3" s="20" t="s">
        <v>102</v>
      </c>
      <c r="P3" s="21" t="s">
        <v>103</v>
      </c>
    </row>
    <row r="5">
      <c r="A5" s="22" t="s">
        <v>104</v>
      </c>
      <c r="B5" s="22" t="s">
        <v>105</v>
      </c>
      <c r="C5" s="22" t="s">
        <v>106</v>
      </c>
      <c r="D5" s="22" t="s">
        <v>107</v>
      </c>
      <c r="E5" s="22" t="s">
        <v>108</v>
      </c>
      <c r="F5" s="22" t="s">
        <v>109</v>
      </c>
      <c r="G5" s="22" t="s">
        <v>110</v>
      </c>
      <c r="H5" s="22" t="s">
        <v>111</v>
      </c>
      <c r="I5" s="22" t="s">
        <v>112</v>
      </c>
      <c r="J5" s="22" t="s">
        <v>434</v>
      </c>
      <c r="K5" s="36" t="s">
        <v>114</v>
      </c>
      <c r="L5" s="22" t="s">
        <v>115</v>
      </c>
      <c r="M5" s="22" t="s">
        <v>116</v>
      </c>
      <c r="N5" s="22" t="s">
        <v>117</v>
      </c>
      <c r="P5" s="23" t="s">
        <v>118</v>
      </c>
      <c r="Q5" s="23" t="s">
        <v>16</v>
      </c>
      <c r="R5" s="23" t="s">
        <v>107</v>
      </c>
      <c r="S5" s="23" t="s">
        <v>110</v>
      </c>
      <c r="T5" s="23" t="s">
        <v>435</v>
      </c>
      <c r="U5" s="37" t="s">
        <v>114</v>
      </c>
      <c r="V5" s="23" t="s">
        <v>111</v>
      </c>
    </row>
    <row r="6">
      <c r="B6" s="2" t="s">
        <v>436</v>
      </c>
      <c r="C6" s="2" t="s">
        <v>130</v>
      </c>
      <c r="D6" s="24">
        <v>45013.0</v>
      </c>
      <c r="E6" s="2" t="s">
        <v>437</v>
      </c>
      <c r="G6" s="2" t="s">
        <v>438</v>
      </c>
      <c r="H6" s="2">
        <v>2.24223032E8</v>
      </c>
      <c r="I6" s="27"/>
      <c r="J6" s="2">
        <v>96.0</v>
      </c>
      <c r="K6" s="17">
        <v>88.92</v>
      </c>
      <c r="L6" s="8"/>
      <c r="M6" s="8"/>
      <c r="P6" s="2" t="s">
        <v>65</v>
      </c>
      <c r="Q6" s="2" t="s">
        <v>439</v>
      </c>
      <c r="R6" s="24">
        <v>45034.0</v>
      </c>
      <c r="S6" s="2" t="s">
        <v>438</v>
      </c>
      <c r="T6" s="2">
        <v>90.0</v>
      </c>
      <c r="U6" s="26">
        <f t="shared" ref="U6:U307" si="1">IF(ISBLANK(V6),"",VLOOKUP(V6,$H$6:$K$2000,4,FALSE)/VLOOKUP(V6,$H$6:$K$2000,3,FALSE)*T6)</f>
        <v>83.3625</v>
      </c>
      <c r="V6" s="2">
        <v>2.24223032E8</v>
      </c>
    </row>
    <row r="7">
      <c r="B7" s="2" t="s">
        <v>440</v>
      </c>
      <c r="C7" s="2" t="s">
        <v>130</v>
      </c>
      <c r="D7" s="24">
        <v>45050.0</v>
      </c>
      <c r="E7" s="2" t="s">
        <v>131</v>
      </c>
      <c r="G7" s="2" t="s">
        <v>441</v>
      </c>
      <c r="H7" s="2">
        <v>2.24222382E8</v>
      </c>
      <c r="I7" s="27"/>
      <c r="J7" s="8">
        <f>34*24</f>
        <v>816</v>
      </c>
      <c r="K7" s="17">
        <v>456.22</v>
      </c>
      <c r="L7" s="8"/>
      <c r="M7" s="8"/>
      <c r="P7" s="2" t="s">
        <v>65</v>
      </c>
      <c r="Q7" s="2" t="s">
        <v>439</v>
      </c>
      <c r="R7" s="29">
        <v>45034.0</v>
      </c>
      <c r="S7" s="2" t="s">
        <v>442</v>
      </c>
      <c r="T7" s="2">
        <v>94.0</v>
      </c>
      <c r="U7" s="26">
        <f t="shared" si="1"/>
        <v>1.47486</v>
      </c>
      <c r="V7" s="2">
        <v>144797.0</v>
      </c>
    </row>
    <row r="8">
      <c r="B8" s="2" t="s">
        <v>443</v>
      </c>
      <c r="C8" s="2" t="s">
        <v>120</v>
      </c>
      <c r="D8" s="24">
        <v>45043.0</v>
      </c>
      <c r="E8" s="2" t="s">
        <v>444</v>
      </c>
      <c r="F8" s="2" t="s">
        <v>444</v>
      </c>
      <c r="G8" s="2" t="s">
        <v>445</v>
      </c>
      <c r="H8" s="2" t="s">
        <v>446</v>
      </c>
      <c r="I8" s="27"/>
      <c r="J8" s="2">
        <v>6.0</v>
      </c>
      <c r="K8" s="17">
        <v>86.46</v>
      </c>
      <c r="L8" s="8"/>
      <c r="M8" s="8"/>
      <c r="P8" s="2" t="s">
        <v>64</v>
      </c>
      <c r="Q8" s="2" t="s">
        <v>447</v>
      </c>
      <c r="R8" s="24">
        <v>45051.0</v>
      </c>
      <c r="S8" s="2" t="s">
        <v>441</v>
      </c>
      <c r="T8" s="8">
        <f>14*24-2</f>
        <v>334</v>
      </c>
      <c r="U8" s="26">
        <f t="shared" si="1"/>
        <v>186.7371078</v>
      </c>
      <c r="V8" s="2">
        <v>2.24222382E8</v>
      </c>
    </row>
    <row r="9">
      <c r="B9" s="2" t="s">
        <v>440</v>
      </c>
      <c r="C9" s="2" t="s">
        <v>130</v>
      </c>
      <c r="D9" s="24">
        <v>45050.0</v>
      </c>
      <c r="E9" s="2" t="s">
        <v>131</v>
      </c>
      <c r="G9" s="2" t="s">
        <v>442</v>
      </c>
      <c r="H9" s="2">
        <v>144797.0</v>
      </c>
      <c r="I9" s="27"/>
      <c r="J9" s="2">
        <v>1000.0</v>
      </c>
      <c r="K9" s="17">
        <v>15.69</v>
      </c>
      <c r="L9" s="8"/>
      <c r="M9" s="8"/>
      <c r="P9" s="2" t="s">
        <v>64</v>
      </c>
      <c r="Q9" s="2" t="s">
        <v>447</v>
      </c>
      <c r="R9" s="24">
        <v>45051.0</v>
      </c>
      <c r="S9" s="2" t="s">
        <v>445</v>
      </c>
      <c r="T9" s="2">
        <v>3.0</v>
      </c>
      <c r="U9" s="26">
        <f t="shared" si="1"/>
        <v>43.23</v>
      </c>
      <c r="V9" s="2" t="s">
        <v>446</v>
      </c>
    </row>
    <row r="10">
      <c r="B10" s="2" t="s">
        <v>448</v>
      </c>
      <c r="C10" s="2" t="s">
        <v>130</v>
      </c>
      <c r="D10" s="24">
        <v>45111.0</v>
      </c>
      <c r="E10" s="2" t="s">
        <v>131</v>
      </c>
      <c r="F10" s="2" t="s">
        <v>449</v>
      </c>
      <c r="G10" s="2" t="s">
        <v>438</v>
      </c>
      <c r="H10" s="2">
        <v>2.24223057E8</v>
      </c>
      <c r="I10" s="27"/>
      <c r="J10" s="2">
        <v>2888.0</v>
      </c>
      <c r="K10" s="17">
        <f>844.33</f>
        <v>844.33</v>
      </c>
      <c r="L10" s="8"/>
      <c r="M10" s="8"/>
      <c r="P10" s="2" t="s">
        <v>64</v>
      </c>
      <c r="Q10" s="2" t="s">
        <v>447</v>
      </c>
      <c r="R10" s="24">
        <v>45051.0</v>
      </c>
      <c r="S10" s="2" t="s">
        <v>442</v>
      </c>
      <c r="T10" s="2">
        <v>340.0</v>
      </c>
      <c r="U10" s="26">
        <f t="shared" si="1"/>
        <v>5.3346</v>
      </c>
      <c r="V10" s="2">
        <v>144797.0</v>
      </c>
    </row>
    <row r="11">
      <c r="B11" s="2" t="s">
        <v>232</v>
      </c>
      <c r="C11" s="2" t="s">
        <v>130</v>
      </c>
      <c r="D11" s="24">
        <v>45111.0</v>
      </c>
      <c r="E11" s="2" t="s">
        <v>233</v>
      </c>
      <c r="F11" s="2" t="s">
        <v>444</v>
      </c>
      <c r="G11" s="2" t="s">
        <v>445</v>
      </c>
      <c r="H11" s="2" t="s">
        <v>450</v>
      </c>
      <c r="I11" s="25"/>
      <c r="J11" s="2">
        <v>20.0</v>
      </c>
      <c r="K11" s="17">
        <f>1.21*300</f>
        <v>363</v>
      </c>
      <c r="L11" s="8"/>
      <c r="M11" s="8"/>
      <c r="P11" s="2" t="s">
        <v>66</v>
      </c>
      <c r="Q11" s="2" t="s">
        <v>451</v>
      </c>
      <c r="R11" s="24">
        <v>45058.0</v>
      </c>
      <c r="S11" s="2" t="s">
        <v>445</v>
      </c>
      <c r="T11" s="2">
        <v>3.0</v>
      </c>
      <c r="U11" s="26">
        <f t="shared" si="1"/>
        <v>43.23</v>
      </c>
      <c r="V11" s="2" t="s">
        <v>446</v>
      </c>
    </row>
    <row r="12">
      <c r="B12" s="2" t="s">
        <v>232</v>
      </c>
      <c r="C12" s="2" t="s">
        <v>130</v>
      </c>
      <c r="D12" s="24">
        <v>45111.0</v>
      </c>
      <c r="E12" s="2" t="s">
        <v>233</v>
      </c>
      <c r="G12" s="2" t="s">
        <v>452</v>
      </c>
      <c r="H12" s="2">
        <v>1.0</v>
      </c>
      <c r="I12" s="27"/>
      <c r="J12" s="2">
        <f>7*20</f>
        <v>140</v>
      </c>
      <c r="K12" s="17">
        <f>1.21*112</f>
        <v>135.52</v>
      </c>
      <c r="L12" s="8"/>
      <c r="M12" s="8"/>
      <c r="P12" s="2" t="s">
        <v>66</v>
      </c>
      <c r="Q12" s="2" t="s">
        <v>451</v>
      </c>
      <c r="R12" s="24">
        <v>45058.0</v>
      </c>
      <c r="S12" s="2" t="s">
        <v>442</v>
      </c>
      <c r="T12" s="2">
        <v>350.0</v>
      </c>
      <c r="U12" s="26">
        <f t="shared" si="1"/>
        <v>5.4915</v>
      </c>
      <c r="V12" s="2">
        <v>144797.0</v>
      </c>
    </row>
    <row r="13">
      <c r="C13" s="2" t="s">
        <v>130</v>
      </c>
      <c r="D13" s="24">
        <v>45127.0</v>
      </c>
      <c r="E13" s="2" t="s">
        <v>131</v>
      </c>
      <c r="G13" s="2" t="s">
        <v>442</v>
      </c>
      <c r="H13" s="2">
        <v>122598.0</v>
      </c>
      <c r="I13" s="27"/>
      <c r="J13" s="2">
        <v>500.0</v>
      </c>
      <c r="K13" s="17">
        <f>0.5*K14</f>
        <v>7.845</v>
      </c>
      <c r="L13" s="8"/>
      <c r="M13" s="8"/>
      <c r="N13" s="2" t="s">
        <v>453</v>
      </c>
      <c r="P13" s="2" t="s">
        <v>66</v>
      </c>
      <c r="Q13" s="2" t="s">
        <v>451</v>
      </c>
      <c r="R13" s="24">
        <v>45058.0</v>
      </c>
      <c r="S13" s="2" t="s">
        <v>441</v>
      </c>
      <c r="T13" s="2">
        <v>340.0</v>
      </c>
      <c r="U13" s="26">
        <f t="shared" si="1"/>
        <v>190.0916667</v>
      </c>
      <c r="V13" s="2">
        <v>2.24222382E8</v>
      </c>
    </row>
    <row r="14">
      <c r="C14" s="2" t="s">
        <v>130</v>
      </c>
      <c r="D14" s="24">
        <v>45212.0</v>
      </c>
      <c r="E14" s="2" t="s">
        <v>131</v>
      </c>
      <c r="F14" s="28"/>
      <c r="G14" s="2" t="s">
        <v>442</v>
      </c>
      <c r="H14" s="2">
        <v>122598.0</v>
      </c>
      <c r="I14" s="27"/>
      <c r="J14" s="2">
        <v>1000.0</v>
      </c>
      <c r="K14" s="17">
        <v>15.69</v>
      </c>
      <c r="L14" s="8"/>
      <c r="M14" s="8"/>
      <c r="P14" s="2" t="s">
        <v>67</v>
      </c>
      <c r="Q14" s="2" t="s">
        <v>454</v>
      </c>
      <c r="R14" s="24">
        <v>45127.0</v>
      </c>
      <c r="S14" s="2" t="s">
        <v>445</v>
      </c>
      <c r="T14" s="2">
        <v>3.0</v>
      </c>
      <c r="U14" s="26">
        <f t="shared" si="1"/>
        <v>54.45</v>
      </c>
      <c r="V14" s="2" t="s">
        <v>450</v>
      </c>
    </row>
    <row r="15">
      <c r="C15" s="2" t="s">
        <v>120</v>
      </c>
      <c r="D15" s="24">
        <v>45239.0</v>
      </c>
      <c r="E15" s="2" t="s">
        <v>131</v>
      </c>
      <c r="F15" s="28"/>
      <c r="G15" s="2" t="s">
        <v>455</v>
      </c>
      <c r="H15" s="2">
        <v>174946.0</v>
      </c>
      <c r="I15" s="29"/>
      <c r="J15" s="8">
        <f>22*12</f>
        <v>264</v>
      </c>
      <c r="K15" s="17">
        <v>344.68</v>
      </c>
      <c r="L15" s="8"/>
      <c r="M15" s="8"/>
      <c r="P15" s="2" t="s">
        <v>67</v>
      </c>
      <c r="Q15" s="2" t="s">
        <v>454</v>
      </c>
      <c r="R15" s="24">
        <v>45127.0</v>
      </c>
      <c r="S15" s="2" t="s">
        <v>438</v>
      </c>
      <c r="T15" s="8">
        <f>24*25+5</f>
        <v>605</v>
      </c>
      <c r="U15" s="26">
        <f t="shared" si="1"/>
        <v>176.8766101</v>
      </c>
      <c r="V15" s="2">
        <v>2.24223057E8</v>
      </c>
    </row>
    <row r="16">
      <c r="C16" s="2" t="s">
        <v>120</v>
      </c>
      <c r="D16" s="24">
        <v>45250.0</v>
      </c>
      <c r="E16" s="2" t="s">
        <v>456</v>
      </c>
      <c r="F16" s="28"/>
      <c r="G16" s="2" t="s">
        <v>457</v>
      </c>
      <c r="H16" s="47" t="s">
        <v>458</v>
      </c>
      <c r="I16" s="27"/>
      <c r="J16" s="2">
        <v>60.0</v>
      </c>
      <c r="K16" s="17">
        <v>74.0</v>
      </c>
      <c r="L16" s="8"/>
      <c r="M16" s="8"/>
      <c r="P16" s="2" t="s">
        <v>67</v>
      </c>
      <c r="Q16" s="2" t="s">
        <v>454</v>
      </c>
      <c r="R16" s="24">
        <v>45127.0</v>
      </c>
      <c r="S16" s="2" t="s">
        <v>452</v>
      </c>
      <c r="T16" s="2">
        <v>25.0</v>
      </c>
      <c r="U16" s="26">
        <f t="shared" si="1"/>
        <v>24.2</v>
      </c>
      <c r="V16" s="2">
        <v>1.0</v>
      </c>
    </row>
    <row r="17">
      <c r="C17" s="2" t="s">
        <v>130</v>
      </c>
      <c r="D17" s="24">
        <v>45272.0</v>
      </c>
      <c r="E17" s="2" t="s">
        <v>233</v>
      </c>
      <c r="F17" s="2" t="s">
        <v>444</v>
      </c>
      <c r="G17" s="2" t="s">
        <v>445</v>
      </c>
      <c r="H17" s="2" t="s">
        <v>459</v>
      </c>
      <c r="I17" s="29"/>
      <c r="J17" s="2">
        <v>40.0</v>
      </c>
      <c r="K17" s="17">
        <f>580*1.21</f>
        <v>701.8</v>
      </c>
      <c r="L17" s="8"/>
      <c r="M17" s="8"/>
      <c r="P17" s="2" t="s">
        <v>67</v>
      </c>
      <c r="Q17" s="2" t="s">
        <v>454</v>
      </c>
      <c r="R17" s="24">
        <v>45127.0</v>
      </c>
      <c r="S17" s="2" t="s">
        <v>442</v>
      </c>
      <c r="T17" s="2">
        <v>620.0</v>
      </c>
      <c r="U17" s="26">
        <f t="shared" si="1"/>
        <v>9.7278</v>
      </c>
      <c r="V17" s="2">
        <v>144797.0</v>
      </c>
    </row>
    <row r="18">
      <c r="C18" s="28"/>
      <c r="D18" s="24">
        <v>45518.0</v>
      </c>
      <c r="E18" s="2" t="s">
        <v>460</v>
      </c>
      <c r="F18" s="28"/>
      <c r="G18" s="2" t="s">
        <v>461</v>
      </c>
      <c r="H18" s="2" t="s">
        <v>462</v>
      </c>
      <c r="J18" s="2">
        <v>5.0</v>
      </c>
      <c r="K18" s="18">
        <f>5*10</f>
        <v>50</v>
      </c>
      <c r="L18" s="8"/>
      <c r="M18" s="8"/>
      <c r="N18" s="2" t="s">
        <v>463</v>
      </c>
      <c r="P18" s="2" t="s">
        <v>70</v>
      </c>
      <c r="Q18" s="2" t="s">
        <v>464</v>
      </c>
      <c r="R18" s="24">
        <v>45217.0</v>
      </c>
      <c r="S18" s="2" t="s">
        <v>442</v>
      </c>
      <c r="T18" s="2">
        <v>420.0</v>
      </c>
      <c r="U18" s="26">
        <f t="shared" si="1"/>
        <v>6.5898</v>
      </c>
      <c r="V18" s="2">
        <v>122598.0</v>
      </c>
    </row>
    <row r="19">
      <c r="C19" s="2" t="s">
        <v>130</v>
      </c>
      <c r="D19" s="24">
        <v>45553.0</v>
      </c>
      <c r="E19" s="2" t="s">
        <v>131</v>
      </c>
      <c r="F19" s="28"/>
      <c r="G19" s="2" t="s">
        <v>438</v>
      </c>
      <c r="H19" s="2" t="s">
        <v>465</v>
      </c>
      <c r="J19" s="2">
        <v>2888.0</v>
      </c>
      <c r="K19" s="17">
        <v>782.75</v>
      </c>
      <c r="L19" s="8"/>
      <c r="M19" s="8"/>
      <c r="P19" s="2" t="s">
        <v>70</v>
      </c>
      <c r="Q19" s="2" t="s">
        <v>464</v>
      </c>
      <c r="R19" s="24">
        <v>45217.0</v>
      </c>
      <c r="S19" s="2" t="s">
        <v>438</v>
      </c>
      <c r="T19" s="8">
        <f>16*24+7</f>
        <v>391</v>
      </c>
      <c r="U19" s="26">
        <f t="shared" si="1"/>
        <v>114.311991</v>
      </c>
      <c r="V19" s="2">
        <v>2.24223057E8</v>
      </c>
    </row>
    <row r="20">
      <c r="C20" s="28"/>
      <c r="D20" s="24">
        <v>45566.0</v>
      </c>
      <c r="E20" s="2" t="s">
        <v>131</v>
      </c>
      <c r="F20" s="28"/>
      <c r="G20" s="2" t="s">
        <v>442</v>
      </c>
      <c r="H20" s="2" t="s">
        <v>466</v>
      </c>
      <c r="J20" s="2">
        <v>10000.0</v>
      </c>
      <c r="K20" s="17">
        <v>105.0</v>
      </c>
      <c r="L20" s="8"/>
      <c r="M20" s="8"/>
      <c r="N20" s="2" t="s">
        <v>467</v>
      </c>
      <c r="P20" s="2" t="s">
        <v>70</v>
      </c>
      <c r="Q20" s="2" t="s">
        <v>464</v>
      </c>
      <c r="R20" s="24">
        <v>45217.0</v>
      </c>
      <c r="S20" s="2" t="s">
        <v>452</v>
      </c>
      <c r="T20" s="2">
        <v>17.0</v>
      </c>
      <c r="U20" s="26">
        <f t="shared" si="1"/>
        <v>16.456</v>
      </c>
      <c r="V20" s="2">
        <v>1.0</v>
      </c>
    </row>
    <row r="21">
      <c r="C21" s="28"/>
      <c r="D21" s="24">
        <v>45532.0</v>
      </c>
      <c r="E21" s="2" t="s">
        <v>233</v>
      </c>
      <c r="F21" s="2" t="s">
        <v>444</v>
      </c>
      <c r="G21" s="2" t="s">
        <v>445</v>
      </c>
      <c r="H21" s="2" t="s">
        <v>459</v>
      </c>
      <c r="J21" s="2">
        <v>40.0</v>
      </c>
      <c r="K21" s="17">
        <f>580*1.21</f>
        <v>701.8</v>
      </c>
      <c r="L21" s="8"/>
      <c r="M21" s="8"/>
      <c r="P21" s="2" t="s">
        <v>71</v>
      </c>
      <c r="Q21" s="2" t="s">
        <v>468</v>
      </c>
      <c r="R21" s="24">
        <v>45246.0</v>
      </c>
      <c r="S21" s="2" t="s">
        <v>442</v>
      </c>
      <c r="T21" s="2">
        <v>200.0</v>
      </c>
      <c r="U21" s="26">
        <f t="shared" si="1"/>
        <v>3.138</v>
      </c>
      <c r="V21" s="2">
        <v>122598.0</v>
      </c>
    </row>
    <row r="22">
      <c r="C22" s="28"/>
      <c r="D22" s="24">
        <v>45665.0</v>
      </c>
      <c r="E22" s="2" t="s">
        <v>460</v>
      </c>
      <c r="F22" s="28"/>
      <c r="G22" s="2" t="s">
        <v>461</v>
      </c>
      <c r="H22" s="2" t="s">
        <v>462</v>
      </c>
      <c r="J22" s="2">
        <v>1.0</v>
      </c>
      <c r="K22" s="18">
        <f>J22*10</f>
        <v>10</v>
      </c>
      <c r="L22" s="8"/>
      <c r="M22" s="8"/>
      <c r="P22" s="2" t="s">
        <v>71</v>
      </c>
      <c r="Q22" s="2" t="s">
        <v>468</v>
      </c>
      <c r="R22" s="24">
        <v>45246.0</v>
      </c>
      <c r="S22" s="2" t="s">
        <v>438</v>
      </c>
      <c r="T22" s="2">
        <v>123.0</v>
      </c>
      <c r="U22" s="26">
        <f t="shared" si="1"/>
        <v>35.96003809</v>
      </c>
      <c r="V22" s="2">
        <v>2.24223057E8</v>
      </c>
    </row>
    <row r="23">
      <c r="C23" s="28"/>
      <c r="D23" s="24">
        <v>45747.0</v>
      </c>
      <c r="E23" s="2" t="s">
        <v>131</v>
      </c>
      <c r="F23" s="28"/>
      <c r="G23" s="2" t="s">
        <v>438</v>
      </c>
      <c r="H23" s="2" t="s">
        <v>469</v>
      </c>
      <c r="J23" s="2">
        <v>2888.0</v>
      </c>
      <c r="K23" s="17">
        <v>634.5</v>
      </c>
      <c r="L23" s="8"/>
      <c r="M23" s="8"/>
      <c r="P23" s="2" t="s">
        <v>71</v>
      </c>
      <c r="Q23" s="2" t="s">
        <v>468</v>
      </c>
      <c r="R23" s="24">
        <v>45246.0</v>
      </c>
      <c r="S23" s="2" t="s">
        <v>455</v>
      </c>
      <c r="T23" s="2">
        <v>60.0</v>
      </c>
      <c r="U23" s="26">
        <f t="shared" si="1"/>
        <v>78.33636364</v>
      </c>
      <c r="V23" s="2">
        <v>174946.0</v>
      </c>
    </row>
    <row r="24">
      <c r="C24" s="28"/>
      <c r="D24" s="24">
        <v>45735.0</v>
      </c>
      <c r="E24" s="2" t="s">
        <v>249</v>
      </c>
      <c r="F24" s="2" t="s">
        <v>470</v>
      </c>
      <c r="G24" s="2" t="s">
        <v>445</v>
      </c>
      <c r="H24" s="28"/>
      <c r="J24" s="2">
        <v>20.0</v>
      </c>
      <c r="K24" s="17">
        <f>14.5*20</f>
        <v>290</v>
      </c>
      <c r="L24" s="8"/>
      <c r="M24" s="8"/>
      <c r="P24" s="2" t="s">
        <v>71</v>
      </c>
      <c r="Q24" s="2" t="s">
        <v>468</v>
      </c>
      <c r="R24" s="24">
        <v>45246.0</v>
      </c>
      <c r="S24" s="2" t="s">
        <v>445</v>
      </c>
      <c r="T24" s="2">
        <v>4.0</v>
      </c>
      <c r="U24" s="26">
        <f t="shared" si="1"/>
        <v>72.6</v>
      </c>
      <c r="V24" s="2" t="s">
        <v>450</v>
      </c>
    </row>
    <row r="25">
      <c r="C25" s="28"/>
      <c r="D25" s="24">
        <v>45950.0</v>
      </c>
      <c r="E25" s="2" t="s">
        <v>471</v>
      </c>
      <c r="F25" s="2" t="s">
        <v>444</v>
      </c>
      <c r="G25" s="2" t="s">
        <v>445</v>
      </c>
      <c r="H25" s="2">
        <v>5.227017945E9</v>
      </c>
      <c r="J25" s="2">
        <v>40.0</v>
      </c>
      <c r="K25" s="17">
        <f>15*40</f>
        <v>600</v>
      </c>
      <c r="L25" s="8"/>
      <c r="M25" s="8"/>
      <c r="P25" s="2" t="s">
        <v>71</v>
      </c>
      <c r="Q25" s="2" t="s">
        <v>468</v>
      </c>
      <c r="R25" s="24">
        <v>45246.0</v>
      </c>
      <c r="S25" s="2" t="s">
        <v>452</v>
      </c>
      <c r="T25" s="8">
        <f>round(T22/24,0)</f>
        <v>5</v>
      </c>
      <c r="U25" s="26">
        <f t="shared" si="1"/>
        <v>4.84</v>
      </c>
      <c r="V25" s="2">
        <v>1.0</v>
      </c>
    </row>
    <row r="26">
      <c r="C26" s="28"/>
      <c r="D26" s="24">
        <v>45950.0</v>
      </c>
      <c r="E26" s="2" t="s">
        <v>471</v>
      </c>
      <c r="F26" s="28"/>
      <c r="G26" s="2" t="s">
        <v>452</v>
      </c>
      <c r="H26" s="2">
        <v>2505072.0</v>
      </c>
      <c r="K26" s="18"/>
      <c r="L26" s="8"/>
      <c r="M26" s="8"/>
      <c r="P26" s="2" t="s">
        <v>71</v>
      </c>
      <c r="Q26" s="2" t="s">
        <v>468</v>
      </c>
      <c r="R26" s="24">
        <v>45246.0</v>
      </c>
      <c r="S26" s="2" t="s">
        <v>457</v>
      </c>
      <c r="T26" s="2">
        <v>20.0</v>
      </c>
      <c r="U26" s="26">
        <f t="shared" si="1"/>
        <v>24.66666667</v>
      </c>
      <c r="V26" s="47" t="s">
        <v>458</v>
      </c>
    </row>
    <row r="27">
      <c r="C27" s="28"/>
      <c r="D27" s="24">
        <v>45951.0</v>
      </c>
      <c r="E27" s="2" t="s">
        <v>131</v>
      </c>
      <c r="F27" s="28"/>
      <c r="G27" s="2" t="s">
        <v>438</v>
      </c>
      <c r="H27" s="2" t="s">
        <v>469</v>
      </c>
      <c r="J27" s="2">
        <v>2888.0</v>
      </c>
      <c r="K27" s="17">
        <v>582.97</v>
      </c>
      <c r="L27" s="8"/>
      <c r="M27" s="8"/>
      <c r="P27" s="2" t="s">
        <v>68</v>
      </c>
      <c r="Q27" s="2" t="s">
        <v>472</v>
      </c>
      <c r="R27" s="24">
        <v>45252.0</v>
      </c>
      <c r="S27" s="2" t="s">
        <v>442</v>
      </c>
      <c r="T27" s="2">
        <v>160.0</v>
      </c>
      <c r="U27" s="26">
        <f t="shared" si="1"/>
        <v>2.5104</v>
      </c>
      <c r="V27" s="2">
        <v>122598.0</v>
      </c>
    </row>
    <row r="28">
      <c r="C28" s="28"/>
      <c r="D28" s="28"/>
      <c r="E28" s="8"/>
      <c r="F28" s="28"/>
      <c r="G28" s="2"/>
      <c r="H28" s="28"/>
      <c r="K28" s="18"/>
      <c r="L28" s="8"/>
      <c r="M28" s="8"/>
      <c r="P28" s="2" t="s">
        <v>68</v>
      </c>
      <c r="Q28" s="2" t="s">
        <v>472</v>
      </c>
      <c r="R28" s="24">
        <v>45252.0</v>
      </c>
      <c r="S28" s="2" t="s">
        <v>438</v>
      </c>
      <c r="T28" s="2">
        <v>32.0</v>
      </c>
      <c r="U28" s="26">
        <f t="shared" si="1"/>
        <v>9.355457064</v>
      </c>
      <c r="V28" s="2">
        <v>2.24223057E8</v>
      </c>
    </row>
    <row r="29">
      <c r="C29" s="28"/>
      <c r="D29" s="28"/>
      <c r="E29" s="8"/>
      <c r="F29" s="28"/>
      <c r="G29" s="2"/>
      <c r="H29" s="28"/>
      <c r="K29" s="18"/>
      <c r="L29" s="8"/>
      <c r="M29" s="8"/>
      <c r="P29" s="2" t="s">
        <v>68</v>
      </c>
      <c r="Q29" s="2" t="s">
        <v>472</v>
      </c>
      <c r="R29" s="24">
        <v>45252.0</v>
      </c>
      <c r="S29" s="2" t="s">
        <v>455</v>
      </c>
      <c r="T29" s="2">
        <v>122.0</v>
      </c>
      <c r="U29" s="26">
        <f t="shared" si="1"/>
        <v>159.2839394</v>
      </c>
      <c r="V29" s="2">
        <v>174946.0</v>
      </c>
    </row>
    <row r="30">
      <c r="C30" s="28"/>
      <c r="D30" s="28"/>
      <c r="E30" s="8"/>
      <c r="F30" s="28"/>
      <c r="G30" s="2"/>
      <c r="H30" s="28"/>
      <c r="K30" s="18"/>
      <c r="L30" s="8"/>
      <c r="M30" s="8"/>
      <c r="P30" s="2" t="s">
        <v>68</v>
      </c>
      <c r="Q30" s="2" t="s">
        <v>472</v>
      </c>
      <c r="R30" s="24">
        <v>45252.0</v>
      </c>
      <c r="S30" s="2" t="s">
        <v>445</v>
      </c>
      <c r="T30" s="2">
        <v>2.0</v>
      </c>
      <c r="U30" s="26">
        <f t="shared" si="1"/>
        <v>36.3</v>
      </c>
      <c r="V30" s="2" t="s">
        <v>450</v>
      </c>
    </row>
    <row r="31">
      <c r="C31" s="28"/>
      <c r="D31" s="28"/>
      <c r="E31" s="8"/>
      <c r="F31" s="28"/>
      <c r="G31" s="2"/>
      <c r="H31" s="28"/>
      <c r="K31" s="18"/>
      <c r="L31" s="8"/>
      <c r="M31" s="8"/>
      <c r="P31" s="2" t="s">
        <v>68</v>
      </c>
      <c r="Q31" s="2" t="s">
        <v>472</v>
      </c>
      <c r="R31" s="24">
        <v>45252.0</v>
      </c>
      <c r="S31" s="2" t="s">
        <v>457</v>
      </c>
      <c r="T31" s="2">
        <v>20.0</v>
      </c>
      <c r="U31" s="26">
        <f t="shared" si="1"/>
        <v>24.66666667</v>
      </c>
      <c r="V31" s="47" t="s">
        <v>458</v>
      </c>
    </row>
    <row r="32">
      <c r="C32" s="28"/>
      <c r="D32" s="28"/>
      <c r="E32" s="8"/>
      <c r="F32" s="28"/>
      <c r="G32" s="2"/>
      <c r="H32" s="28"/>
      <c r="K32" s="18"/>
      <c r="L32" s="8"/>
      <c r="M32" s="8"/>
      <c r="P32" s="2" t="s">
        <v>73</v>
      </c>
      <c r="Q32" s="2" t="s">
        <v>473</v>
      </c>
      <c r="R32" s="24">
        <v>45252.0</v>
      </c>
      <c r="S32" s="2" t="s">
        <v>442</v>
      </c>
      <c r="T32" s="2">
        <v>90.0</v>
      </c>
      <c r="U32" s="26">
        <f t="shared" si="1"/>
        <v>1.4121</v>
      </c>
      <c r="V32" s="2">
        <v>122598.0</v>
      </c>
    </row>
    <row r="33">
      <c r="C33" s="8"/>
      <c r="E33" s="8"/>
      <c r="G33" s="2"/>
      <c r="K33" s="18"/>
      <c r="L33" s="8"/>
      <c r="M33" s="8"/>
      <c r="P33" s="2" t="s">
        <v>73</v>
      </c>
      <c r="Q33" s="2" t="s">
        <v>473</v>
      </c>
      <c r="R33" s="24">
        <v>45252.0</v>
      </c>
      <c r="S33" s="2" t="s">
        <v>455</v>
      </c>
      <c r="T33" s="2">
        <v>82.0</v>
      </c>
      <c r="U33" s="26">
        <f t="shared" si="1"/>
        <v>107.059697</v>
      </c>
      <c r="V33" s="2">
        <v>174946.0</v>
      </c>
    </row>
    <row r="34">
      <c r="C34" s="8"/>
      <c r="E34" s="8"/>
      <c r="G34" s="2"/>
      <c r="K34" s="18"/>
      <c r="L34" s="8"/>
      <c r="M34" s="8"/>
      <c r="P34" s="2" t="s">
        <v>73</v>
      </c>
      <c r="Q34" s="2" t="s">
        <v>473</v>
      </c>
      <c r="R34" s="24">
        <v>45252.0</v>
      </c>
      <c r="S34" s="2" t="s">
        <v>438</v>
      </c>
      <c r="T34" s="2">
        <v>3.0</v>
      </c>
      <c r="U34" s="26">
        <f t="shared" si="1"/>
        <v>0.8770740997</v>
      </c>
      <c r="V34" s="2">
        <v>2.24223057E8</v>
      </c>
    </row>
    <row r="35">
      <c r="C35" s="8"/>
      <c r="E35" s="8"/>
      <c r="G35" s="2"/>
      <c r="K35" s="18"/>
      <c r="L35" s="8"/>
      <c r="M35" s="8"/>
      <c r="P35" s="2" t="s">
        <v>73</v>
      </c>
      <c r="Q35" s="2" t="s">
        <v>473</v>
      </c>
      <c r="R35" s="24">
        <v>45252.0</v>
      </c>
      <c r="S35" s="2" t="s">
        <v>445</v>
      </c>
      <c r="T35" s="2">
        <v>3.0</v>
      </c>
      <c r="U35" s="26">
        <f t="shared" si="1"/>
        <v>54.45</v>
      </c>
      <c r="V35" s="2" t="s">
        <v>450</v>
      </c>
    </row>
    <row r="36">
      <c r="C36" s="8"/>
      <c r="E36" s="8"/>
      <c r="G36" s="2"/>
      <c r="K36" s="18"/>
      <c r="L36" s="8"/>
      <c r="M36" s="8"/>
      <c r="P36" s="2" t="s">
        <v>73</v>
      </c>
      <c r="Q36" s="2" t="s">
        <v>473</v>
      </c>
      <c r="R36" s="24">
        <v>45252.0</v>
      </c>
      <c r="S36" s="2" t="s">
        <v>457</v>
      </c>
      <c r="T36" s="2">
        <v>20.0</v>
      </c>
      <c r="U36" s="26">
        <f t="shared" si="1"/>
        <v>24.66666667</v>
      </c>
      <c r="V36" s="47" t="s">
        <v>458</v>
      </c>
    </row>
    <row r="37">
      <c r="C37" s="8"/>
      <c r="E37" s="8"/>
      <c r="G37" s="2"/>
      <c r="K37" s="18"/>
      <c r="L37" s="8"/>
      <c r="M37" s="8"/>
      <c r="P37" s="2" t="s">
        <v>72</v>
      </c>
      <c r="Q37" s="2" t="s">
        <v>474</v>
      </c>
      <c r="R37" s="24">
        <v>45273.0</v>
      </c>
      <c r="S37" s="2" t="s">
        <v>445</v>
      </c>
      <c r="T37" s="2">
        <v>13.0</v>
      </c>
      <c r="U37" s="26">
        <f t="shared" si="1"/>
        <v>228.085</v>
      </c>
      <c r="V37" s="2" t="s">
        <v>459</v>
      </c>
    </row>
    <row r="38">
      <c r="C38" s="8"/>
      <c r="E38" s="8"/>
      <c r="G38" s="2"/>
      <c r="K38" s="18"/>
      <c r="L38" s="8"/>
      <c r="M38" s="8"/>
      <c r="P38" s="2" t="s">
        <v>70</v>
      </c>
      <c r="Q38" s="2" t="s">
        <v>464</v>
      </c>
      <c r="R38" s="24">
        <v>45217.0</v>
      </c>
      <c r="S38" s="2" t="s">
        <v>445</v>
      </c>
      <c r="T38" s="2">
        <v>3.0</v>
      </c>
      <c r="U38" s="26">
        <f t="shared" si="1"/>
        <v>54.45</v>
      </c>
      <c r="V38" s="2" t="s">
        <v>450</v>
      </c>
    </row>
    <row r="39">
      <c r="C39" s="8"/>
      <c r="E39" s="8"/>
      <c r="G39" s="2"/>
      <c r="K39" s="18"/>
      <c r="L39" s="8"/>
      <c r="M39" s="8"/>
      <c r="P39" s="2" t="s">
        <v>76</v>
      </c>
      <c r="Q39" s="2" t="s">
        <v>475</v>
      </c>
      <c r="R39" s="29">
        <v>45350.0</v>
      </c>
      <c r="S39" s="2" t="s">
        <v>445</v>
      </c>
      <c r="T39" s="2">
        <v>9.0</v>
      </c>
      <c r="U39" s="26">
        <f t="shared" si="1"/>
        <v>157.905</v>
      </c>
      <c r="V39" s="2" t="s">
        <v>459</v>
      </c>
    </row>
    <row r="40">
      <c r="C40" s="8"/>
      <c r="E40" s="8"/>
      <c r="G40" s="2"/>
      <c r="K40" s="18"/>
      <c r="L40" s="8"/>
      <c r="M40" s="8"/>
      <c r="P40" s="2" t="s">
        <v>76</v>
      </c>
      <c r="Q40" s="2" t="s">
        <v>475</v>
      </c>
      <c r="R40" s="29">
        <v>45350.0</v>
      </c>
      <c r="S40" s="2" t="s">
        <v>438</v>
      </c>
      <c r="T40" s="2">
        <v>154.0</v>
      </c>
      <c r="U40" s="26">
        <f t="shared" si="1"/>
        <v>45.02313712</v>
      </c>
      <c r="V40" s="2">
        <v>2.24223057E8</v>
      </c>
    </row>
    <row r="41">
      <c r="C41" s="8"/>
      <c r="E41" s="8"/>
      <c r="G41" s="2"/>
      <c r="K41" s="18"/>
      <c r="L41" s="8"/>
      <c r="M41" s="8"/>
      <c r="P41" s="2" t="s">
        <v>76</v>
      </c>
      <c r="Q41" s="2" t="s">
        <v>475</v>
      </c>
      <c r="R41" s="29">
        <v>45350.0</v>
      </c>
      <c r="S41" s="2" t="s">
        <v>442</v>
      </c>
      <c r="T41" s="2">
        <v>155.0</v>
      </c>
      <c r="U41" s="26">
        <f t="shared" si="1"/>
        <v>2.43195</v>
      </c>
      <c r="V41" s="2">
        <v>122598.0</v>
      </c>
    </row>
    <row r="42">
      <c r="C42" s="8"/>
      <c r="E42" s="8"/>
      <c r="G42" s="2"/>
      <c r="K42" s="18"/>
      <c r="L42" s="8"/>
      <c r="M42" s="8"/>
      <c r="P42" s="2" t="s">
        <v>75</v>
      </c>
      <c r="Q42" s="2" t="s">
        <v>476</v>
      </c>
      <c r="R42" s="31">
        <v>45385.0</v>
      </c>
      <c r="S42" s="2" t="s">
        <v>442</v>
      </c>
      <c r="T42" s="2">
        <v>512.0</v>
      </c>
      <c r="U42" s="26">
        <f t="shared" si="1"/>
        <v>8.03328</v>
      </c>
      <c r="V42" s="2">
        <v>122598.0</v>
      </c>
    </row>
    <row r="43">
      <c r="C43" s="8"/>
      <c r="E43" s="8"/>
      <c r="G43" s="2"/>
      <c r="K43" s="18"/>
      <c r="L43" s="8"/>
      <c r="M43" s="8"/>
      <c r="P43" s="2" t="s">
        <v>75</v>
      </c>
      <c r="Q43" s="2" t="s">
        <v>476</v>
      </c>
      <c r="R43" s="31">
        <v>45385.0</v>
      </c>
      <c r="S43" s="2" t="s">
        <v>438</v>
      </c>
      <c r="T43" s="2">
        <v>510.0</v>
      </c>
      <c r="U43" s="26">
        <f t="shared" si="1"/>
        <v>149.102597</v>
      </c>
      <c r="V43" s="2">
        <v>2.24223057E8</v>
      </c>
    </row>
    <row r="44">
      <c r="C44" s="8"/>
      <c r="E44" s="8"/>
      <c r="G44" s="2"/>
      <c r="K44" s="18"/>
      <c r="L44" s="8"/>
      <c r="M44" s="8"/>
      <c r="P44" s="2" t="s">
        <v>75</v>
      </c>
      <c r="Q44" s="2" t="s">
        <v>476</v>
      </c>
      <c r="R44" s="31">
        <v>45385.0</v>
      </c>
      <c r="S44" s="2" t="s">
        <v>445</v>
      </c>
      <c r="T44" s="2">
        <v>2.0</v>
      </c>
      <c r="U44" s="26">
        <f t="shared" si="1"/>
        <v>35.09</v>
      </c>
      <c r="V44" s="2" t="s">
        <v>459</v>
      </c>
    </row>
    <row r="45">
      <c r="C45" s="8"/>
      <c r="E45" s="8"/>
      <c r="G45" s="2"/>
      <c r="K45" s="18"/>
      <c r="L45" s="8"/>
      <c r="M45" s="8"/>
      <c r="P45" s="2" t="s">
        <v>78</v>
      </c>
      <c r="Q45" s="2" t="s">
        <v>477</v>
      </c>
      <c r="R45" s="31">
        <v>45413.0</v>
      </c>
      <c r="S45" s="2" t="s">
        <v>442</v>
      </c>
      <c r="T45" s="2">
        <v>208.0</v>
      </c>
      <c r="U45" s="26">
        <f t="shared" si="1"/>
        <v>3.26352</v>
      </c>
      <c r="V45" s="2">
        <v>122598.0</v>
      </c>
    </row>
    <row r="46">
      <c r="C46" s="8"/>
      <c r="E46" s="8"/>
      <c r="G46" s="2"/>
      <c r="K46" s="18"/>
      <c r="L46" s="8"/>
      <c r="M46" s="8"/>
      <c r="P46" s="2" t="s">
        <v>78</v>
      </c>
      <c r="Q46" s="2" t="s">
        <v>477</v>
      </c>
      <c r="R46" s="31">
        <v>45413.0</v>
      </c>
      <c r="S46" s="2" t="s">
        <v>438</v>
      </c>
      <c r="T46" s="2">
        <v>208.0</v>
      </c>
      <c r="U46" s="26">
        <f t="shared" si="1"/>
        <v>60.81047091</v>
      </c>
      <c r="V46" s="2">
        <v>2.24223057E8</v>
      </c>
    </row>
    <row r="47">
      <c r="C47" s="8"/>
      <c r="E47" s="8"/>
      <c r="G47" s="2"/>
      <c r="K47" s="18"/>
      <c r="L47" s="8"/>
      <c r="M47" s="8"/>
      <c r="P47" s="2" t="s">
        <v>78</v>
      </c>
      <c r="Q47" s="2" t="s">
        <v>477</v>
      </c>
      <c r="R47" s="31">
        <v>45413.0</v>
      </c>
      <c r="S47" s="2" t="s">
        <v>445</v>
      </c>
      <c r="T47" s="2">
        <v>8.0</v>
      </c>
      <c r="U47" s="26">
        <f t="shared" si="1"/>
        <v>140.36</v>
      </c>
      <c r="V47" s="2" t="s">
        <v>459</v>
      </c>
    </row>
    <row r="48">
      <c r="C48" s="8"/>
      <c r="E48" s="8"/>
      <c r="G48" s="2"/>
      <c r="K48" s="18"/>
      <c r="L48" s="8"/>
      <c r="M48" s="8"/>
      <c r="P48" s="2" t="s">
        <v>79</v>
      </c>
      <c r="Q48" s="2" t="s">
        <v>478</v>
      </c>
      <c r="R48" s="31">
        <v>45441.0</v>
      </c>
      <c r="S48" s="2" t="s">
        <v>445</v>
      </c>
      <c r="T48" s="2">
        <v>7.0</v>
      </c>
      <c r="U48" s="26">
        <f t="shared" si="1"/>
        <v>122.815</v>
      </c>
      <c r="V48" s="2" t="s">
        <v>459</v>
      </c>
    </row>
    <row r="49">
      <c r="C49" s="8"/>
      <c r="E49" s="8"/>
      <c r="G49" s="2"/>
      <c r="K49" s="18"/>
      <c r="L49" s="8"/>
      <c r="M49" s="8"/>
      <c r="P49" s="2" t="s">
        <v>79</v>
      </c>
      <c r="Q49" s="2" t="s">
        <v>478</v>
      </c>
      <c r="R49" s="31">
        <v>45441.0</v>
      </c>
      <c r="S49" s="2" t="s">
        <v>438</v>
      </c>
      <c r="T49" s="2">
        <v>137.0</v>
      </c>
      <c r="U49" s="26">
        <f t="shared" si="1"/>
        <v>40.05305055</v>
      </c>
      <c r="V49" s="2">
        <v>2.24223057E8</v>
      </c>
    </row>
    <row r="50">
      <c r="C50" s="8"/>
      <c r="E50" s="8"/>
      <c r="G50" s="2"/>
      <c r="K50" s="18"/>
      <c r="L50" s="8"/>
      <c r="M50" s="8"/>
      <c r="P50" s="2" t="s">
        <v>79</v>
      </c>
      <c r="Q50" s="2" t="s">
        <v>478</v>
      </c>
      <c r="R50" s="31">
        <v>45441.0</v>
      </c>
      <c r="S50" s="2" t="s">
        <v>442</v>
      </c>
      <c r="T50" s="2">
        <v>157.0</v>
      </c>
      <c r="U50" s="26">
        <f t="shared" si="1"/>
        <v>2.46333</v>
      </c>
      <c r="V50" s="2">
        <v>122598.0</v>
      </c>
    </row>
    <row r="51">
      <c r="C51" s="8"/>
      <c r="G51" s="2"/>
      <c r="K51" s="18"/>
      <c r="L51" s="8"/>
      <c r="M51" s="8"/>
      <c r="P51" s="2" t="s">
        <v>80</v>
      </c>
      <c r="Q51" s="2" t="s">
        <v>479</v>
      </c>
      <c r="R51" s="31">
        <v>45448.0</v>
      </c>
      <c r="S51" s="2" t="s">
        <v>445</v>
      </c>
      <c r="T51" s="2">
        <v>4.0</v>
      </c>
      <c r="U51" s="26">
        <f t="shared" si="1"/>
        <v>70.18</v>
      </c>
      <c r="V51" s="2" t="s">
        <v>459</v>
      </c>
    </row>
    <row r="52">
      <c r="C52" s="8"/>
      <c r="G52" s="2"/>
      <c r="K52" s="18"/>
      <c r="L52" s="8"/>
      <c r="M52" s="8"/>
      <c r="P52" s="2" t="s">
        <v>80</v>
      </c>
      <c r="Q52" s="2" t="s">
        <v>479</v>
      </c>
      <c r="R52" s="31">
        <v>45448.0</v>
      </c>
      <c r="S52" s="2" t="s">
        <v>438</v>
      </c>
      <c r="T52" s="8">
        <f>16*24-10</f>
        <v>374</v>
      </c>
      <c r="U52" s="26">
        <f t="shared" si="1"/>
        <v>109.3419044</v>
      </c>
      <c r="V52" s="2">
        <v>2.24223057E8</v>
      </c>
    </row>
    <row r="53">
      <c r="C53" s="8"/>
      <c r="G53" s="2"/>
      <c r="K53" s="18"/>
      <c r="L53" s="8"/>
      <c r="M53" s="8"/>
      <c r="P53" s="2" t="s">
        <v>80</v>
      </c>
      <c r="Q53" s="2" t="s">
        <v>479</v>
      </c>
      <c r="R53" s="31">
        <v>45448.0</v>
      </c>
      <c r="S53" s="2" t="s">
        <v>442</v>
      </c>
      <c r="T53" s="2">
        <v>400.0</v>
      </c>
      <c r="U53" s="26">
        <f t="shared" si="1"/>
        <v>6.276</v>
      </c>
      <c r="V53" s="2">
        <v>122598.0</v>
      </c>
    </row>
    <row r="54">
      <c r="C54" s="8"/>
      <c r="G54" s="2"/>
      <c r="K54" s="18"/>
      <c r="L54" s="8"/>
      <c r="M54" s="8"/>
      <c r="P54" s="2" t="s">
        <v>82</v>
      </c>
      <c r="Q54" s="2" t="s">
        <v>480</v>
      </c>
      <c r="R54" s="31">
        <v>45518.0</v>
      </c>
      <c r="S54" s="2" t="s">
        <v>442</v>
      </c>
      <c r="T54" s="2">
        <v>370.0</v>
      </c>
      <c r="U54" s="26">
        <f t="shared" si="1"/>
        <v>5.8053</v>
      </c>
      <c r="V54" s="2">
        <v>122598.0</v>
      </c>
    </row>
    <row r="55">
      <c r="C55" s="8"/>
      <c r="G55" s="2"/>
      <c r="K55" s="18"/>
      <c r="L55" s="8"/>
      <c r="M55" s="8"/>
      <c r="P55" s="2" t="s">
        <v>82</v>
      </c>
      <c r="Q55" s="2" t="s">
        <v>480</v>
      </c>
      <c r="R55" s="31">
        <v>45518.0</v>
      </c>
      <c r="S55" s="2" t="s">
        <v>438</v>
      </c>
      <c r="T55" s="2">
        <v>355.0</v>
      </c>
      <c r="U55" s="26">
        <f t="shared" si="1"/>
        <v>103.7871018</v>
      </c>
      <c r="V55" s="2">
        <v>2.24223057E8</v>
      </c>
    </row>
    <row r="56">
      <c r="C56" s="8"/>
      <c r="G56" s="2"/>
      <c r="K56" s="18"/>
      <c r="L56" s="8"/>
      <c r="M56" s="8"/>
      <c r="P56" s="2" t="s">
        <v>82</v>
      </c>
      <c r="Q56" s="2" t="s">
        <v>480</v>
      </c>
      <c r="R56" s="31">
        <v>45518.0</v>
      </c>
      <c r="S56" s="2" t="s">
        <v>445</v>
      </c>
      <c r="T56" s="2">
        <v>2.0</v>
      </c>
      <c r="U56" s="26">
        <f t="shared" si="1"/>
        <v>35.09</v>
      </c>
      <c r="V56" s="2" t="s">
        <v>459</v>
      </c>
    </row>
    <row r="57">
      <c r="C57" s="8"/>
      <c r="G57" s="2"/>
      <c r="K57" s="18"/>
      <c r="L57" s="8"/>
      <c r="M57" s="8"/>
      <c r="P57" s="2" t="s">
        <v>82</v>
      </c>
      <c r="Q57" s="2" t="s">
        <v>480</v>
      </c>
      <c r="R57" s="31">
        <v>45518.0</v>
      </c>
      <c r="S57" s="2" t="s">
        <v>461</v>
      </c>
      <c r="T57" s="2">
        <v>5.0</v>
      </c>
      <c r="U57" s="26">
        <f t="shared" si="1"/>
        <v>50</v>
      </c>
      <c r="V57" s="2" t="s">
        <v>462</v>
      </c>
    </row>
    <row r="58">
      <c r="C58" s="8"/>
      <c r="G58" s="2"/>
      <c r="K58" s="18"/>
      <c r="L58" s="8"/>
      <c r="M58" s="8"/>
      <c r="P58" s="2" t="s">
        <v>74</v>
      </c>
      <c r="Q58" s="2" t="s">
        <v>481</v>
      </c>
      <c r="R58" s="31">
        <v>45560.0</v>
      </c>
      <c r="S58" s="2" t="s">
        <v>445</v>
      </c>
      <c r="T58" s="2">
        <v>4.0</v>
      </c>
      <c r="U58" s="26">
        <f t="shared" si="1"/>
        <v>70.18</v>
      </c>
      <c r="V58" s="2" t="s">
        <v>459</v>
      </c>
    </row>
    <row r="59">
      <c r="C59" s="8"/>
      <c r="G59" s="2"/>
      <c r="K59" s="18"/>
      <c r="L59" s="8"/>
      <c r="M59" s="8"/>
      <c r="P59" s="2" t="s">
        <v>74</v>
      </c>
      <c r="Q59" s="2" t="s">
        <v>481</v>
      </c>
      <c r="R59" s="31">
        <v>45560.0</v>
      </c>
      <c r="S59" s="2" t="s">
        <v>438</v>
      </c>
      <c r="T59" s="2">
        <v>312.0</v>
      </c>
      <c r="U59" s="26">
        <f t="shared" si="1"/>
        <v>84.56301939</v>
      </c>
      <c r="V59" s="2" t="s">
        <v>465</v>
      </c>
    </row>
    <row r="60">
      <c r="C60" s="8"/>
      <c r="G60" s="2"/>
      <c r="K60" s="18"/>
      <c r="L60" s="8"/>
      <c r="M60" s="8"/>
      <c r="P60" s="2" t="s">
        <v>74</v>
      </c>
      <c r="Q60" s="2" t="s">
        <v>481</v>
      </c>
      <c r="R60" s="31">
        <v>45560.0</v>
      </c>
      <c r="S60" s="2" t="s">
        <v>442</v>
      </c>
      <c r="T60" s="2">
        <v>320.0</v>
      </c>
      <c r="U60" s="26">
        <f t="shared" si="1"/>
        <v>5.0208</v>
      </c>
      <c r="V60" s="2">
        <v>122598.0</v>
      </c>
    </row>
    <row r="61">
      <c r="C61" s="8"/>
      <c r="G61" s="2"/>
      <c r="K61" s="18"/>
      <c r="L61" s="8"/>
      <c r="M61" s="8"/>
      <c r="P61" s="2" t="s">
        <v>83</v>
      </c>
      <c r="Q61" s="2" t="s">
        <v>482</v>
      </c>
      <c r="R61" s="31">
        <v>45581.0</v>
      </c>
      <c r="S61" s="2" t="s">
        <v>442</v>
      </c>
      <c r="T61" s="2">
        <v>180.0</v>
      </c>
      <c r="U61" s="26">
        <f t="shared" si="1"/>
        <v>1.89</v>
      </c>
      <c r="V61" s="2" t="s">
        <v>466</v>
      </c>
    </row>
    <row r="62">
      <c r="C62" s="8"/>
      <c r="G62" s="2"/>
      <c r="K62" s="18"/>
      <c r="L62" s="8"/>
      <c r="M62" s="8"/>
      <c r="P62" s="2" t="s">
        <v>83</v>
      </c>
      <c r="Q62" s="2" t="s">
        <v>482</v>
      </c>
      <c r="R62" s="31">
        <v>45581.0</v>
      </c>
      <c r="S62" s="2" t="s">
        <v>438</v>
      </c>
      <c r="T62" s="2">
        <v>167.0</v>
      </c>
      <c r="U62" s="26">
        <f t="shared" si="1"/>
        <v>45.2628982</v>
      </c>
      <c r="V62" s="2" t="s">
        <v>465</v>
      </c>
    </row>
    <row r="63">
      <c r="C63" s="8"/>
      <c r="G63" s="2"/>
      <c r="K63" s="18"/>
      <c r="L63" s="8"/>
      <c r="M63" s="8"/>
      <c r="P63" s="2" t="s">
        <v>83</v>
      </c>
      <c r="Q63" s="2" t="s">
        <v>482</v>
      </c>
      <c r="R63" s="31">
        <v>45581.0</v>
      </c>
      <c r="S63" s="2" t="s">
        <v>445</v>
      </c>
      <c r="T63" s="2">
        <v>8.0</v>
      </c>
      <c r="U63" s="26">
        <f t="shared" si="1"/>
        <v>140.36</v>
      </c>
      <c r="V63" s="2" t="s">
        <v>459</v>
      </c>
    </row>
    <row r="64">
      <c r="C64" s="8"/>
      <c r="G64" s="2"/>
      <c r="K64" s="18"/>
      <c r="L64" s="8"/>
      <c r="M64" s="8"/>
      <c r="P64" s="2" t="s">
        <v>84</v>
      </c>
      <c r="Q64" s="2" t="s">
        <v>483</v>
      </c>
      <c r="R64" s="31">
        <v>45644.0</v>
      </c>
      <c r="S64" s="2" t="s">
        <v>445</v>
      </c>
      <c r="T64" s="2">
        <v>11.0</v>
      </c>
      <c r="U64" s="26">
        <f t="shared" si="1"/>
        <v>192.995</v>
      </c>
      <c r="V64" s="2" t="s">
        <v>459</v>
      </c>
    </row>
    <row r="65">
      <c r="C65" s="8"/>
      <c r="G65" s="2"/>
      <c r="K65" s="18"/>
      <c r="L65" s="8"/>
      <c r="M65" s="8"/>
      <c r="P65" s="2" t="s">
        <v>84</v>
      </c>
      <c r="Q65" s="2" t="s">
        <v>483</v>
      </c>
      <c r="R65" s="31">
        <v>45644.0</v>
      </c>
      <c r="S65" s="2" t="s">
        <v>438</v>
      </c>
      <c r="T65" s="2">
        <v>10.0</v>
      </c>
      <c r="U65" s="26">
        <f t="shared" si="1"/>
        <v>2.710353186</v>
      </c>
      <c r="V65" s="2" t="s">
        <v>465</v>
      </c>
    </row>
    <row r="66">
      <c r="C66" s="8"/>
      <c r="G66" s="2"/>
      <c r="K66" s="18"/>
      <c r="L66" s="8"/>
      <c r="M66" s="8"/>
      <c r="P66" s="2" t="s">
        <v>84</v>
      </c>
      <c r="Q66" s="2" t="s">
        <v>483</v>
      </c>
      <c r="R66" s="31">
        <v>45644.0</v>
      </c>
      <c r="S66" s="2" t="s">
        <v>442</v>
      </c>
      <c r="T66" s="2">
        <v>12.0</v>
      </c>
      <c r="U66" s="26">
        <f t="shared" si="1"/>
        <v>0.126</v>
      </c>
      <c r="V66" s="2" t="s">
        <v>466</v>
      </c>
    </row>
    <row r="67">
      <c r="C67" s="8"/>
      <c r="G67" s="2"/>
      <c r="K67" s="18"/>
      <c r="L67" s="8"/>
      <c r="M67" s="8"/>
      <c r="P67" s="2" t="s">
        <v>85</v>
      </c>
      <c r="Q67" s="2" t="s">
        <v>484</v>
      </c>
      <c r="R67" s="31">
        <v>45665.0</v>
      </c>
      <c r="S67" s="2" t="s">
        <v>445</v>
      </c>
      <c r="T67" s="2">
        <v>3.0</v>
      </c>
      <c r="U67" s="26">
        <f t="shared" si="1"/>
        <v>52.635</v>
      </c>
      <c r="V67" s="2" t="s">
        <v>459</v>
      </c>
    </row>
    <row r="68">
      <c r="C68" s="8"/>
      <c r="G68" s="2"/>
      <c r="K68" s="18"/>
      <c r="L68" s="8"/>
      <c r="M68" s="8"/>
      <c r="P68" s="2" t="s">
        <v>85</v>
      </c>
      <c r="Q68" s="2" t="s">
        <v>484</v>
      </c>
      <c r="R68" s="31">
        <v>45665.0</v>
      </c>
      <c r="S68" s="2" t="s">
        <v>461</v>
      </c>
      <c r="T68" s="2">
        <v>1.0</v>
      </c>
      <c r="U68" s="26">
        <f t="shared" si="1"/>
        <v>10</v>
      </c>
      <c r="V68" s="2" t="s">
        <v>462</v>
      </c>
    </row>
    <row r="69">
      <c r="C69" s="8"/>
      <c r="G69" s="2"/>
      <c r="K69" s="18"/>
      <c r="L69" s="8"/>
      <c r="M69" s="8"/>
      <c r="P69" s="2" t="s">
        <v>85</v>
      </c>
      <c r="Q69" s="2" t="s">
        <v>484</v>
      </c>
      <c r="R69" s="31">
        <v>45665.0</v>
      </c>
      <c r="S69" s="2" t="s">
        <v>438</v>
      </c>
      <c r="T69" s="8">
        <f>19*24+13</f>
        <v>469</v>
      </c>
      <c r="U69" s="26">
        <f t="shared" si="1"/>
        <v>127.1155644</v>
      </c>
      <c r="V69" s="2" t="s">
        <v>465</v>
      </c>
    </row>
    <row r="70">
      <c r="C70" s="8"/>
      <c r="G70" s="2"/>
      <c r="K70" s="18"/>
      <c r="L70" s="8"/>
      <c r="M70" s="8"/>
      <c r="P70" s="2" t="s">
        <v>85</v>
      </c>
      <c r="Q70" s="2" t="s">
        <v>484</v>
      </c>
      <c r="R70" s="31">
        <v>45665.0</v>
      </c>
      <c r="S70" s="2" t="s">
        <v>442</v>
      </c>
      <c r="T70" s="2">
        <v>473.0</v>
      </c>
      <c r="U70" s="26">
        <f t="shared" si="1"/>
        <v>4.9665</v>
      </c>
      <c r="V70" s="2" t="s">
        <v>466</v>
      </c>
    </row>
    <row r="71">
      <c r="C71" s="8"/>
      <c r="G71" s="2"/>
      <c r="K71" s="18"/>
      <c r="L71" s="8"/>
      <c r="M71" s="8"/>
      <c r="P71" s="2" t="s">
        <v>485</v>
      </c>
      <c r="R71" s="29">
        <v>45672.0</v>
      </c>
      <c r="S71" s="2" t="s">
        <v>441</v>
      </c>
      <c r="T71" s="2">
        <v>142.0</v>
      </c>
      <c r="U71" s="26">
        <f t="shared" si="1"/>
        <v>79.39122549</v>
      </c>
      <c r="V71" s="2">
        <v>2.24222382E8</v>
      </c>
    </row>
    <row r="72">
      <c r="C72" s="8"/>
      <c r="G72" s="2"/>
      <c r="K72" s="18"/>
      <c r="L72" s="8"/>
      <c r="M72" s="8"/>
      <c r="P72" s="2" t="s">
        <v>86</v>
      </c>
      <c r="Q72" s="2" t="s">
        <v>486</v>
      </c>
      <c r="R72" s="31">
        <v>45694.0</v>
      </c>
      <c r="S72" s="2" t="s">
        <v>438</v>
      </c>
      <c r="T72" s="2">
        <v>510.0</v>
      </c>
      <c r="U72" s="26">
        <f t="shared" si="1"/>
        <v>138.2280125</v>
      </c>
      <c r="V72" s="2" t="s">
        <v>465</v>
      </c>
    </row>
    <row r="73">
      <c r="C73" s="8"/>
      <c r="G73" s="2"/>
      <c r="K73" s="18"/>
      <c r="L73" s="8"/>
      <c r="M73" s="8"/>
      <c r="P73" s="2" t="s">
        <v>86</v>
      </c>
      <c r="Q73" s="2" t="s">
        <v>486</v>
      </c>
      <c r="R73" s="31">
        <v>45694.0</v>
      </c>
      <c r="S73" s="2" t="s">
        <v>442</v>
      </c>
      <c r="T73" s="2">
        <v>520.0</v>
      </c>
      <c r="U73" s="26">
        <f t="shared" si="1"/>
        <v>5.46</v>
      </c>
      <c r="V73" s="2" t="s">
        <v>466</v>
      </c>
    </row>
    <row r="74">
      <c r="C74" s="8"/>
      <c r="G74" s="2"/>
      <c r="K74" s="18"/>
      <c r="L74" s="8"/>
      <c r="M74" s="8"/>
      <c r="P74" s="2" t="s">
        <v>86</v>
      </c>
      <c r="Q74" s="2" t="s">
        <v>486</v>
      </c>
      <c r="R74" s="31">
        <v>45694.0</v>
      </c>
      <c r="S74" s="2" t="s">
        <v>445</v>
      </c>
      <c r="T74" s="2">
        <v>5.0</v>
      </c>
      <c r="U74" s="26">
        <f t="shared" si="1"/>
        <v>87.725</v>
      </c>
      <c r="V74" s="2" t="s">
        <v>459</v>
      </c>
    </row>
    <row r="75">
      <c r="C75" s="8"/>
      <c r="G75" s="2"/>
      <c r="K75" s="18"/>
      <c r="L75" s="8"/>
      <c r="M75" s="8"/>
      <c r="P75" s="2" t="s">
        <v>88</v>
      </c>
      <c r="Q75" s="2" t="s">
        <v>487</v>
      </c>
      <c r="R75" s="31">
        <v>45721.0</v>
      </c>
      <c r="S75" s="2" t="s">
        <v>438</v>
      </c>
      <c r="T75" s="2">
        <v>1275.0</v>
      </c>
      <c r="U75" s="26">
        <f t="shared" si="1"/>
        <v>345.5700312</v>
      </c>
      <c r="V75" s="2" t="s">
        <v>465</v>
      </c>
    </row>
    <row r="76">
      <c r="C76" s="8"/>
      <c r="G76" s="2"/>
      <c r="K76" s="18"/>
      <c r="L76" s="8"/>
      <c r="M76" s="8"/>
      <c r="P76" s="2" t="s">
        <v>88</v>
      </c>
      <c r="Q76" s="2" t="s">
        <v>487</v>
      </c>
      <c r="R76" s="31">
        <v>45721.0</v>
      </c>
      <c r="S76" s="2" t="s">
        <v>442</v>
      </c>
      <c r="T76" s="2">
        <v>1300.0</v>
      </c>
      <c r="U76" s="26">
        <f t="shared" si="1"/>
        <v>13.65</v>
      </c>
      <c r="V76" s="2" t="s">
        <v>466</v>
      </c>
    </row>
    <row r="77">
      <c r="C77" s="8"/>
      <c r="G77" s="2"/>
      <c r="K77" s="18"/>
      <c r="L77" s="8"/>
      <c r="M77" s="8"/>
      <c r="P77" s="2" t="s">
        <v>89</v>
      </c>
      <c r="Q77" s="2" t="s">
        <v>488</v>
      </c>
      <c r="R77" s="31">
        <v>45756.0</v>
      </c>
      <c r="S77" s="2" t="s">
        <v>438</v>
      </c>
      <c r="T77" s="2">
        <f>652-96</f>
        <v>556</v>
      </c>
      <c r="U77" s="26">
        <f t="shared" si="1"/>
        <v>122.1544321</v>
      </c>
      <c r="V77" s="2" t="s">
        <v>469</v>
      </c>
    </row>
    <row r="78">
      <c r="C78" s="8"/>
      <c r="G78" s="2"/>
      <c r="K78" s="18"/>
      <c r="L78" s="8"/>
      <c r="M78" s="8"/>
      <c r="P78" s="2" t="s">
        <v>89</v>
      </c>
      <c r="Q78" s="2" t="s">
        <v>488</v>
      </c>
      <c r="R78" s="31">
        <v>45756.0</v>
      </c>
      <c r="S78" s="2" t="s">
        <v>438</v>
      </c>
      <c r="T78" s="2">
        <v>96.0</v>
      </c>
      <c r="U78" s="26">
        <f t="shared" si="1"/>
        <v>26.01939058</v>
      </c>
      <c r="V78" s="2" t="s">
        <v>465</v>
      </c>
    </row>
    <row r="79">
      <c r="C79" s="8"/>
      <c r="G79" s="2"/>
      <c r="K79" s="18"/>
      <c r="L79" s="8"/>
      <c r="M79" s="8"/>
      <c r="P79" s="2" t="s">
        <v>89</v>
      </c>
      <c r="Q79" s="2" t="s">
        <v>488</v>
      </c>
      <c r="R79" s="31">
        <v>45756.0</v>
      </c>
      <c r="S79" s="2" t="s">
        <v>442</v>
      </c>
      <c r="T79" s="2">
        <v>700.0</v>
      </c>
      <c r="U79" s="26">
        <f t="shared" si="1"/>
        <v>7.35</v>
      </c>
      <c r="V79" s="2" t="s">
        <v>466</v>
      </c>
    </row>
    <row r="80">
      <c r="C80" s="8"/>
      <c r="G80" s="2"/>
      <c r="K80" s="18"/>
      <c r="L80" s="8"/>
      <c r="M80" s="8"/>
      <c r="P80" s="2" t="s">
        <v>90</v>
      </c>
      <c r="Q80" s="2" t="s">
        <v>489</v>
      </c>
      <c r="R80" s="31">
        <v>45784.0</v>
      </c>
      <c r="S80" s="2" t="s">
        <v>438</v>
      </c>
      <c r="T80" s="2">
        <v>414.0</v>
      </c>
      <c r="U80" s="26">
        <f t="shared" si="1"/>
        <v>90.95671745</v>
      </c>
      <c r="V80" s="2" t="s">
        <v>469</v>
      </c>
    </row>
    <row r="81">
      <c r="C81" s="8"/>
      <c r="G81" s="2"/>
      <c r="K81" s="18"/>
      <c r="L81" s="8"/>
      <c r="M81" s="8"/>
      <c r="P81" s="2" t="s">
        <v>90</v>
      </c>
      <c r="Q81" s="2" t="s">
        <v>489</v>
      </c>
      <c r="R81" s="31">
        <v>45784.0</v>
      </c>
      <c r="S81" s="2" t="s">
        <v>442</v>
      </c>
      <c r="T81" s="2">
        <v>420.0</v>
      </c>
      <c r="U81" s="26">
        <f t="shared" si="1"/>
        <v>4.41</v>
      </c>
      <c r="V81" s="2" t="s">
        <v>466</v>
      </c>
    </row>
    <row r="82">
      <c r="C82" s="8"/>
      <c r="G82" s="2"/>
      <c r="K82" s="18"/>
      <c r="L82" s="8"/>
      <c r="M82" s="8"/>
      <c r="P82" s="2" t="s">
        <v>90</v>
      </c>
      <c r="Q82" s="2" t="s">
        <v>489</v>
      </c>
      <c r="R82" s="31">
        <v>45784.0</v>
      </c>
      <c r="S82" s="2" t="s">
        <v>445</v>
      </c>
      <c r="T82" s="2">
        <v>6.0</v>
      </c>
      <c r="U82" s="26">
        <f t="shared" si="1"/>
        <v>105.27</v>
      </c>
      <c r="V82" s="2" t="s">
        <v>459</v>
      </c>
    </row>
    <row r="83">
      <c r="C83" s="8"/>
      <c r="G83" s="2"/>
      <c r="K83" s="18"/>
      <c r="L83" s="8"/>
      <c r="M83" s="8"/>
      <c r="P83" s="2" t="s">
        <v>91</v>
      </c>
      <c r="Q83" s="2" t="s">
        <v>490</v>
      </c>
      <c r="R83" s="31">
        <v>45813.0</v>
      </c>
      <c r="S83" s="2" t="s">
        <v>445</v>
      </c>
      <c r="T83" s="2">
        <v>6.0</v>
      </c>
      <c r="U83" s="26">
        <f t="shared" si="1"/>
        <v>105.27</v>
      </c>
      <c r="V83" s="2" t="s">
        <v>459</v>
      </c>
    </row>
    <row r="84">
      <c r="C84" s="8"/>
      <c r="G84" s="2"/>
      <c r="K84" s="18"/>
      <c r="L84" s="8"/>
      <c r="M84" s="8"/>
      <c r="P84" s="2" t="s">
        <v>91</v>
      </c>
      <c r="Q84" s="2" t="s">
        <v>490</v>
      </c>
      <c r="R84" s="31">
        <v>45813.0</v>
      </c>
      <c r="S84" s="2" t="s">
        <v>438</v>
      </c>
      <c r="T84" s="2">
        <v>298.0</v>
      </c>
      <c r="U84" s="26">
        <f t="shared" si="1"/>
        <v>65.47126039</v>
      </c>
      <c r="V84" s="2" t="s">
        <v>469</v>
      </c>
    </row>
    <row r="85">
      <c r="C85" s="8"/>
      <c r="G85" s="2"/>
      <c r="K85" s="18"/>
      <c r="L85" s="8"/>
      <c r="M85" s="8"/>
      <c r="P85" s="2" t="s">
        <v>91</v>
      </c>
      <c r="Q85" s="2" t="s">
        <v>490</v>
      </c>
      <c r="R85" s="31">
        <v>45813.0</v>
      </c>
      <c r="S85" s="2" t="s">
        <v>442</v>
      </c>
      <c r="T85" s="2">
        <v>310.0</v>
      </c>
      <c r="U85" s="26">
        <f t="shared" si="1"/>
        <v>3.255</v>
      </c>
      <c r="V85" s="2" t="s">
        <v>466</v>
      </c>
    </row>
    <row r="86">
      <c r="C86" s="8"/>
      <c r="G86" s="2"/>
      <c r="K86" s="18"/>
      <c r="L86" s="8"/>
      <c r="M86" s="8"/>
      <c r="P86" s="2" t="s">
        <v>92</v>
      </c>
      <c r="Q86" s="2" t="s">
        <v>491</v>
      </c>
      <c r="R86" s="31">
        <v>45489.0</v>
      </c>
      <c r="S86" s="2" t="s">
        <v>445</v>
      </c>
      <c r="T86" s="2">
        <v>8.0</v>
      </c>
      <c r="U86" s="26">
        <f t="shared" si="1"/>
        <v>140.36</v>
      </c>
      <c r="V86" s="2" t="s">
        <v>459</v>
      </c>
    </row>
    <row r="87">
      <c r="C87" s="8"/>
      <c r="G87" s="2"/>
      <c r="K87" s="18"/>
      <c r="L87" s="8"/>
      <c r="M87" s="8"/>
      <c r="P87" s="2" t="s">
        <v>92</v>
      </c>
      <c r="Q87" s="2" t="s">
        <v>491</v>
      </c>
      <c r="R87" s="31">
        <v>45489.0</v>
      </c>
      <c r="S87" s="2" t="s">
        <v>438</v>
      </c>
      <c r="T87" s="2">
        <v>345.0</v>
      </c>
      <c r="U87" s="26">
        <f t="shared" si="1"/>
        <v>75.79726454</v>
      </c>
      <c r="V87" s="2" t="s">
        <v>469</v>
      </c>
    </row>
    <row r="88">
      <c r="C88" s="8"/>
      <c r="G88" s="2"/>
      <c r="K88" s="18"/>
      <c r="L88" s="8"/>
      <c r="M88" s="8"/>
      <c r="P88" s="2" t="s">
        <v>92</v>
      </c>
      <c r="Q88" s="2" t="s">
        <v>491</v>
      </c>
      <c r="R88" s="31">
        <v>45489.0</v>
      </c>
      <c r="S88" s="2" t="s">
        <v>442</v>
      </c>
      <c r="T88" s="2">
        <v>360.0</v>
      </c>
      <c r="U88" s="26">
        <f t="shared" si="1"/>
        <v>3.78</v>
      </c>
      <c r="V88" s="2" t="s">
        <v>466</v>
      </c>
    </row>
    <row r="89">
      <c r="C89" s="8"/>
      <c r="G89" s="2"/>
      <c r="K89" s="18"/>
      <c r="L89" s="8"/>
      <c r="M89" s="8"/>
      <c r="P89" s="2" t="s">
        <v>93</v>
      </c>
      <c r="Q89" s="2" t="s">
        <v>490</v>
      </c>
      <c r="R89" s="31">
        <v>45489.0</v>
      </c>
      <c r="S89" s="2" t="s">
        <v>445</v>
      </c>
      <c r="T89" s="2">
        <v>8.0</v>
      </c>
      <c r="U89" s="26">
        <f t="shared" si="1"/>
        <v>140.36</v>
      </c>
      <c r="V89" s="2" t="s">
        <v>459</v>
      </c>
    </row>
    <row r="90">
      <c r="C90" s="8"/>
      <c r="G90" s="2"/>
      <c r="K90" s="18"/>
      <c r="L90" s="8"/>
      <c r="M90" s="8"/>
      <c r="P90" s="2" t="s">
        <v>93</v>
      </c>
      <c r="Q90" s="2" t="s">
        <v>490</v>
      </c>
      <c r="R90" s="31">
        <v>45489.0</v>
      </c>
      <c r="S90" s="2" t="s">
        <v>438</v>
      </c>
      <c r="T90" s="2">
        <v>273.0</v>
      </c>
      <c r="U90" s="26">
        <f t="shared" si="1"/>
        <v>59.97870499</v>
      </c>
      <c r="V90" s="2" t="s">
        <v>469</v>
      </c>
    </row>
    <row r="91">
      <c r="C91" s="8"/>
      <c r="G91" s="2"/>
      <c r="K91" s="18"/>
      <c r="L91" s="8"/>
      <c r="M91" s="8"/>
      <c r="P91" s="2" t="s">
        <v>93</v>
      </c>
      <c r="Q91" s="2" t="s">
        <v>490</v>
      </c>
      <c r="R91" s="31">
        <v>45489.0</v>
      </c>
      <c r="S91" s="2" t="s">
        <v>442</v>
      </c>
      <c r="T91" s="2">
        <v>275.0</v>
      </c>
      <c r="U91" s="26">
        <f t="shared" si="1"/>
        <v>2.8875</v>
      </c>
      <c r="V91" s="2" t="s">
        <v>466</v>
      </c>
    </row>
    <row r="92">
      <c r="C92" s="8"/>
      <c r="G92" s="2"/>
      <c r="K92" s="18"/>
      <c r="L92" s="8"/>
      <c r="M92" s="8"/>
      <c r="P92" s="2" t="s">
        <v>94</v>
      </c>
      <c r="Q92" s="2" t="s">
        <v>492</v>
      </c>
      <c r="R92" s="31">
        <v>45945.0</v>
      </c>
      <c r="S92" s="2" t="s">
        <v>445</v>
      </c>
      <c r="T92" s="2">
        <v>5.0</v>
      </c>
      <c r="U92" s="26">
        <f t="shared" si="1"/>
        <v>87.725</v>
      </c>
      <c r="V92" s="2" t="s">
        <v>459</v>
      </c>
    </row>
    <row r="93">
      <c r="C93" s="8"/>
      <c r="G93" s="2"/>
      <c r="K93" s="18"/>
      <c r="L93" s="8"/>
      <c r="M93" s="8"/>
      <c r="P93" s="2" t="s">
        <v>94</v>
      </c>
      <c r="Q93" s="2" t="s">
        <v>492</v>
      </c>
      <c r="R93" s="31">
        <v>45945.0</v>
      </c>
      <c r="S93" s="2" t="s">
        <v>438</v>
      </c>
      <c r="T93" s="8">
        <f>22*24</f>
        <v>528</v>
      </c>
      <c r="U93" s="26">
        <f t="shared" si="1"/>
        <v>116.0027701</v>
      </c>
      <c r="V93" s="2" t="s">
        <v>469</v>
      </c>
    </row>
    <row r="94">
      <c r="C94" s="8"/>
      <c r="G94" s="2"/>
      <c r="K94" s="18"/>
      <c r="L94" s="8"/>
      <c r="M94" s="8"/>
      <c r="P94" s="2" t="s">
        <v>94</v>
      </c>
      <c r="Q94" s="2" t="s">
        <v>492</v>
      </c>
      <c r="R94" s="31">
        <v>45945.0</v>
      </c>
      <c r="S94" s="2" t="s">
        <v>442</v>
      </c>
      <c r="T94" s="2">
        <v>530.0</v>
      </c>
      <c r="U94" s="26">
        <f t="shared" si="1"/>
        <v>5.565</v>
      </c>
      <c r="V94" s="2" t="s">
        <v>466</v>
      </c>
    </row>
    <row r="95">
      <c r="C95" s="8"/>
      <c r="G95" s="2"/>
      <c r="K95" s="18"/>
      <c r="L95" s="8"/>
      <c r="M95" s="8"/>
      <c r="P95" s="2" t="s">
        <v>95</v>
      </c>
      <c r="Q95" s="2" t="s">
        <v>493</v>
      </c>
      <c r="R95" s="31">
        <v>45945.0</v>
      </c>
      <c r="S95" s="2" t="s">
        <v>445</v>
      </c>
      <c r="T95" s="2">
        <v>10.0</v>
      </c>
      <c r="U95" s="26">
        <f t="shared" si="1"/>
        <v>175.45</v>
      </c>
      <c r="V95" s="2" t="s">
        <v>459</v>
      </c>
    </row>
    <row r="96">
      <c r="C96" s="8"/>
      <c r="G96" s="2"/>
      <c r="K96" s="18"/>
      <c r="L96" s="8"/>
      <c r="M96" s="8"/>
      <c r="P96" s="2" t="s">
        <v>95</v>
      </c>
      <c r="Q96" s="2" t="s">
        <v>493</v>
      </c>
      <c r="R96" s="31">
        <v>45945.0</v>
      </c>
      <c r="S96" s="2" t="s">
        <v>438</v>
      </c>
      <c r="T96" s="2">
        <v>241.0</v>
      </c>
      <c r="U96" s="26">
        <f t="shared" si="1"/>
        <v>52.94823407</v>
      </c>
      <c r="V96" s="2" t="s">
        <v>469</v>
      </c>
    </row>
    <row r="97">
      <c r="C97" s="8"/>
      <c r="G97" s="2"/>
      <c r="K97" s="18"/>
      <c r="L97" s="8"/>
      <c r="M97" s="8"/>
      <c r="P97" s="2" t="s">
        <v>95</v>
      </c>
      <c r="Q97" s="2" t="s">
        <v>493</v>
      </c>
      <c r="R97" s="31">
        <v>45945.0</v>
      </c>
      <c r="S97" s="2" t="s">
        <v>442</v>
      </c>
      <c r="T97" s="2">
        <v>245.0</v>
      </c>
      <c r="U97" s="26">
        <f t="shared" si="1"/>
        <v>2.5725</v>
      </c>
      <c r="V97" s="2" t="s">
        <v>466</v>
      </c>
    </row>
    <row r="98">
      <c r="C98" s="8"/>
      <c r="G98" s="2"/>
      <c r="K98" s="18"/>
      <c r="L98" s="8"/>
      <c r="M98" s="8"/>
      <c r="P98" s="2" t="s">
        <v>96</v>
      </c>
      <c r="Q98" s="2" t="s">
        <v>494</v>
      </c>
      <c r="R98" s="31">
        <v>45973.0</v>
      </c>
      <c r="S98" s="2" t="s">
        <v>438</v>
      </c>
      <c r="T98" s="8">
        <f>30*24+4</f>
        <v>724</v>
      </c>
      <c r="U98" s="26">
        <f t="shared" si="1"/>
        <v>159.0644044</v>
      </c>
      <c r="V98" s="2" t="s">
        <v>469</v>
      </c>
    </row>
    <row r="99">
      <c r="C99" s="8"/>
      <c r="G99" s="2"/>
      <c r="K99" s="18"/>
      <c r="L99" s="8"/>
      <c r="M99" s="8"/>
      <c r="P99" s="2" t="s">
        <v>96</v>
      </c>
      <c r="Q99" s="2" t="s">
        <v>494</v>
      </c>
      <c r="R99" s="31">
        <v>45973.0</v>
      </c>
      <c r="S99" s="2" t="s">
        <v>442</v>
      </c>
      <c r="T99" s="2">
        <v>728.0</v>
      </c>
      <c r="U99" s="26">
        <f t="shared" si="1"/>
        <v>7.644</v>
      </c>
      <c r="V99" s="2" t="s">
        <v>466</v>
      </c>
    </row>
    <row r="100">
      <c r="C100" s="8"/>
      <c r="G100" s="2"/>
      <c r="K100" s="18"/>
      <c r="L100" s="8"/>
      <c r="M100" s="8"/>
      <c r="P100" s="2" t="s">
        <v>96</v>
      </c>
      <c r="Q100" s="2" t="s">
        <v>494</v>
      </c>
      <c r="R100" s="31">
        <v>45973.0</v>
      </c>
      <c r="S100" s="2" t="s">
        <v>445</v>
      </c>
      <c r="T100" s="2">
        <v>9.0</v>
      </c>
      <c r="U100" s="26">
        <f t="shared" si="1"/>
        <v>135</v>
      </c>
      <c r="V100" s="2">
        <v>5.227017945E9</v>
      </c>
    </row>
    <row r="101">
      <c r="C101" s="8"/>
      <c r="G101" s="2"/>
      <c r="K101" s="18"/>
      <c r="L101" s="8"/>
      <c r="M101" s="8"/>
      <c r="P101" s="2" t="s">
        <v>161</v>
      </c>
      <c r="Q101" s="2" t="s">
        <v>161</v>
      </c>
      <c r="R101" s="31">
        <v>45973.0</v>
      </c>
      <c r="S101" s="2" t="s">
        <v>445</v>
      </c>
      <c r="T101" s="2">
        <v>1.0</v>
      </c>
      <c r="U101" s="26">
        <f t="shared" si="1"/>
        <v>15</v>
      </c>
      <c r="V101" s="2">
        <v>5.227017945E9</v>
      </c>
      <c r="W101" s="2" t="s">
        <v>495</v>
      </c>
    </row>
    <row r="102">
      <c r="C102" s="8"/>
      <c r="G102" s="2"/>
      <c r="K102" s="18"/>
      <c r="L102" s="8"/>
      <c r="M102" s="8"/>
      <c r="P102" s="2" t="s">
        <v>97</v>
      </c>
      <c r="Q102" s="2" t="s">
        <v>496</v>
      </c>
      <c r="R102" s="31">
        <v>46009.0</v>
      </c>
      <c r="S102" s="2" t="s">
        <v>445</v>
      </c>
      <c r="T102" s="2">
        <v>3.0</v>
      </c>
      <c r="U102" s="26">
        <f t="shared" si="1"/>
        <v>45</v>
      </c>
      <c r="V102" s="2">
        <v>5.227017945E9</v>
      </c>
    </row>
    <row r="103">
      <c r="C103" s="8"/>
      <c r="G103" s="2"/>
      <c r="K103" s="18"/>
      <c r="L103" s="8"/>
      <c r="M103" s="8"/>
      <c r="P103" s="2" t="s">
        <v>97</v>
      </c>
      <c r="Q103" s="2" t="s">
        <v>496</v>
      </c>
      <c r="R103" s="31">
        <v>46009.0</v>
      </c>
      <c r="S103" s="2" t="s">
        <v>438</v>
      </c>
      <c r="T103" s="2">
        <v>536.0</v>
      </c>
      <c r="U103" s="26">
        <f t="shared" si="1"/>
        <v>117.7603878</v>
      </c>
      <c r="V103" s="2" t="s">
        <v>469</v>
      </c>
    </row>
    <row r="104">
      <c r="C104" s="8"/>
      <c r="G104" s="2"/>
      <c r="K104" s="18"/>
      <c r="L104" s="8"/>
      <c r="M104" s="8"/>
      <c r="P104" s="2" t="s">
        <v>97</v>
      </c>
      <c r="Q104" s="2" t="s">
        <v>496</v>
      </c>
      <c r="R104" s="31">
        <v>46009.0</v>
      </c>
      <c r="S104" s="2" t="s">
        <v>442</v>
      </c>
      <c r="T104" s="2">
        <v>540.0</v>
      </c>
      <c r="U104" s="26">
        <f t="shared" si="1"/>
        <v>5.67</v>
      </c>
      <c r="V104" s="2" t="s">
        <v>466</v>
      </c>
    </row>
    <row r="105">
      <c r="C105" s="8"/>
      <c r="G105" s="2"/>
      <c r="K105" s="18"/>
      <c r="L105" s="8"/>
      <c r="M105" s="8"/>
      <c r="P105" s="2" t="s">
        <v>97</v>
      </c>
      <c r="Q105" s="2" t="s">
        <v>496</v>
      </c>
      <c r="R105" s="31">
        <v>46009.0</v>
      </c>
      <c r="S105" s="2" t="s">
        <v>461</v>
      </c>
      <c r="T105" s="2">
        <v>1.0</v>
      </c>
      <c r="U105" s="26">
        <f t="shared" si="1"/>
        <v>10</v>
      </c>
      <c r="V105" s="2" t="s">
        <v>462</v>
      </c>
    </row>
    <row r="106">
      <c r="C106" s="8"/>
      <c r="G106" s="2"/>
      <c r="K106" s="18"/>
      <c r="L106" s="8"/>
      <c r="M106" s="8"/>
      <c r="P106" s="2" t="s">
        <v>98</v>
      </c>
      <c r="Q106" s="2" t="s">
        <v>494</v>
      </c>
      <c r="R106" s="31">
        <v>46071.0</v>
      </c>
      <c r="S106" s="2" t="s">
        <v>445</v>
      </c>
      <c r="T106" s="2">
        <v>9.0</v>
      </c>
      <c r="U106" s="26">
        <f t="shared" si="1"/>
        <v>135</v>
      </c>
      <c r="V106" s="2">
        <v>5.227017945E9</v>
      </c>
    </row>
    <row r="107">
      <c r="C107" s="8"/>
      <c r="G107" s="2"/>
      <c r="K107" s="18"/>
      <c r="L107" s="8"/>
      <c r="M107" s="8"/>
      <c r="P107" s="2" t="s">
        <v>98</v>
      </c>
      <c r="Q107" s="2" t="s">
        <v>494</v>
      </c>
      <c r="R107" s="31">
        <v>46071.0</v>
      </c>
      <c r="S107" s="2" t="s">
        <v>438</v>
      </c>
      <c r="T107" s="2">
        <v>326.0</v>
      </c>
      <c r="U107" s="26">
        <f t="shared" si="1"/>
        <v>71.62292244</v>
      </c>
      <c r="V107" s="2" t="s">
        <v>469</v>
      </c>
    </row>
    <row r="108">
      <c r="C108" s="8"/>
      <c r="G108" s="2"/>
      <c r="K108" s="18"/>
      <c r="L108" s="8"/>
      <c r="M108" s="8"/>
      <c r="P108" s="2" t="s">
        <v>98</v>
      </c>
      <c r="Q108" s="2" t="s">
        <v>494</v>
      </c>
      <c r="R108" s="31">
        <v>46071.0</v>
      </c>
      <c r="S108" s="2" t="s">
        <v>442</v>
      </c>
      <c r="T108" s="2">
        <v>327.0</v>
      </c>
      <c r="U108" s="26">
        <f t="shared" si="1"/>
        <v>3.4335</v>
      </c>
      <c r="V108" s="2" t="s">
        <v>466</v>
      </c>
    </row>
    <row r="109">
      <c r="C109" s="8"/>
      <c r="G109" s="2"/>
      <c r="K109" s="18"/>
      <c r="L109" s="8"/>
      <c r="M109" s="8"/>
      <c r="S109" s="8"/>
      <c r="U109" s="26" t="str">
        <f t="shared" si="1"/>
        <v/>
      </c>
    </row>
    <row r="110">
      <c r="C110" s="8"/>
      <c r="G110" s="2"/>
      <c r="K110" s="18"/>
      <c r="L110" s="8"/>
      <c r="M110" s="8"/>
      <c r="S110" s="8"/>
      <c r="U110" s="26" t="str">
        <f t="shared" si="1"/>
        <v/>
      </c>
    </row>
    <row r="111">
      <c r="C111" s="8"/>
      <c r="G111" s="2"/>
      <c r="K111" s="18"/>
      <c r="L111" s="8"/>
      <c r="M111" s="8"/>
      <c r="S111" s="8"/>
      <c r="U111" s="26" t="str">
        <f t="shared" si="1"/>
        <v/>
      </c>
    </row>
    <row r="112">
      <c r="C112" s="8"/>
      <c r="G112" s="2"/>
      <c r="K112" s="18"/>
      <c r="L112" s="8"/>
      <c r="M112" s="8"/>
      <c r="S112" s="8"/>
      <c r="U112" s="26" t="str">
        <f t="shared" si="1"/>
        <v/>
      </c>
    </row>
    <row r="113">
      <c r="C113" s="8"/>
      <c r="G113" s="2"/>
      <c r="K113" s="18"/>
      <c r="L113" s="8"/>
      <c r="M113" s="8"/>
      <c r="S113" s="8"/>
      <c r="U113" s="26" t="str">
        <f t="shared" si="1"/>
        <v/>
      </c>
    </row>
    <row r="114">
      <c r="C114" s="8"/>
      <c r="G114" s="2"/>
      <c r="K114" s="18"/>
      <c r="L114" s="8"/>
      <c r="M114" s="8"/>
      <c r="S114" s="8"/>
      <c r="U114" s="26" t="str">
        <f t="shared" si="1"/>
        <v/>
      </c>
    </row>
    <row r="115">
      <c r="C115" s="8"/>
      <c r="G115" s="2"/>
      <c r="K115" s="18"/>
      <c r="L115" s="8"/>
      <c r="M115" s="8"/>
      <c r="S115" s="8"/>
      <c r="U115" s="26" t="str">
        <f t="shared" si="1"/>
        <v/>
      </c>
    </row>
    <row r="116">
      <c r="C116" s="8"/>
      <c r="G116" s="2"/>
      <c r="K116" s="18"/>
      <c r="L116" s="8"/>
      <c r="M116" s="8"/>
      <c r="S116" s="8"/>
      <c r="U116" s="26" t="str">
        <f t="shared" si="1"/>
        <v/>
      </c>
    </row>
    <row r="117">
      <c r="C117" s="8"/>
      <c r="G117" s="2"/>
      <c r="K117" s="18"/>
      <c r="L117" s="8"/>
      <c r="M117" s="8"/>
      <c r="S117" s="8"/>
      <c r="U117" s="26" t="str">
        <f t="shared" si="1"/>
        <v/>
      </c>
    </row>
    <row r="118">
      <c r="C118" s="8"/>
      <c r="G118" s="2"/>
      <c r="K118" s="18"/>
      <c r="L118" s="8"/>
      <c r="M118" s="8"/>
      <c r="S118" s="8"/>
      <c r="U118" s="26" t="str">
        <f t="shared" si="1"/>
        <v/>
      </c>
    </row>
    <row r="119">
      <c r="C119" s="8"/>
      <c r="G119" s="2"/>
      <c r="K119" s="18"/>
      <c r="L119" s="8"/>
      <c r="M119" s="8"/>
      <c r="S119" s="8"/>
      <c r="U119" s="26" t="str">
        <f t="shared" si="1"/>
        <v/>
      </c>
    </row>
    <row r="120">
      <c r="C120" s="8"/>
      <c r="G120" s="2"/>
      <c r="K120" s="18"/>
      <c r="L120" s="8"/>
      <c r="M120" s="8"/>
      <c r="S120" s="8"/>
      <c r="U120" s="26" t="str">
        <f t="shared" si="1"/>
        <v/>
      </c>
    </row>
    <row r="121">
      <c r="C121" s="8"/>
      <c r="G121" s="2"/>
      <c r="K121" s="18"/>
      <c r="L121" s="8"/>
      <c r="M121" s="8"/>
      <c r="S121" s="8"/>
      <c r="U121" s="26" t="str">
        <f t="shared" si="1"/>
        <v/>
      </c>
    </row>
    <row r="122">
      <c r="C122" s="8"/>
      <c r="G122" s="2"/>
      <c r="K122" s="18"/>
      <c r="L122" s="8"/>
      <c r="M122" s="8"/>
      <c r="S122" s="8"/>
      <c r="U122" s="26" t="str">
        <f t="shared" si="1"/>
        <v/>
      </c>
    </row>
    <row r="123">
      <c r="C123" s="8"/>
      <c r="G123" s="2"/>
      <c r="K123" s="18"/>
      <c r="L123" s="8"/>
      <c r="M123" s="8"/>
      <c r="S123" s="8"/>
      <c r="U123" s="26" t="str">
        <f t="shared" si="1"/>
        <v/>
      </c>
    </row>
    <row r="124">
      <c r="C124" s="8"/>
      <c r="G124" s="2"/>
      <c r="K124" s="18"/>
      <c r="L124" s="8"/>
      <c r="M124" s="8"/>
      <c r="S124" s="8"/>
      <c r="U124" s="26" t="str">
        <f t="shared" si="1"/>
        <v/>
      </c>
    </row>
    <row r="125">
      <c r="C125" s="8"/>
      <c r="G125" s="8"/>
      <c r="K125" s="18"/>
      <c r="L125" s="8"/>
      <c r="M125" s="8"/>
      <c r="S125" s="8"/>
      <c r="U125" s="26" t="str">
        <f t="shared" si="1"/>
        <v/>
      </c>
    </row>
    <row r="126">
      <c r="C126" s="8"/>
      <c r="G126" s="8"/>
      <c r="K126" s="18"/>
      <c r="L126" s="8"/>
      <c r="M126" s="8"/>
      <c r="S126" s="8"/>
      <c r="U126" s="26" t="str">
        <f t="shared" si="1"/>
        <v/>
      </c>
    </row>
    <row r="127">
      <c r="C127" s="8"/>
      <c r="G127" s="8"/>
      <c r="K127" s="18"/>
      <c r="L127" s="8"/>
      <c r="M127" s="8"/>
      <c r="S127" s="8"/>
      <c r="U127" s="26" t="str">
        <f t="shared" si="1"/>
        <v/>
      </c>
    </row>
    <row r="128">
      <c r="C128" s="8"/>
      <c r="G128" s="8"/>
      <c r="K128" s="18"/>
      <c r="L128" s="8"/>
      <c r="M128" s="8"/>
      <c r="S128" s="8"/>
      <c r="U128" s="26" t="str">
        <f t="shared" si="1"/>
        <v/>
      </c>
    </row>
    <row r="129">
      <c r="C129" s="8"/>
      <c r="G129" s="8"/>
      <c r="K129" s="18"/>
      <c r="L129" s="8"/>
      <c r="M129" s="8"/>
      <c r="S129" s="8"/>
      <c r="U129" s="26" t="str">
        <f t="shared" si="1"/>
        <v/>
      </c>
    </row>
    <row r="130">
      <c r="C130" s="8"/>
      <c r="G130" s="8"/>
      <c r="K130" s="18"/>
      <c r="L130" s="8"/>
      <c r="M130" s="8"/>
      <c r="S130" s="8"/>
      <c r="U130" s="26" t="str">
        <f t="shared" si="1"/>
        <v/>
      </c>
    </row>
    <row r="131">
      <c r="C131" s="8"/>
      <c r="G131" s="8"/>
      <c r="K131" s="18"/>
      <c r="L131" s="8"/>
      <c r="M131" s="8"/>
      <c r="S131" s="8"/>
      <c r="U131" s="26" t="str">
        <f t="shared" si="1"/>
        <v/>
      </c>
    </row>
    <row r="132">
      <c r="C132" s="8"/>
      <c r="G132" s="8"/>
      <c r="K132" s="18"/>
      <c r="L132" s="8"/>
      <c r="M132" s="8"/>
      <c r="S132" s="8"/>
      <c r="U132" s="26" t="str">
        <f t="shared" si="1"/>
        <v/>
      </c>
    </row>
    <row r="133">
      <c r="C133" s="8"/>
      <c r="G133" s="8"/>
      <c r="K133" s="18"/>
      <c r="L133" s="8"/>
      <c r="M133" s="8"/>
      <c r="S133" s="8"/>
      <c r="U133" s="26" t="str">
        <f t="shared" si="1"/>
        <v/>
      </c>
    </row>
    <row r="134">
      <c r="C134" s="8"/>
      <c r="G134" s="8"/>
      <c r="K134" s="18"/>
      <c r="L134" s="8"/>
      <c r="M134" s="8"/>
      <c r="S134" s="8"/>
      <c r="U134" s="26" t="str">
        <f t="shared" si="1"/>
        <v/>
      </c>
    </row>
    <row r="135">
      <c r="C135" s="8"/>
      <c r="G135" s="8"/>
      <c r="K135" s="18"/>
      <c r="L135" s="8"/>
      <c r="M135" s="8"/>
      <c r="S135" s="8"/>
      <c r="U135" s="26" t="str">
        <f t="shared" si="1"/>
        <v/>
      </c>
    </row>
    <row r="136">
      <c r="C136" s="8"/>
      <c r="G136" s="8"/>
      <c r="K136" s="18"/>
      <c r="L136" s="8"/>
      <c r="M136" s="8"/>
      <c r="S136" s="8"/>
      <c r="U136" s="26" t="str">
        <f t="shared" si="1"/>
        <v/>
      </c>
    </row>
    <row r="137">
      <c r="C137" s="8"/>
      <c r="G137" s="8"/>
      <c r="K137" s="18"/>
      <c r="L137" s="8"/>
      <c r="M137" s="8"/>
      <c r="S137" s="8"/>
      <c r="U137" s="26" t="str">
        <f t="shared" si="1"/>
        <v/>
      </c>
    </row>
    <row r="138">
      <c r="C138" s="8"/>
      <c r="G138" s="8"/>
      <c r="K138" s="18"/>
      <c r="L138" s="8"/>
      <c r="M138" s="8"/>
      <c r="S138" s="8"/>
      <c r="U138" s="26" t="str">
        <f t="shared" si="1"/>
        <v/>
      </c>
    </row>
    <row r="139">
      <c r="C139" s="8"/>
      <c r="G139" s="8"/>
      <c r="K139" s="18"/>
      <c r="L139" s="8"/>
      <c r="M139" s="8"/>
      <c r="S139" s="8"/>
      <c r="U139" s="26" t="str">
        <f t="shared" si="1"/>
        <v/>
      </c>
    </row>
    <row r="140">
      <c r="C140" s="8"/>
      <c r="G140" s="8"/>
      <c r="K140" s="18"/>
      <c r="L140" s="8"/>
      <c r="M140" s="8"/>
      <c r="S140" s="8"/>
      <c r="U140" s="26" t="str">
        <f t="shared" si="1"/>
        <v/>
      </c>
    </row>
    <row r="141">
      <c r="C141" s="8"/>
      <c r="G141" s="8"/>
      <c r="K141" s="18"/>
      <c r="L141" s="8"/>
      <c r="M141" s="8"/>
      <c r="S141" s="8"/>
      <c r="U141" s="26" t="str">
        <f t="shared" si="1"/>
        <v/>
      </c>
    </row>
    <row r="142">
      <c r="C142" s="8"/>
      <c r="G142" s="8"/>
      <c r="K142" s="18"/>
      <c r="L142" s="8"/>
      <c r="M142" s="8"/>
      <c r="S142" s="8"/>
      <c r="U142" s="26" t="str">
        <f t="shared" si="1"/>
        <v/>
      </c>
    </row>
    <row r="143">
      <c r="C143" s="8"/>
      <c r="G143" s="8"/>
      <c r="K143" s="18"/>
      <c r="L143" s="8"/>
      <c r="M143" s="8"/>
      <c r="S143" s="8"/>
      <c r="U143" s="26" t="str">
        <f t="shared" si="1"/>
        <v/>
      </c>
    </row>
    <row r="144">
      <c r="C144" s="8"/>
      <c r="G144" s="8"/>
      <c r="K144" s="18"/>
      <c r="L144" s="8"/>
      <c r="M144" s="8"/>
      <c r="S144" s="8"/>
      <c r="U144" s="26" t="str">
        <f t="shared" si="1"/>
        <v/>
      </c>
    </row>
    <row r="145">
      <c r="C145" s="8"/>
      <c r="G145" s="8"/>
      <c r="K145" s="18"/>
      <c r="L145" s="8"/>
      <c r="M145" s="8"/>
      <c r="S145" s="8"/>
      <c r="U145" s="26" t="str">
        <f t="shared" si="1"/>
        <v/>
      </c>
    </row>
    <row r="146">
      <c r="C146" s="8"/>
      <c r="G146" s="8"/>
      <c r="K146" s="18"/>
      <c r="L146" s="8"/>
      <c r="M146" s="8"/>
      <c r="S146" s="8"/>
      <c r="U146" s="26" t="str">
        <f t="shared" si="1"/>
        <v/>
      </c>
    </row>
    <row r="147">
      <c r="C147" s="8"/>
      <c r="G147" s="8"/>
      <c r="K147" s="18"/>
      <c r="L147" s="8"/>
      <c r="M147" s="8"/>
      <c r="S147" s="8"/>
      <c r="U147" s="26" t="str">
        <f t="shared" si="1"/>
        <v/>
      </c>
    </row>
    <row r="148">
      <c r="C148" s="8"/>
      <c r="G148" s="8"/>
      <c r="K148" s="18"/>
      <c r="L148" s="8"/>
      <c r="M148" s="8"/>
      <c r="S148" s="8"/>
      <c r="U148" s="26" t="str">
        <f t="shared" si="1"/>
        <v/>
      </c>
    </row>
    <row r="149">
      <c r="C149" s="8"/>
      <c r="G149" s="8"/>
      <c r="K149" s="18"/>
      <c r="L149" s="8"/>
      <c r="M149" s="8"/>
      <c r="S149" s="8"/>
      <c r="U149" s="26" t="str">
        <f t="shared" si="1"/>
        <v/>
      </c>
    </row>
    <row r="150">
      <c r="C150" s="8"/>
      <c r="G150" s="8"/>
      <c r="K150" s="18"/>
      <c r="L150" s="8"/>
      <c r="M150" s="8"/>
      <c r="S150" s="8"/>
      <c r="U150" s="26" t="str">
        <f t="shared" si="1"/>
        <v/>
      </c>
    </row>
    <row r="151">
      <c r="C151" s="8"/>
      <c r="G151" s="8"/>
      <c r="K151" s="18"/>
      <c r="L151" s="8"/>
      <c r="M151" s="8"/>
      <c r="S151" s="8"/>
      <c r="U151" s="26" t="str">
        <f t="shared" si="1"/>
        <v/>
      </c>
    </row>
    <row r="152">
      <c r="C152" s="8"/>
      <c r="G152" s="8"/>
      <c r="K152" s="18"/>
      <c r="L152" s="8"/>
      <c r="M152" s="8"/>
      <c r="S152" s="8"/>
      <c r="U152" s="26" t="str">
        <f t="shared" si="1"/>
        <v/>
      </c>
    </row>
    <row r="153">
      <c r="C153" s="8"/>
      <c r="G153" s="8"/>
      <c r="K153" s="18"/>
      <c r="L153" s="8"/>
      <c r="M153" s="8"/>
      <c r="S153" s="8"/>
      <c r="U153" s="26" t="str">
        <f t="shared" si="1"/>
        <v/>
      </c>
    </row>
    <row r="154">
      <c r="C154" s="8"/>
      <c r="G154" s="8"/>
      <c r="K154" s="18"/>
      <c r="L154" s="8"/>
      <c r="M154" s="8"/>
      <c r="S154" s="8"/>
      <c r="U154" s="26" t="str">
        <f t="shared" si="1"/>
        <v/>
      </c>
    </row>
    <row r="155">
      <c r="C155" s="8"/>
      <c r="G155" s="8"/>
      <c r="K155" s="18"/>
      <c r="L155" s="8"/>
      <c r="M155" s="8"/>
      <c r="S155" s="8"/>
      <c r="U155" s="26" t="str">
        <f t="shared" si="1"/>
        <v/>
      </c>
    </row>
    <row r="156">
      <c r="C156" s="8"/>
      <c r="G156" s="8"/>
      <c r="K156" s="18"/>
      <c r="L156" s="8"/>
      <c r="M156" s="8"/>
      <c r="S156" s="8"/>
      <c r="U156" s="26" t="str">
        <f t="shared" si="1"/>
        <v/>
      </c>
    </row>
    <row r="157">
      <c r="C157" s="8"/>
      <c r="G157" s="8"/>
      <c r="K157" s="18"/>
      <c r="L157" s="8"/>
      <c r="M157" s="8"/>
      <c r="S157" s="8"/>
      <c r="U157" s="26" t="str">
        <f t="shared" si="1"/>
        <v/>
      </c>
    </row>
    <row r="158">
      <c r="C158" s="8"/>
      <c r="G158" s="8"/>
      <c r="K158" s="18"/>
      <c r="L158" s="8"/>
      <c r="M158" s="8"/>
      <c r="S158" s="8"/>
      <c r="U158" s="26" t="str">
        <f t="shared" si="1"/>
        <v/>
      </c>
    </row>
    <row r="159">
      <c r="C159" s="8"/>
      <c r="G159" s="8"/>
      <c r="K159" s="18"/>
      <c r="L159" s="8"/>
      <c r="M159" s="8"/>
      <c r="S159" s="8"/>
      <c r="U159" s="26" t="str">
        <f t="shared" si="1"/>
        <v/>
      </c>
    </row>
    <row r="160">
      <c r="C160" s="8"/>
      <c r="G160" s="8"/>
      <c r="K160" s="18"/>
      <c r="L160" s="8"/>
      <c r="M160" s="8"/>
      <c r="S160" s="8"/>
      <c r="U160" s="26" t="str">
        <f t="shared" si="1"/>
        <v/>
      </c>
    </row>
    <row r="161">
      <c r="C161" s="8"/>
      <c r="G161" s="8"/>
      <c r="K161" s="18"/>
      <c r="L161" s="8"/>
      <c r="M161" s="8"/>
      <c r="S161" s="8"/>
      <c r="U161" s="26" t="str">
        <f t="shared" si="1"/>
        <v/>
      </c>
    </row>
    <row r="162">
      <c r="C162" s="8"/>
      <c r="G162" s="8"/>
      <c r="K162" s="18"/>
      <c r="L162" s="8"/>
      <c r="M162" s="8"/>
      <c r="S162" s="8"/>
      <c r="U162" s="26" t="str">
        <f t="shared" si="1"/>
        <v/>
      </c>
    </row>
    <row r="163">
      <c r="C163" s="8"/>
      <c r="G163" s="8"/>
      <c r="K163" s="18"/>
      <c r="L163" s="8"/>
      <c r="M163" s="8"/>
      <c r="S163" s="8"/>
      <c r="U163" s="26" t="str">
        <f t="shared" si="1"/>
        <v/>
      </c>
    </row>
    <row r="164">
      <c r="C164" s="8"/>
      <c r="G164" s="8"/>
      <c r="K164" s="18"/>
      <c r="L164" s="8"/>
      <c r="M164" s="8"/>
      <c r="S164" s="8"/>
      <c r="U164" s="26" t="str">
        <f t="shared" si="1"/>
        <v/>
      </c>
    </row>
    <row r="165">
      <c r="C165" s="8"/>
      <c r="G165" s="8"/>
      <c r="K165" s="18"/>
      <c r="L165" s="8"/>
      <c r="M165" s="8"/>
      <c r="S165" s="8"/>
      <c r="U165" s="26" t="str">
        <f t="shared" si="1"/>
        <v/>
      </c>
    </row>
    <row r="166">
      <c r="C166" s="8"/>
      <c r="G166" s="8"/>
      <c r="K166" s="18"/>
      <c r="L166" s="8"/>
      <c r="M166" s="8"/>
      <c r="S166" s="8"/>
      <c r="U166" s="26" t="str">
        <f t="shared" si="1"/>
        <v/>
      </c>
    </row>
    <row r="167">
      <c r="C167" s="8"/>
      <c r="G167" s="8"/>
      <c r="K167" s="18"/>
      <c r="L167" s="8"/>
      <c r="M167" s="8"/>
      <c r="S167" s="8"/>
      <c r="U167" s="26" t="str">
        <f t="shared" si="1"/>
        <v/>
      </c>
    </row>
    <row r="168">
      <c r="C168" s="8"/>
      <c r="G168" s="8"/>
      <c r="K168" s="18"/>
      <c r="L168" s="8"/>
      <c r="M168" s="8"/>
      <c r="S168" s="8"/>
      <c r="U168" s="26" t="str">
        <f t="shared" si="1"/>
        <v/>
      </c>
    </row>
    <row r="169">
      <c r="C169" s="8"/>
      <c r="G169" s="8"/>
      <c r="K169" s="18"/>
      <c r="L169" s="8"/>
      <c r="M169" s="8"/>
      <c r="S169" s="8"/>
      <c r="U169" s="26" t="str">
        <f t="shared" si="1"/>
        <v/>
      </c>
    </row>
    <row r="170">
      <c r="C170" s="8"/>
      <c r="G170" s="8"/>
      <c r="K170" s="18"/>
      <c r="L170" s="8"/>
      <c r="M170" s="8"/>
      <c r="S170" s="8"/>
      <c r="U170" s="26" t="str">
        <f t="shared" si="1"/>
        <v/>
      </c>
    </row>
    <row r="171">
      <c r="C171" s="8"/>
      <c r="G171" s="8"/>
      <c r="K171" s="18"/>
      <c r="L171" s="8"/>
      <c r="M171" s="8"/>
      <c r="S171" s="8"/>
      <c r="U171" s="26" t="str">
        <f t="shared" si="1"/>
        <v/>
      </c>
    </row>
    <row r="172">
      <c r="C172" s="8"/>
      <c r="G172" s="8"/>
      <c r="K172" s="18"/>
      <c r="L172" s="8"/>
      <c r="M172" s="8"/>
      <c r="S172" s="8"/>
      <c r="U172" s="26" t="str">
        <f t="shared" si="1"/>
        <v/>
      </c>
    </row>
    <row r="173">
      <c r="C173" s="8"/>
      <c r="G173" s="8"/>
      <c r="K173" s="18"/>
      <c r="L173" s="8"/>
      <c r="M173" s="8"/>
      <c r="S173" s="8"/>
      <c r="U173" s="26" t="str">
        <f t="shared" si="1"/>
        <v/>
      </c>
    </row>
    <row r="174">
      <c r="C174" s="8"/>
      <c r="G174" s="8"/>
      <c r="K174" s="18"/>
      <c r="L174" s="8"/>
      <c r="M174" s="8"/>
      <c r="S174" s="8"/>
      <c r="U174" s="26" t="str">
        <f t="shared" si="1"/>
        <v/>
      </c>
    </row>
    <row r="175">
      <c r="C175" s="8"/>
      <c r="G175" s="8"/>
      <c r="K175" s="18"/>
      <c r="L175" s="8"/>
      <c r="M175" s="8"/>
      <c r="S175" s="8"/>
      <c r="U175" s="26" t="str">
        <f t="shared" si="1"/>
        <v/>
      </c>
    </row>
    <row r="176">
      <c r="C176" s="8"/>
      <c r="G176" s="8"/>
      <c r="K176" s="18"/>
      <c r="L176" s="8"/>
      <c r="M176" s="8"/>
      <c r="S176" s="8"/>
      <c r="U176" s="26" t="str">
        <f t="shared" si="1"/>
        <v/>
      </c>
    </row>
    <row r="177">
      <c r="C177" s="8"/>
      <c r="G177" s="8"/>
      <c r="K177" s="18"/>
      <c r="L177" s="8"/>
      <c r="M177" s="8"/>
      <c r="S177" s="8"/>
      <c r="U177" s="26" t="str">
        <f t="shared" si="1"/>
        <v/>
      </c>
    </row>
    <row r="178">
      <c r="C178" s="8"/>
      <c r="G178" s="8"/>
      <c r="K178" s="18"/>
      <c r="L178" s="8"/>
      <c r="M178" s="8"/>
      <c r="S178" s="8"/>
      <c r="U178" s="26" t="str">
        <f t="shared" si="1"/>
        <v/>
      </c>
    </row>
    <row r="179">
      <c r="C179" s="8"/>
      <c r="G179" s="8"/>
      <c r="K179" s="18"/>
      <c r="L179" s="8"/>
      <c r="M179" s="8"/>
      <c r="S179" s="8"/>
      <c r="U179" s="26" t="str">
        <f t="shared" si="1"/>
        <v/>
      </c>
    </row>
    <row r="180">
      <c r="C180" s="8"/>
      <c r="G180" s="8"/>
      <c r="K180" s="18"/>
      <c r="L180" s="8"/>
      <c r="M180" s="8"/>
      <c r="S180" s="8"/>
      <c r="U180" s="26" t="str">
        <f t="shared" si="1"/>
        <v/>
      </c>
    </row>
    <row r="181">
      <c r="C181" s="8"/>
      <c r="G181" s="8"/>
      <c r="K181" s="18"/>
      <c r="L181" s="8"/>
      <c r="M181" s="8"/>
      <c r="S181" s="8"/>
      <c r="U181" s="26" t="str">
        <f t="shared" si="1"/>
        <v/>
      </c>
    </row>
    <row r="182">
      <c r="C182" s="8"/>
      <c r="G182" s="8"/>
      <c r="K182" s="18"/>
      <c r="L182" s="8"/>
      <c r="M182" s="8"/>
      <c r="S182" s="8"/>
      <c r="U182" s="26" t="str">
        <f t="shared" si="1"/>
        <v/>
      </c>
    </row>
    <row r="183">
      <c r="C183" s="8"/>
      <c r="G183" s="8"/>
      <c r="K183" s="18"/>
      <c r="L183" s="8"/>
      <c r="M183" s="8"/>
      <c r="S183" s="8"/>
      <c r="U183" s="26" t="str">
        <f t="shared" si="1"/>
        <v/>
      </c>
    </row>
    <row r="184">
      <c r="C184" s="8"/>
      <c r="G184" s="8"/>
      <c r="K184" s="18"/>
      <c r="L184" s="8"/>
      <c r="M184" s="8"/>
      <c r="S184" s="8"/>
      <c r="U184" s="26" t="str">
        <f t="shared" si="1"/>
        <v/>
      </c>
    </row>
    <row r="185">
      <c r="C185" s="8"/>
      <c r="G185" s="8"/>
      <c r="K185" s="18"/>
      <c r="L185" s="8"/>
      <c r="M185" s="8"/>
      <c r="S185" s="8"/>
      <c r="U185" s="26" t="str">
        <f t="shared" si="1"/>
        <v/>
      </c>
    </row>
    <row r="186">
      <c r="C186" s="8"/>
      <c r="G186" s="8"/>
      <c r="K186" s="18"/>
      <c r="L186" s="8"/>
      <c r="M186" s="8"/>
      <c r="S186" s="8"/>
      <c r="U186" s="26" t="str">
        <f t="shared" si="1"/>
        <v/>
      </c>
    </row>
    <row r="187">
      <c r="C187" s="8"/>
      <c r="G187" s="8"/>
      <c r="K187" s="18"/>
      <c r="L187" s="8"/>
      <c r="M187" s="8"/>
      <c r="S187" s="8"/>
      <c r="U187" s="26" t="str">
        <f t="shared" si="1"/>
        <v/>
      </c>
    </row>
    <row r="188">
      <c r="C188" s="8"/>
      <c r="G188" s="8"/>
      <c r="K188" s="18"/>
      <c r="L188" s="8"/>
      <c r="M188" s="8"/>
      <c r="S188" s="8"/>
      <c r="U188" s="26" t="str">
        <f t="shared" si="1"/>
        <v/>
      </c>
    </row>
    <row r="189">
      <c r="C189" s="8"/>
      <c r="G189" s="8"/>
      <c r="K189" s="18"/>
      <c r="L189" s="8"/>
      <c r="M189" s="8"/>
      <c r="S189" s="8"/>
      <c r="U189" s="26" t="str">
        <f t="shared" si="1"/>
        <v/>
      </c>
    </row>
    <row r="190">
      <c r="C190" s="8"/>
      <c r="G190" s="8"/>
      <c r="K190" s="18"/>
      <c r="L190" s="8"/>
      <c r="M190" s="8"/>
      <c r="S190" s="8"/>
      <c r="U190" s="26" t="str">
        <f t="shared" si="1"/>
        <v/>
      </c>
    </row>
    <row r="191">
      <c r="C191" s="8"/>
      <c r="G191" s="8"/>
      <c r="K191" s="18"/>
      <c r="L191" s="8"/>
      <c r="M191" s="8"/>
      <c r="S191" s="8"/>
      <c r="U191" s="26" t="str">
        <f t="shared" si="1"/>
        <v/>
      </c>
    </row>
    <row r="192">
      <c r="C192" s="8"/>
      <c r="G192" s="8"/>
      <c r="K192" s="18"/>
      <c r="L192" s="8"/>
      <c r="M192" s="8"/>
      <c r="S192" s="8"/>
      <c r="U192" s="26" t="str">
        <f t="shared" si="1"/>
        <v/>
      </c>
    </row>
    <row r="193">
      <c r="C193" s="8"/>
      <c r="G193" s="8"/>
      <c r="K193" s="18"/>
      <c r="L193" s="8"/>
      <c r="M193" s="8"/>
      <c r="S193" s="8"/>
      <c r="U193" s="26" t="str">
        <f t="shared" si="1"/>
        <v/>
      </c>
    </row>
    <row r="194">
      <c r="C194" s="8"/>
      <c r="G194" s="8"/>
      <c r="K194" s="18"/>
      <c r="L194" s="8"/>
      <c r="M194" s="8"/>
      <c r="S194" s="8"/>
      <c r="U194" s="26" t="str">
        <f t="shared" si="1"/>
        <v/>
      </c>
    </row>
    <row r="195">
      <c r="C195" s="8"/>
      <c r="G195" s="8"/>
      <c r="K195" s="18"/>
      <c r="L195" s="8"/>
      <c r="M195" s="8"/>
      <c r="S195" s="8"/>
      <c r="U195" s="26" t="str">
        <f t="shared" si="1"/>
        <v/>
      </c>
    </row>
    <row r="196">
      <c r="C196" s="8"/>
      <c r="G196" s="8"/>
      <c r="K196" s="18"/>
      <c r="L196" s="8"/>
      <c r="M196" s="8"/>
      <c r="S196" s="8"/>
      <c r="U196" s="26" t="str">
        <f t="shared" si="1"/>
        <v/>
      </c>
    </row>
    <row r="197">
      <c r="C197" s="8"/>
      <c r="G197" s="8"/>
      <c r="K197" s="18"/>
      <c r="L197" s="8"/>
      <c r="M197" s="8"/>
      <c r="S197" s="8"/>
      <c r="U197" s="26" t="str">
        <f t="shared" si="1"/>
        <v/>
      </c>
    </row>
    <row r="198">
      <c r="C198" s="8"/>
      <c r="G198" s="8"/>
      <c r="K198" s="18"/>
      <c r="L198" s="8"/>
      <c r="M198" s="8"/>
      <c r="S198" s="8"/>
      <c r="U198" s="26" t="str">
        <f t="shared" si="1"/>
        <v/>
      </c>
    </row>
    <row r="199">
      <c r="C199" s="8"/>
      <c r="G199" s="8"/>
      <c r="K199" s="18"/>
      <c r="L199" s="8"/>
      <c r="M199" s="8"/>
      <c r="S199" s="8"/>
      <c r="U199" s="26" t="str">
        <f t="shared" si="1"/>
        <v/>
      </c>
    </row>
    <row r="200">
      <c r="C200" s="8"/>
      <c r="G200" s="8"/>
      <c r="K200" s="18"/>
      <c r="L200" s="8"/>
      <c r="M200" s="8"/>
      <c r="S200" s="8"/>
      <c r="U200" s="26" t="str">
        <f t="shared" si="1"/>
        <v/>
      </c>
    </row>
    <row r="201">
      <c r="C201" s="8"/>
      <c r="G201" s="8"/>
      <c r="K201" s="18"/>
      <c r="L201" s="8"/>
      <c r="M201" s="8"/>
      <c r="S201" s="8"/>
      <c r="U201" s="26" t="str">
        <f t="shared" si="1"/>
        <v/>
      </c>
    </row>
    <row r="202">
      <c r="C202" s="8"/>
      <c r="G202" s="8"/>
      <c r="K202" s="18"/>
      <c r="L202" s="8"/>
      <c r="M202" s="8"/>
      <c r="S202" s="8"/>
      <c r="U202" s="26" t="str">
        <f t="shared" si="1"/>
        <v/>
      </c>
    </row>
    <row r="203">
      <c r="C203" s="8"/>
      <c r="G203" s="8"/>
      <c r="K203" s="18"/>
      <c r="L203" s="8"/>
      <c r="M203" s="8"/>
      <c r="S203" s="8"/>
      <c r="U203" s="26" t="str">
        <f t="shared" si="1"/>
        <v/>
      </c>
    </row>
    <row r="204">
      <c r="C204" s="8"/>
      <c r="G204" s="8"/>
      <c r="K204" s="18"/>
      <c r="L204" s="8"/>
      <c r="M204" s="8"/>
      <c r="S204" s="8"/>
      <c r="U204" s="26" t="str">
        <f t="shared" si="1"/>
        <v/>
      </c>
    </row>
    <row r="205">
      <c r="C205" s="8"/>
      <c r="G205" s="8"/>
      <c r="K205" s="18"/>
      <c r="L205" s="8"/>
      <c r="M205" s="8"/>
      <c r="S205" s="8"/>
      <c r="U205" s="26" t="str">
        <f t="shared" si="1"/>
        <v/>
      </c>
    </row>
    <row r="206">
      <c r="C206" s="8"/>
      <c r="G206" s="8"/>
      <c r="K206" s="18"/>
      <c r="L206" s="8"/>
      <c r="M206" s="8"/>
      <c r="S206" s="8"/>
      <c r="U206" s="26" t="str">
        <f t="shared" si="1"/>
        <v/>
      </c>
    </row>
    <row r="207">
      <c r="C207" s="8"/>
      <c r="G207" s="8"/>
      <c r="K207" s="18"/>
      <c r="L207" s="8"/>
      <c r="M207" s="8"/>
      <c r="S207" s="8"/>
      <c r="U207" s="26" t="str">
        <f t="shared" si="1"/>
        <v/>
      </c>
    </row>
    <row r="208">
      <c r="C208" s="8"/>
      <c r="G208" s="8"/>
      <c r="K208" s="18"/>
      <c r="L208" s="8"/>
      <c r="M208" s="8"/>
      <c r="S208" s="8"/>
      <c r="U208" s="26" t="str">
        <f t="shared" si="1"/>
        <v/>
      </c>
    </row>
    <row r="209">
      <c r="C209" s="8"/>
      <c r="G209" s="8"/>
      <c r="K209" s="18"/>
      <c r="L209" s="8"/>
      <c r="M209" s="8"/>
      <c r="S209" s="8"/>
      <c r="U209" s="26" t="str">
        <f t="shared" si="1"/>
        <v/>
      </c>
    </row>
    <row r="210">
      <c r="C210" s="8"/>
      <c r="G210" s="8"/>
      <c r="K210" s="18"/>
      <c r="L210" s="8"/>
      <c r="M210" s="8"/>
      <c r="S210" s="8"/>
      <c r="U210" s="26" t="str">
        <f t="shared" si="1"/>
        <v/>
      </c>
    </row>
    <row r="211">
      <c r="C211" s="8"/>
      <c r="G211" s="8"/>
      <c r="K211" s="18"/>
      <c r="L211" s="8"/>
      <c r="M211" s="8"/>
      <c r="S211" s="8"/>
      <c r="U211" s="26" t="str">
        <f t="shared" si="1"/>
        <v/>
      </c>
    </row>
    <row r="212">
      <c r="C212" s="8"/>
      <c r="G212" s="8"/>
      <c r="K212" s="18"/>
      <c r="L212" s="8"/>
      <c r="M212" s="8"/>
      <c r="S212" s="8"/>
      <c r="U212" s="26" t="str">
        <f t="shared" si="1"/>
        <v/>
      </c>
    </row>
    <row r="213">
      <c r="C213" s="8"/>
      <c r="G213" s="8"/>
      <c r="K213" s="18"/>
      <c r="L213" s="8"/>
      <c r="M213" s="8"/>
      <c r="S213" s="8"/>
      <c r="U213" s="26" t="str">
        <f t="shared" si="1"/>
        <v/>
      </c>
    </row>
    <row r="214">
      <c r="C214" s="8"/>
      <c r="G214" s="8"/>
      <c r="K214" s="18"/>
      <c r="L214" s="8"/>
      <c r="M214" s="8"/>
      <c r="S214" s="8"/>
      <c r="U214" s="26" t="str">
        <f t="shared" si="1"/>
        <v/>
      </c>
    </row>
    <row r="215">
      <c r="C215" s="8"/>
      <c r="G215" s="8"/>
      <c r="K215" s="18"/>
      <c r="L215" s="8"/>
      <c r="M215" s="8"/>
      <c r="S215" s="8"/>
      <c r="U215" s="26" t="str">
        <f t="shared" si="1"/>
        <v/>
      </c>
    </row>
    <row r="216">
      <c r="C216" s="8"/>
      <c r="G216" s="8"/>
      <c r="K216" s="18"/>
      <c r="L216" s="8"/>
      <c r="M216" s="8"/>
      <c r="S216" s="8"/>
      <c r="U216" s="26" t="str">
        <f t="shared" si="1"/>
        <v/>
      </c>
    </row>
    <row r="217">
      <c r="C217" s="8"/>
      <c r="G217" s="8"/>
      <c r="K217" s="18"/>
      <c r="L217" s="8"/>
      <c r="M217" s="8"/>
      <c r="S217" s="8"/>
      <c r="U217" s="26" t="str">
        <f t="shared" si="1"/>
        <v/>
      </c>
    </row>
    <row r="218">
      <c r="C218" s="8"/>
      <c r="G218" s="8"/>
      <c r="K218" s="18"/>
      <c r="L218" s="8"/>
      <c r="M218" s="8"/>
      <c r="S218" s="8"/>
      <c r="U218" s="26" t="str">
        <f t="shared" si="1"/>
        <v/>
      </c>
    </row>
    <row r="219">
      <c r="C219" s="8"/>
      <c r="G219" s="8"/>
      <c r="K219" s="18"/>
      <c r="L219" s="8"/>
      <c r="M219" s="8"/>
      <c r="S219" s="8"/>
      <c r="U219" s="26" t="str">
        <f t="shared" si="1"/>
        <v/>
      </c>
    </row>
    <row r="220">
      <c r="C220" s="8"/>
      <c r="G220" s="8"/>
      <c r="K220" s="18"/>
      <c r="L220" s="8"/>
      <c r="M220" s="8"/>
      <c r="S220" s="8"/>
      <c r="U220" s="26" t="str">
        <f t="shared" si="1"/>
        <v/>
      </c>
    </row>
    <row r="221">
      <c r="C221" s="8"/>
      <c r="G221" s="8"/>
      <c r="K221" s="18"/>
      <c r="L221" s="8"/>
      <c r="M221" s="8"/>
      <c r="S221" s="8"/>
      <c r="U221" s="26" t="str">
        <f t="shared" si="1"/>
        <v/>
      </c>
    </row>
    <row r="222">
      <c r="C222" s="8"/>
      <c r="G222" s="8"/>
      <c r="K222" s="18"/>
      <c r="L222" s="8"/>
      <c r="M222" s="8"/>
      <c r="S222" s="8"/>
      <c r="U222" s="26" t="str">
        <f t="shared" si="1"/>
        <v/>
      </c>
    </row>
    <row r="223">
      <c r="C223" s="8"/>
      <c r="G223" s="8"/>
      <c r="K223" s="18"/>
      <c r="L223" s="8"/>
      <c r="M223" s="8"/>
      <c r="S223" s="8"/>
      <c r="U223" s="26" t="str">
        <f t="shared" si="1"/>
        <v/>
      </c>
    </row>
    <row r="224">
      <c r="C224" s="8"/>
      <c r="G224" s="8"/>
      <c r="K224" s="18"/>
      <c r="L224" s="8"/>
      <c r="M224" s="8"/>
      <c r="S224" s="8"/>
      <c r="U224" s="26" t="str">
        <f t="shared" si="1"/>
        <v/>
      </c>
    </row>
    <row r="225">
      <c r="C225" s="8"/>
      <c r="G225" s="8"/>
      <c r="K225" s="18"/>
      <c r="L225" s="8"/>
      <c r="M225" s="8"/>
      <c r="S225" s="8"/>
      <c r="U225" s="26" t="str">
        <f t="shared" si="1"/>
        <v/>
      </c>
    </row>
    <row r="226">
      <c r="C226" s="8"/>
      <c r="G226" s="8"/>
      <c r="K226" s="18"/>
      <c r="L226" s="8"/>
      <c r="M226" s="8"/>
      <c r="S226" s="8"/>
      <c r="U226" s="26" t="str">
        <f t="shared" si="1"/>
        <v/>
      </c>
    </row>
    <row r="227">
      <c r="C227" s="8"/>
      <c r="G227" s="8"/>
      <c r="K227" s="18"/>
      <c r="L227" s="8"/>
      <c r="M227" s="8"/>
      <c r="S227" s="8"/>
      <c r="U227" s="26" t="str">
        <f t="shared" si="1"/>
        <v/>
      </c>
    </row>
    <row r="228">
      <c r="C228" s="8"/>
      <c r="G228" s="8"/>
      <c r="K228" s="18"/>
      <c r="L228" s="8"/>
      <c r="M228" s="8"/>
      <c r="S228" s="8"/>
      <c r="U228" s="26" t="str">
        <f t="shared" si="1"/>
        <v/>
      </c>
    </row>
    <row r="229">
      <c r="C229" s="8"/>
      <c r="G229" s="8"/>
      <c r="K229" s="18"/>
      <c r="L229" s="8"/>
      <c r="M229" s="8"/>
      <c r="S229" s="8"/>
      <c r="U229" s="26" t="str">
        <f t="shared" si="1"/>
        <v/>
      </c>
    </row>
    <row r="230">
      <c r="C230" s="8"/>
      <c r="G230" s="8"/>
      <c r="K230" s="18"/>
      <c r="L230" s="8"/>
      <c r="M230" s="8"/>
      <c r="S230" s="8"/>
      <c r="U230" s="26" t="str">
        <f t="shared" si="1"/>
        <v/>
      </c>
    </row>
    <row r="231">
      <c r="C231" s="8"/>
      <c r="G231" s="8"/>
      <c r="K231" s="18"/>
      <c r="L231" s="8"/>
      <c r="M231" s="8"/>
      <c r="S231" s="8"/>
      <c r="U231" s="26" t="str">
        <f t="shared" si="1"/>
        <v/>
      </c>
    </row>
    <row r="232">
      <c r="C232" s="8"/>
      <c r="G232" s="8"/>
      <c r="K232" s="18"/>
      <c r="L232" s="8"/>
      <c r="M232" s="8"/>
      <c r="S232" s="8"/>
      <c r="U232" s="26" t="str">
        <f t="shared" si="1"/>
        <v/>
      </c>
    </row>
    <row r="233">
      <c r="C233" s="8"/>
      <c r="G233" s="8"/>
      <c r="K233" s="18"/>
      <c r="L233" s="8"/>
      <c r="M233" s="8"/>
      <c r="S233" s="8"/>
      <c r="U233" s="26" t="str">
        <f t="shared" si="1"/>
        <v/>
      </c>
    </row>
    <row r="234">
      <c r="C234" s="8"/>
      <c r="G234" s="8"/>
      <c r="K234" s="18"/>
      <c r="L234" s="8"/>
      <c r="M234" s="8"/>
      <c r="S234" s="8"/>
      <c r="U234" s="26" t="str">
        <f t="shared" si="1"/>
        <v/>
      </c>
    </row>
    <row r="235">
      <c r="C235" s="8"/>
      <c r="G235" s="8"/>
      <c r="K235" s="18"/>
      <c r="L235" s="8"/>
      <c r="M235" s="8"/>
      <c r="S235" s="8"/>
      <c r="U235" s="26" t="str">
        <f t="shared" si="1"/>
        <v/>
      </c>
    </row>
    <row r="236">
      <c r="C236" s="8"/>
      <c r="G236" s="8"/>
      <c r="K236" s="18"/>
      <c r="L236" s="8"/>
      <c r="M236" s="8"/>
      <c r="S236" s="8"/>
      <c r="U236" s="26" t="str">
        <f t="shared" si="1"/>
        <v/>
      </c>
    </row>
    <row r="237">
      <c r="C237" s="8"/>
      <c r="G237" s="8"/>
      <c r="K237" s="18"/>
      <c r="L237" s="8"/>
      <c r="M237" s="8"/>
      <c r="S237" s="8"/>
      <c r="U237" s="26" t="str">
        <f t="shared" si="1"/>
        <v/>
      </c>
    </row>
    <row r="238">
      <c r="C238" s="8"/>
      <c r="G238" s="8"/>
      <c r="K238" s="18"/>
      <c r="L238" s="8"/>
      <c r="M238" s="8"/>
      <c r="S238" s="8"/>
      <c r="U238" s="26" t="str">
        <f t="shared" si="1"/>
        <v/>
      </c>
    </row>
    <row r="239">
      <c r="C239" s="8"/>
      <c r="G239" s="8"/>
      <c r="K239" s="18"/>
      <c r="L239" s="8"/>
      <c r="M239" s="8"/>
      <c r="S239" s="8"/>
      <c r="U239" s="26" t="str">
        <f t="shared" si="1"/>
        <v/>
      </c>
    </row>
    <row r="240">
      <c r="C240" s="8"/>
      <c r="G240" s="8"/>
      <c r="K240" s="18"/>
      <c r="L240" s="8"/>
      <c r="M240" s="8"/>
      <c r="S240" s="8"/>
      <c r="U240" s="26" t="str">
        <f t="shared" si="1"/>
        <v/>
      </c>
    </row>
    <row r="241">
      <c r="C241" s="8"/>
      <c r="G241" s="8"/>
      <c r="K241" s="18"/>
      <c r="L241" s="8"/>
      <c r="M241" s="8"/>
      <c r="S241" s="8"/>
      <c r="U241" s="26" t="str">
        <f t="shared" si="1"/>
        <v/>
      </c>
    </row>
    <row r="242">
      <c r="C242" s="8"/>
      <c r="G242" s="8"/>
      <c r="K242" s="18"/>
      <c r="L242" s="8"/>
      <c r="M242" s="8"/>
      <c r="S242" s="8"/>
      <c r="U242" s="26" t="str">
        <f t="shared" si="1"/>
        <v/>
      </c>
    </row>
    <row r="243">
      <c r="C243" s="8"/>
      <c r="G243" s="8"/>
      <c r="K243" s="18"/>
      <c r="L243" s="8"/>
      <c r="M243" s="8"/>
      <c r="S243" s="8"/>
      <c r="U243" s="26" t="str">
        <f t="shared" si="1"/>
        <v/>
      </c>
    </row>
    <row r="244">
      <c r="C244" s="8"/>
      <c r="G244" s="8"/>
      <c r="K244" s="18"/>
      <c r="L244" s="8"/>
      <c r="M244" s="8"/>
      <c r="S244" s="8"/>
      <c r="U244" s="26" t="str">
        <f t="shared" si="1"/>
        <v/>
      </c>
    </row>
    <row r="245">
      <c r="C245" s="8"/>
      <c r="G245" s="8"/>
      <c r="K245" s="18"/>
      <c r="L245" s="8"/>
      <c r="M245" s="8"/>
      <c r="S245" s="8"/>
      <c r="U245" s="26" t="str">
        <f t="shared" si="1"/>
        <v/>
      </c>
    </row>
    <row r="246">
      <c r="C246" s="8"/>
      <c r="G246" s="8"/>
      <c r="K246" s="18"/>
      <c r="L246" s="8"/>
      <c r="M246" s="8"/>
      <c r="S246" s="8"/>
      <c r="U246" s="26" t="str">
        <f t="shared" si="1"/>
        <v/>
      </c>
    </row>
    <row r="247">
      <c r="C247" s="8"/>
      <c r="G247" s="8"/>
      <c r="K247" s="18"/>
      <c r="L247" s="8"/>
      <c r="M247" s="8"/>
      <c r="S247" s="8"/>
      <c r="U247" s="26" t="str">
        <f t="shared" si="1"/>
        <v/>
      </c>
    </row>
    <row r="248">
      <c r="C248" s="8"/>
      <c r="G248" s="8"/>
      <c r="K248" s="18"/>
      <c r="L248" s="8"/>
      <c r="M248" s="8"/>
      <c r="S248" s="8"/>
      <c r="U248" s="26" t="str">
        <f t="shared" si="1"/>
        <v/>
      </c>
    </row>
    <row r="249">
      <c r="C249" s="8"/>
      <c r="G249" s="8"/>
      <c r="K249" s="18"/>
      <c r="L249" s="8"/>
      <c r="M249" s="8"/>
      <c r="S249" s="8"/>
      <c r="U249" s="26" t="str">
        <f t="shared" si="1"/>
        <v/>
      </c>
    </row>
    <row r="250">
      <c r="C250" s="8"/>
      <c r="G250" s="8"/>
      <c r="K250" s="18"/>
      <c r="L250" s="8"/>
      <c r="M250" s="8"/>
      <c r="S250" s="8"/>
      <c r="U250" s="26" t="str">
        <f t="shared" si="1"/>
        <v/>
      </c>
    </row>
    <row r="251">
      <c r="C251" s="8"/>
      <c r="G251" s="8"/>
      <c r="K251" s="18"/>
      <c r="L251" s="8"/>
      <c r="M251" s="8"/>
      <c r="S251" s="8"/>
      <c r="U251" s="26" t="str">
        <f t="shared" si="1"/>
        <v/>
      </c>
    </row>
    <row r="252">
      <c r="C252" s="8"/>
      <c r="G252" s="8"/>
      <c r="K252" s="18"/>
      <c r="L252" s="8"/>
      <c r="M252" s="8"/>
      <c r="S252" s="8"/>
      <c r="U252" s="26" t="str">
        <f t="shared" si="1"/>
        <v/>
      </c>
    </row>
    <row r="253">
      <c r="C253" s="8"/>
      <c r="G253" s="8"/>
      <c r="K253" s="18"/>
      <c r="L253" s="8"/>
      <c r="M253" s="8"/>
      <c r="S253" s="8"/>
      <c r="U253" s="26" t="str">
        <f t="shared" si="1"/>
        <v/>
      </c>
    </row>
    <row r="254">
      <c r="C254" s="8"/>
      <c r="G254" s="8"/>
      <c r="K254" s="18"/>
      <c r="L254" s="8"/>
      <c r="M254" s="8"/>
      <c r="S254" s="8"/>
      <c r="U254" s="26" t="str">
        <f t="shared" si="1"/>
        <v/>
      </c>
    </row>
    <row r="255">
      <c r="C255" s="8"/>
      <c r="G255" s="8"/>
      <c r="K255" s="18"/>
      <c r="L255" s="8"/>
      <c r="M255" s="8"/>
      <c r="S255" s="8"/>
      <c r="U255" s="26" t="str">
        <f t="shared" si="1"/>
        <v/>
      </c>
    </row>
    <row r="256">
      <c r="C256" s="8"/>
      <c r="G256" s="8"/>
      <c r="K256" s="18"/>
      <c r="L256" s="8"/>
      <c r="M256" s="8"/>
      <c r="S256" s="8"/>
      <c r="U256" s="26" t="str">
        <f t="shared" si="1"/>
        <v/>
      </c>
    </row>
    <row r="257">
      <c r="C257" s="8"/>
      <c r="G257" s="8"/>
      <c r="K257" s="18"/>
      <c r="L257" s="8"/>
      <c r="M257" s="8"/>
      <c r="S257" s="8"/>
      <c r="U257" s="26" t="str">
        <f t="shared" si="1"/>
        <v/>
      </c>
    </row>
    <row r="258">
      <c r="C258" s="8"/>
      <c r="G258" s="8"/>
      <c r="K258" s="18"/>
      <c r="L258" s="8"/>
      <c r="M258" s="8"/>
      <c r="S258" s="8"/>
      <c r="U258" s="26" t="str">
        <f t="shared" si="1"/>
        <v/>
      </c>
    </row>
    <row r="259">
      <c r="C259" s="8"/>
      <c r="G259" s="8"/>
      <c r="K259" s="18"/>
      <c r="L259" s="8"/>
      <c r="M259" s="8"/>
      <c r="S259" s="8"/>
      <c r="U259" s="26" t="str">
        <f t="shared" si="1"/>
        <v/>
      </c>
    </row>
    <row r="260">
      <c r="C260" s="8"/>
      <c r="G260" s="8"/>
      <c r="K260" s="18"/>
      <c r="L260" s="8"/>
      <c r="M260" s="8"/>
      <c r="S260" s="8"/>
      <c r="U260" s="26" t="str">
        <f t="shared" si="1"/>
        <v/>
      </c>
    </row>
    <row r="261">
      <c r="C261" s="8"/>
      <c r="G261" s="8"/>
      <c r="K261" s="18"/>
      <c r="L261" s="8"/>
      <c r="M261" s="8"/>
      <c r="S261" s="8"/>
      <c r="U261" s="26" t="str">
        <f t="shared" si="1"/>
        <v/>
      </c>
    </row>
    <row r="262">
      <c r="C262" s="8"/>
      <c r="G262" s="8"/>
      <c r="K262" s="18"/>
      <c r="L262" s="8"/>
      <c r="M262" s="8"/>
      <c r="S262" s="8"/>
      <c r="U262" s="26" t="str">
        <f t="shared" si="1"/>
        <v/>
      </c>
    </row>
    <row r="263">
      <c r="C263" s="8"/>
      <c r="G263" s="8"/>
      <c r="K263" s="18"/>
      <c r="L263" s="8"/>
      <c r="M263" s="8"/>
      <c r="S263" s="8"/>
      <c r="U263" s="26" t="str">
        <f t="shared" si="1"/>
        <v/>
      </c>
    </row>
    <row r="264">
      <c r="C264" s="8"/>
      <c r="G264" s="8"/>
      <c r="K264" s="18"/>
      <c r="L264" s="8"/>
      <c r="M264" s="8"/>
      <c r="S264" s="8"/>
      <c r="U264" s="26" t="str">
        <f t="shared" si="1"/>
        <v/>
      </c>
    </row>
    <row r="265">
      <c r="C265" s="8"/>
      <c r="G265" s="8"/>
      <c r="K265" s="18"/>
      <c r="L265" s="8"/>
      <c r="M265" s="8"/>
      <c r="S265" s="8"/>
      <c r="U265" s="26" t="str">
        <f t="shared" si="1"/>
        <v/>
      </c>
    </row>
    <row r="266">
      <c r="C266" s="8"/>
      <c r="G266" s="8"/>
      <c r="K266" s="18"/>
      <c r="L266" s="8"/>
      <c r="M266" s="8"/>
      <c r="S266" s="8"/>
      <c r="U266" s="26" t="str">
        <f t="shared" si="1"/>
        <v/>
      </c>
    </row>
    <row r="267">
      <c r="C267" s="8"/>
      <c r="G267" s="8"/>
      <c r="K267" s="18"/>
      <c r="L267" s="8"/>
      <c r="M267" s="8"/>
      <c r="S267" s="8"/>
      <c r="U267" s="26" t="str">
        <f t="shared" si="1"/>
        <v/>
      </c>
    </row>
    <row r="268">
      <c r="C268" s="8"/>
      <c r="G268" s="8"/>
      <c r="K268" s="18"/>
      <c r="L268" s="8"/>
      <c r="M268" s="8"/>
      <c r="S268" s="8"/>
      <c r="U268" s="26" t="str">
        <f t="shared" si="1"/>
        <v/>
      </c>
    </row>
    <row r="269">
      <c r="C269" s="8"/>
      <c r="G269" s="8"/>
      <c r="K269" s="18"/>
      <c r="L269" s="8"/>
      <c r="M269" s="8"/>
      <c r="S269" s="8"/>
      <c r="U269" s="26" t="str">
        <f t="shared" si="1"/>
        <v/>
      </c>
    </row>
    <row r="270">
      <c r="C270" s="8"/>
      <c r="G270" s="8"/>
      <c r="K270" s="18"/>
      <c r="L270" s="8"/>
      <c r="M270" s="8"/>
      <c r="S270" s="8"/>
      <c r="U270" s="26" t="str">
        <f t="shared" si="1"/>
        <v/>
      </c>
    </row>
    <row r="271">
      <c r="C271" s="8"/>
      <c r="G271" s="8"/>
      <c r="K271" s="18"/>
      <c r="L271" s="8"/>
      <c r="M271" s="8"/>
      <c r="S271" s="8"/>
      <c r="U271" s="26" t="str">
        <f t="shared" si="1"/>
        <v/>
      </c>
    </row>
    <row r="272">
      <c r="C272" s="8"/>
      <c r="G272" s="8"/>
      <c r="K272" s="18"/>
      <c r="L272" s="8"/>
      <c r="M272" s="8"/>
      <c r="S272" s="8"/>
      <c r="U272" s="26" t="str">
        <f t="shared" si="1"/>
        <v/>
      </c>
    </row>
    <row r="273">
      <c r="C273" s="8"/>
      <c r="G273" s="8"/>
      <c r="K273" s="18"/>
      <c r="L273" s="8"/>
      <c r="M273" s="8"/>
      <c r="S273" s="8"/>
      <c r="U273" s="26" t="str">
        <f t="shared" si="1"/>
        <v/>
      </c>
    </row>
    <row r="274">
      <c r="C274" s="8"/>
      <c r="G274" s="8"/>
      <c r="K274" s="18"/>
      <c r="L274" s="8"/>
      <c r="M274" s="8"/>
      <c r="S274" s="8"/>
      <c r="U274" s="26" t="str">
        <f t="shared" si="1"/>
        <v/>
      </c>
    </row>
    <row r="275">
      <c r="C275" s="8"/>
      <c r="G275" s="8"/>
      <c r="K275" s="18"/>
      <c r="L275" s="8"/>
      <c r="M275" s="8"/>
      <c r="S275" s="8"/>
      <c r="U275" s="26" t="str">
        <f t="shared" si="1"/>
        <v/>
      </c>
    </row>
    <row r="276">
      <c r="C276" s="8"/>
      <c r="G276" s="8"/>
      <c r="K276" s="18"/>
      <c r="L276" s="8"/>
      <c r="M276" s="8"/>
      <c r="S276" s="8"/>
      <c r="U276" s="26" t="str">
        <f t="shared" si="1"/>
        <v/>
      </c>
    </row>
    <row r="277">
      <c r="C277" s="8"/>
      <c r="G277" s="8"/>
      <c r="K277" s="18"/>
      <c r="L277" s="8"/>
      <c r="M277" s="8"/>
      <c r="S277" s="8"/>
      <c r="U277" s="26" t="str">
        <f t="shared" si="1"/>
        <v/>
      </c>
    </row>
    <row r="278">
      <c r="C278" s="8"/>
      <c r="G278" s="8"/>
      <c r="K278" s="18"/>
      <c r="L278" s="8"/>
      <c r="M278" s="8"/>
      <c r="S278" s="8"/>
      <c r="U278" s="26" t="str">
        <f t="shared" si="1"/>
        <v/>
      </c>
    </row>
    <row r="279">
      <c r="C279" s="8"/>
      <c r="G279" s="8"/>
      <c r="K279" s="18"/>
      <c r="L279" s="8"/>
      <c r="M279" s="8"/>
      <c r="S279" s="8"/>
      <c r="U279" s="26" t="str">
        <f t="shared" si="1"/>
        <v/>
      </c>
    </row>
    <row r="280">
      <c r="C280" s="8"/>
      <c r="G280" s="8"/>
      <c r="K280" s="18"/>
      <c r="L280" s="8"/>
      <c r="M280" s="8"/>
      <c r="S280" s="8"/>
      <c r="U280" s="26" t="str">
        <f t="shared" si="1"/>
        <v/>
      </c>
    </row>
    <row r="281">
      <c r="C281" s="8"/>
      <c r="G281" s="8"/>
      <c r="K281" s="18"/>
      <c r="L281" s="8"/>
      <c r="M281" s="8"/>
      <c r="S281" s="8"/>
      <c r="U281" s="26" t="str">
        <f t="shared" si="1"/>
        <v/>
      </c>
    </row>
    <row r="282">
      <c r="C282" s="8"/>
      <c r="G282" s="8"/>
      <c r="K282" s="18"/>
      <c r="L282" s="8"/>
      <c r="M282" s="8"/>
      <c r="S282" s="8"/>
      <c r="U282" s="26" t="str">
        <f t="shared" si="1"/>
        <v/>
      </c>
    </row>
    <row r="283">
      <c r="C283" s="8"/>
      <c r="G283" s="8"/>
      <c r="K283" s="18"/>
      <c r="L283" s="8"/>
      <c r="M283" s="8"/>
      <c r="S283" s="8"/>
      <c r="U283" s="26" t="str">
        <f t="shared" si="1"/>
        <v/>
      </c>
    </row>
    <row r="284">
      <c r="G284" s="8"/>
      <c r="K284" s="18"/>
      <c r="S284" s="8"/>
      <c r="U284" s="26" t="str">
        <f t="shared" si="1"/>
        <v/>
      </c>
    </row>
    <row r="285">
      <c r="G285" s="8"/>
      <c r="K285" s="18"/>
      <c r="S285" s="8"/>
      <c r="U285" s="26" t="str">
        <f t="shared" si="1"/>
        <v/>
      </c>
    </row>
    <row r="286">
      <c r="G286" s="8"/>
      <c r="K286" s="18"/>
      <c r="S286" s="8"/>
      <c r="U286" s="26" t="str">
        <f t="shared" si="1"/>
        <v/>
      </c>
    </row>
    <row r="287">
      <c r="G287" s="8"/>
      <c r="K287" s="18"/>
      <c r="S287" s="8"/>
      <c r="U287" s="26" t="str">
        <f t="shared" si="1"/>
        <v/>
      </c>
    </row>
    <row r="288">
      <c r="G288" s="8"/>
      <c r="K288" s="18"/>
      <c r="S288" s="8"/>
      <c r="U288" s="26" t="str">
        <f t="shared" si="1"/>
        <v/>
      </c>
    </row>
    <row r="289">
      <c r="G289" s="8"/>
      <c r="K289" s="18"/>
      <c r="S289" s="8"/>
      <c r="U289" s="26" t="str">
        <f t="shared" si="1"/>
        <v/>
      </c>
    </row>
    <row r="290">
      <c r="G290" s="8"/>
      <c r="K290" s="18"/>
      <c r="S290" s="8"/>
      <c r="U290" s="26" t="str">
        <f t="shared" si="1"/>
        <v/>
      </c>
    </row>
    <row r="291">
      <c r="G291" s="8"/>
      <c r="K291" s="18"/>
      <c r="S291" s="8"/>
      <c r="U291" s="26" t="str">
        <f t="shared" si="1"/>
        <v/>
      </c>
    </row>
    <row r="292">
      <c r="G292" s="8"/>
      <c r="K292" s="18"/>
      <c r="S292" s="8"/>
      <c r="U292" s="26" t="str">
        <f t="shared" si="1"/>
        <v/>
      </c>
    </row>
    <row r="293">
      <c r="G293" s="8"/>
      <c r="K293" s="18"/>
      <c r="S293" s="8"/>
      <c r="U293" s="26" t="str">
        <f t="shared" si="1"/>
        <v/>
      </c>
    </row>
    <row r="294">
      <c r="G294" s="8"/>
      <c r="K294" s="18"/>
      <c r="S294" s="8"/>
      <c r="U294" s="26" t="str">
        <f t="shared" si="1"/>
        <v/>
      </c>
    </row>
    <row r="295">
      <c r="G295" s="8"/>
      <c r="K295" s="18"/>
      <c r="S295" s="8"/>
      <c r="U295" s="26" t="str">
        <f t="shared" si="1"/>
        <v/>
      </c>
    </row>
    <row r="296">
      <c r="G296" s="8"/>
      <c r="K296" s="18"/>
      <c r="S296" s="8"/>
      <c r="U296" s="26" t="str">
        <f t="shared" si="1"/>
        <v/>
      </c>
    </row>
    <row r="297">
      <c r="G297" s="8"/>
      <c r="K297" s="18"/>
      <c r="S297" s="8"/>
      <c r="U297" s="26" t="str">
        <f t="shared" si="1"/>
        <v/>
      </c>
    </row>
    <row r="298">
      <c r="G298" s="8"/>
      <c r="K298" s="18"/>
      <c r="S298" s="8"/>
      <c r="U298" s="26" t="str">
        <f t="shared" si="1"/>
        <v/>
      </c>
    </row>
    <row r="299">
      <c r="G299" s="8"/>
      <c r="K299" s="18"/>
      <c r="S299" s="8"/>
      <c r="U299" s="26" t="str">
        <f t="shared" si="1"/>
        <v/>
      </c>
    </row>
    <row r="300">
      <c r="G300" s="8"/>
      <c r="K300" s="18"/>
      <c r="S300" s="8"/>
      <c r="U300" s="26" t="str">
        <f t="shared" si="1"/>
        <v/>
      </c>
    </row>
    <row r="301">
      <c r="G301" s="8"/>
      <c r="K301" s="18"/>
      <c r="S301" s="8"/>
      <c r="U301" s="26" t="str">
        <f t="shared" si="1"/>
        <v/>
      </c>
    </row>
    <row r="302">
      <c r="G302" s="8"/>
      <c r="K302" s="18"/>
      <c r="S302" s="8"/>
      <c r="U302" s="26" t="str">
        <f t="shared" si="1"/>
        <v/>
      </c>
    </row>
    <row r="303">
      <c r="G303" s="8"/>
      <c r="K303" s="18"/>
      <c r="S303" s="8"/>
      <c r="U303" s="26" t="str">
        <f t="shared" si="1"/>
        <v/>
      </c>
    </row>
    <row r="304">
      <c r="G304" s="8"/>
      <c r="K304" s="18"/>
      <c r="S304" s="8"/>
      <c r="U304" s="26" t="str">
        <f t="shared" si="1"/>
        <v/>
      </c>
    </row>
    <row r="305">
      <c r="G305" s="8"/>
      <c r="K305" s="18"/>
      <c r="S305" s="8"/>
      <c r="U305" s="26" t="str">
        <f t="shared" si="1"/>
        <v/>
      </c>
    </row>
    <row r="306">
      <c r="G306" s="8"/>
      <c r="K306" s="18"/>
      <c r="S306" s="8"/>
      <c r="U306" s="26" t="str">
        <f t="shared" si="1"/>
        <v/>
      </c>
    </row>
    <row r="307">
      <c r="G307" s="8"/>
      <c r="K307" s="18"/>
      <c r="S307" s="8"/>
      <c r="U307" s="26" t="str">
        <f t="shared" si="1"/>
        <v/>
      </c>
    </row>
    <row r="308">
      <c r="G308" s="8"/>
      <c r="K308" s="18"/>
      <c r="S308" s="8"/>
      <c r="U308" s="26" t="str">
        <f t="shared" ref="U308:U373" si="2">IF(ISBLANK(V308),"",VLOOKUP($U308,$H$6:$K$2000,4,FALSE)/VLOOKUP(V308,$H$6:$K$2000,3,FALSE)*$S308)</f>
        <v/>
      </c>
    </row>
    <row r="309">
      <c r="G309" s="8"/>
      <c r="K309" s="18"/>
      <c r="S309" s="8"/>
      <c r="U309" s="26" t="str">
        <f t="shared" si="2"/>
        <v/>
      </c>
    </row>
    <row r="310">
      <c r="G310" s="8"/>
      <c r="K310" s="18"/>
      <c r="S310" s="8"/>
      <c r="U310" s="26" t="str">
        <f t="shared" si="2"/>
        <v/>
      </c>
    </row>
    <row r="311">
      <c r="G311" s="8"/>
      <c r="K311" s="18"/>
      <c r="S311" s="8"/>
      <c r="U311" s="26" t="str">
        <f t="shared" si="2"/>
        <v/>
      </c>
    </row>
    <row r="312">
      <c r="G312" s="8"/>
      <c r="K312" s="18"/>
      <c r="S312" s="8"/>
      <c r="U312" s="26" t="str">
        <f t="shared" si="2"/>
        <v/>
      </c>
    </row>
    <row r="313">
      <c r="G313" s="8"/>
      <c r="K313" s="18"/>
      <c r="S313" s="8"/>
      <c r="U313" s="26" t="str">
        <f t="shared" si="2"/>
        <v/>
      </c>
    </row>
    <row r="314">
      <c r="G314" s="8"/>
      <c r="K314" s="18"/>
      <c r="S314" s="8"/>
      <c r="U314" s="26" t="str">
        <f t="shared" si="2"/>
        <v/>
      </c>
    </row>
    <row r="315">
      <c r="G315" s="8"/>
      <c r="K315" s="18"/>
      <c r="S315" s="8"/>
      <c r="U315" s="26" t="str">
        <f t="shared" si="2"/>
        <v/>
      </c>
    </row>
    <row r="316">
      <c r="G316" s="8"/>
      <c r="K316" s="18"/>
      <c r="S316" s="8"/>
      <c r="U316" s="26" t="str">
        <f t="shared" si="2"/>
        <v/>
      </c>
    </row>
    <row r="317">
      <c r="G317" s="8"/>
      <c r="K317" s="18"/>
      <c r="S317" s="8"/>
      <c r="U317" s="26" t="str">
        <f t="shared" si="2"/>
        <v/>
      </c>
    </row>
    <row r="318">
      <c r="G318" s="8"/>
      <c r="K318" s="18"/>
      <c r="S318" s="8"/>
      <c r="U318" s="26" t="str">
        <f t="shared" si="2"/>
        <v/>
      </c>
    </row>
    <row r="319">
      <c r="G319" s="8"/>
      <c r="K319" s="18"/>
      <c r="S319" s="8"/>
      <c r="U319" s="26" t="str">
        <f t="shared" si="2"/>
        <v/>
      </c>
    </row>
    <row r="320">
      <c r="G320" s="8"/>
      <c r="K320" s="18"/>
      <c r="S320" s="8"/>
      <c r="U320" s="26" t="str">
        <f t="shared" si="2"/>
        <v/>
      </c>
    </row>
    <row r="321">
      <c r="G321" s="8"/>
      <c r="K321" s="18"/>
      <c r="S321" s="8"/>
      <c r="U321" s="26" t="str">
        <f t="shared" si="2"/>
        <v/>
      </c>
    </row>
    <row r="322">
      <c r="G322" s="8"/>
      <c r="K322" s="18"/>
      <c r="S322" s="8"/>
      <c r="U322" s="26" t="str">
        <f t="shared" si="2"/>
        <v/>
      </c>
    </row>
    <row r="323">
      <c r="G323" s="8"/>
      <c r="K323" s="18"/>
      <c r="S323" s="8"/>
      <c r="U323" s="26" t="str">
        <f t="shared" si="2"/>
        <v/>
      </c>
    </row>
    <row r="324">
      <c r="G324" s="8"/>
      <c r="K324" s="18"/>
      <c r="S324" s="8"/>
      <c r="U324" s="26" t="str">
        <f t="shared" si="2"/>
        <v/>
      </c>
    </row>
    <row r="325">
      <c r="G325" s="8"/>
      <c r="K325" s="18"/>
      <c r="S325" s="8"/>
      <c r="U325" s="26" t="str">
        <f t="shared" si="2"/>
        <v/>
      </c>
    </row>
    <row r="326">
      <c r="G326" s="8"/>
      <c r="K326" s="18"/>
      <c r="S326" s="8"/>
      <c r="U326" s="26" t="str">
        <f t="shared" si="2"/>
        <v/>
      </c>
    </row>
    <row r="327">
      <c r="G327" s="8"/>
      <c r="K327" s="18"/>
      <c r="S327" s="8"/>
      <c r="U327" s="26" t="str">
        <f t="shared" si="2"/>
        <v/>
      </c>
    </row>
    <row r="328">
      <c r="G328" s="8"/>
      <c r="K328" s="18"/>
      <c r="S328" s="8"/>
      <c r="U328" s="26" t="str">
        <f t="shared" si="2"/>
        <v/>
      </c>
    </row>
    <row r="329">
      <c r="G329" s="8"/>
      <c r="K329" s="18"/>
      <c r="S329" s="8"/>
      <c r="U329" s="26" t="str">
        <f t="shared" si="2"/>
        <v/>
      </c>
    </row>
    <row r="330">
      <c r="G330" s="8"/>
      <c r="K330" s="18"/>
      <c r="S330" s="8"/>
      <c r="U330" s="26" t="str">
        <f t="shared" si="2"/>
        <v/>
      </c>
    </row>
    <row r="331">
      <c r="G331" s="8"/>
      <c r="K331" s="18"/>
      <c r="S331" s="8"/>
      <c r="U331" s="26" t="str">
        <f t="shared" si="2"/>
        <v/>
      </c>
    </row>
    <row r="332">
      <c r="G332" s="8"/>
      <c r="K332" s="18"/>
      <c r="S332" s="8"/>
      <c r="U332" s="26" t="str">
        <f t="shared" si="2"/>
        <v/>
      </c>
    </row>
    <row r="333">
      <c r="G333" s="8"/>
      <c r="K333" s="18"/>
      <c r="S333" s="8"/>
      <c r="U333" s="26" t="str">
        <f t="shared" si="2"/>
        <v/>
      </c>
    </row>
    <row r="334">
      <c r="G334" s="8"/>
      <c r="K334" s="18"/>
      <c r="S334" s="8"/>
      <c r="U334" s="26" t="str">
        <f t="shared" si="2"/>
        <v/>
      </c>
    </row>
    <row r="335">
      <c r="G335" s="8"/>
      <c r="K335" s="18"/>
      <c r="S335" s="8"/>
      <c r="U335" s="26" t="str">
        <f t="shared" si="2"/>
        <v/>
      </c>
    </row>
    <row r="336">
      <c r="G336" s="8"/>
      <c r="K336" s="18"/>
      <c r="S336" s="8"/>
      <c r="U336" s="26" t="str">
        <f t="shared" si="2"/>
        <v/>
      </c>
    </row>
    <row r="337">
      <c r="G337" s="8"/>
      <c r="K337" s="18"/>
      <c r="S337" s="8"/>
      <c r="U337" s="26" t="str">
        <f t="shared" si="2"/>
        <v/>
      </c>
    </row>
    <row r="338">
      <c r="G338" s="8"/>
      <c r="K338" s="18"/>
      <c r="S338" s="8"/>
      <c r="U338" s="26" t="str">
        <f t="shared" si="2"/>
        <v/>
      </c>
    </row>
    <row r="339">
      <c r="G339" s="8"/>
      <c r="K339" s="18"/>
      <c r="S339" s="8"/>
      <c r="U339" s="26" t="str">
        <f t="shared" si="2"/>
        <v/>
      </c>
    </row>
    <row r="340">
      <c r="G340" s="8"/>
      <c r="K340" s="18"/>
      <c r="S340" s="8"/>
      <c r="U340" s="26" t="str">
        <f t="shared" si="2"/>
        <v/>
      </c>
    </row>
    <row r="341">
      <c r="G341" s="8"/>
      <c r="K341" s="18"/>
      <c r="S341" s="8"/>
      <c r="U341" s="26" t="str">
        <f t="shared" si="2"/>
        <v/>
      </c>
    </row>
    <row r="342">
      <c r="G342" s="8"/>
      <c r="K342" s="18"/>
      <c r="S342" s="8"/>
      <c r="U342" s="26" t="str">
        <f t="shared" si="2"/>
        <v/>
      </c>
    </row>
    <row r="343">
      <c r="G343" s="8"/>
      <c r="K343" s="18"/>
      <c r="S343" s="8"/>
      <c r="U343" s="26" t="str">
        <f t="shared" si="2"/>
        <v/>
      </c>
    </row>
    <row r="344">
      <c r="G344" s="8"/>
      <c r="K344" s="18"/>
      <c r="S344" s="8"/>
      <c r="U344" s="26" t="str">
        <f t="shared" si="2"/>
        <v/>
      </c>
    </row>
    <row r="345">
      <c r="G345" s="8"/>
      <c r="K345" s="18"/>
      <c r="S345" s="8"/>
      <c r="U345" s="26" t="str">
        <f t="shared" si="2"/>
        <v/>
      </c>
    </row>
    <row r="346">
      <c r="G346" s="8"/>
      <c r="K346" s="18"/>
      <c r="S346" s="8"/>
      <c r="U346" s="26" t="str">
        <f t="shared" si="2"/>
        <v/>
      </c>
    </row>
    <row r="347">
      <c r="G347" s="8"/>
      <c r="K347" s="18"/>
      <c r="S347" s="8"/>
      <c r="U347" s="26" t="str">
        <f t="shared" si="2"/>
        <v/>
      </c>
    </row>
    <row r="348">
      <c r="G348" s="8"/>
      <c r="K348" s="18"/>
      <c r="S348" s="8"/>
      <c r="U348" s="26" t="str">
        <f t="shared" si="2"/>
        <v/>
      </c>
    </row>
    <row r="349">
      <c r="G349" s="8"/>
      <c r="K349" s="18"/>
      <c r="S349" s="8"/>
      <c r="U349" s="26" t="str">
        <f t="shared" si="2"/>
        <v/>
      </c>
    </row>
    <row r="350">
      <c r="G350" s="8"/>
      <c r="K350" s="18"/>
      <c r="S350" s="8"/>
      <c r="U350" s="26" t="str">
        <f t="shared" si="2"/>
        <v/>
      </c>
    </row>
    <row r="351">
      <c r="G351" s="8"/>
      <c r="K351" s="18"/>
      <c r="S351" s="8"/>
      <c r="U351" s="26" t="str">
        <f t="shared" si="2"/>
        <v/>
      </c>
    </row>
    <row r="352">
      <c r="G352" s="8"/>
      <c r="K352" s="18"/>
      <c r="S352" s="8"/>
      <c r="U352" s="26" t="str">
        <f t="shared" si="2"/>
        <v/>
      </c>
    </row>
    <row r="353">
      <c r="G353" s="8"/>
      <c r="K353" s="18"/>
      <c r="S353" s="8"/>
      <c r="U353" s="26" t="str">
        <f t="shared" si="2"/>
        <v/>
      </c>
    </row>
    <row r="354">
      <c r="G354" s="8"/>
      <c r="K354" s="18"/>
      <c r="S354" s="8"/>
      <c r="U354" s="26" t="str">
        <f t="shared" si="2"/>
        <v/>
      </c>
    </row>
    <row r="355">
      <c r="G355" s="8"/>
      <c r="K355" s="18"/>
      <c r="S355" s="8"/>
      <c r="U355" s="26" t="str">
        <f t="shared" si="2"/>
        <v/>
      </c>
    </row>
    <row r="356">
      <c r="G356" s="8"/>
      <c r="K356" s="18"/>
      <c r="S356" s="8"/>
      <c r="U356" s="26" t="str">
        <f t="shared" si="2"/>
        <v/>
      </c>
    </row>
    <row r="357">
      <c r="G357" s="8"/>
      <c r="K357" s="18"/>
      <c r="S357" s="8"/>
      <c r="U357" s="26" t="str">
        <f t="shared" si="2"/>
        <v/>
      </c>
    </row>
    <row r="358">
      <c r="G358" s="8"/>
      <c r="K358" s="18"/>
      <c r="S358" s="8"/>
      <c r="U358" s="26" t="str">
        <f t="shared" si="2"/>
        <v/>
      </c>
    </row>
    <row r="359">
      <c r="G359" s="8"/>
      <c r="K359" s="18"/>
      <c r="S359" s="8"/>
      <c r="U359" s="26" t="str">
        <f t="shared" si="2"/>
        <v/>
      </c>
    </row>
    <row r="360">
      <c r="G360" s="8"/>
      <c r="K360" s="18"/>
      <c r="S360" s="8"/>
      <c r="U360" s="26" t="str">
        <f t="shared" si="2"/>
        <v/>
      </c>
    </row>
    <row r="361">
      <c r="G361" s="8"/>
      <c r="K361" s="18"/>
      <c r="S361" s="8"/>
      <c r="U361" s="26" t="str">
        <f t="shared" si="2"/>
        <v/>
      </c>
    </row>
    <row r="362">
      <c r="G362" s="8"/>
      <c r="K362" s="18"/>
      <c r="S362" s="8"/>
      <c r="U362" s="26" t="str">
        <f t="shared" si="2"/>
        <v/>
      </c>
    </row>
    <row r="363">
      <c r="G363" s="8"/>
      <c r="K363" s="18"/>
      <c r="S363" s="8"/>
      <c r="U363" s="26" t="str">
        <f t="shared" si="2"/>
        <v/>
      </c>
    </row>
    <row r="364">
      <c r="G364" s="8"/>
      <c r="K364" s="18"/>
      <c r="S364" s="8"/>
      <c r="U364" s="26" t="str">
        <f t="shared" si="2"/>
        <v/>
      </c>
    </row>
    <row r="365">
      <c r="G365" s="8"/>
      <c r="K365" s="18"/>
      <c r="S365" s="8"/>
      <c r="U365" s="26" t="str">
        <f t="shared" si="2"/>
        <v/>
      </c>
    </row>
    <row r="366">
      <c r="G366" s="8"/>
      <c r="K366" s="18"/>
      <c r="S366" s="8"/>
      <c r="U366" s="26" t="str">
        <f t="shared" si="2"/>
        <v/>
      </c>
    </row>
    <row r="367">
      <c r="G367" s="8"/>
      <c r="K367" s="18"/>
      <c r="S367" s="8"/>
      <c r="U367" s="26" t="str">
        <f t="shared" si="2"/>
        <v/>
      </c>
    </row>
    <row r="368">
      <c r="G368" s="8"/>
      <c r="K368" s="18"/>
      <c r="S368" s="8"/>
      <c r="U368" s="26" t="str">
        <f t="shared" si="2"/>
        <v/>
      </c>
    </row>
    <row r="369">
      <c r="G369" s="8"/>
      <c r="K369" s="18"/>
      <c r="S369" s="8"/>
      <c r="U369" s="26" t="str">
        <f t="shared" si="2"/>
        <v/>
      </c>
    </row>
    <row r="370">
      <c r="G370" s="8"/>
      <c r="K370" s="18"/>
      <c r="S370" s="8"/>
      <c r="U370" s="26" t="str">
        <f t="shared" si="2"/>
        <v/>
      </c>
    </row>
    <row r="371">
      <c r="G371" s="8"/>
      <c r="K371" s="18"/>
      <c r="S371" s="8"/>
      <c r="U371" s="26" t="str">
        <f t="shared" si="2"/>
        <v/>
      </c>
    </row>
    <row r="372">
      <c r="G372" s="8"/>
      <c r="K372" s="18"/>
      <c r="S372" s="8"/>
      <c r="U372" s="26" t="str">
        <f t="shared" si="2"/>
        <v/>
      </c>
    </row>
    <row r="373">
      <c r="G373" s="8"/>
      <c r="K373" s="18"/>
      <c r="S373" s="8"/>
      <c r="U373" s="26" t="str">
        <f t="shared" si="2"/>
        <v/>
      </c>
    </row>
    <row r="374">
      <c r="G374" s="8"/>
      <c r="K374" s="18"/>
      <c r="S374" s="8"/>
    </row>
    <row r="375">
      <c r="G375" s="8"/>
      <c r="K375" s="18"/>
      <c r="S375" s="8"/>
    </row>
    <row r="376">
      <c r="G376" s="8"/>
      <c r="K376" s="18"/>
      <c r="S376" s="8"/>
    </row>
    <row r="377">
      <c r="G377" s="8"/>
      <c r="K377" s="18"/>
      <c r="S377" s="8"/>
    </row>
    <row r="378">
      <c r="G378" s="8"/>
      <c r="K378" s="18"/>
      <c r="S378" s="8"/>
    </row>
    <row r="379">
      <c r="G379" s="8"/>
      <c r="K379" s="18"/>
      <c r="S379" s="8"/>
    </row>
    <row r="380">
      <c r="G380" s="8"/>
      <c r="K380" s="18"/>
      <c r="S380" s="8"/>
    </row>
    <row r="381">
      <c r="G381" s="8"/>
      <c r="K381" s="18"/>
      <c r="S381" s="8"/>
    </row>
    <row r="382">
      <c r="G382" s="8"/>
      <c r="K382" s="18"/>
      <c r="S382" s="8"/>
    </row>
    <row r="383">
      <c r="G383" s="8"/>
      <c r="K383" s="18"/>
      <c r="S383" s="8"/>
    </row>
    <row r="384">
      <c r="G384" s="8"/>
      <c r="K384" s="18"/>
      <c r="S384" s="8"/>
    </row>
    <row r="385">
      <c r="G385" s="8"/>
      <c r="K385" s="18"/>
      <c r="S385" s="8"/>
    </row>
    <row r="386">
      <c r="G386" s="8"/>
      <c r="K386" s="18"/>
      <c r="S386" s="8"/>
    </row>
    <row r="387">
      <c r="G387" s="8"/>
      <c r="K387" s="18"/>
      <c r="S387" s="8"/>
    </row>
    <row r="388">
      <c r="G388" s="8"/>
      <c r="K388" s="18"/>
      <c r="S388" s="8"/>
    </row>
    <row r="389">
      <c r="G389" s="8"/>
      <c r="K389" s="18"/>
      <c r="S389" s="8"/>
    </row>
    <row r="390">
      <c r="G390" s="8"/>
      <c r="K390" s="18"/>
      <c r="S390" s="8"/>
    </row>
    <row r="391">
      <c r="G391" s="8"/>
      <c r="K391" s="18"/>
      <c r="S391" s="8"/>
    </row>
    <row r="392">
      <c r="G392" s="8"/>
      <c r="K392" s="18"/>
      <c r="S392" s="8"/>
    </row>
    <row r="393">
      <c r="G393" s="8"/>
      <c r="K393" s="18"/>
      <c r="S393" s="8"/>
    </row>
    <row r="394">
      <c r="G394" s="8"/>
      <c r="K394" s="18"/>
      <c r="S394" s="8"/>
    </row>
    <row r="395">
      <c r="G395" s="8"/>
      <c r="K395" s="18"/>
      <c r="S395" s="8"/>
    </row>
    <row r="396">
      <c r="G396" s="8"/>
      <c r="K396" s="18"/>
      <c r="S396" s="8"/>
    </row>
    <row r="397">
      <c r="G397" s="8"/>
      <c r="K397" s="18"/>
      <c r="S397" s="8"/>
    </row>
    <row r="398">
      <c r="G398" s="8"/>
      <c r="K398" s="18"/>
      <c r="S398" s="8"/>
    </row>
    <row r="399">
      <c r="G399" s="8"/>
      <c r="K399" s="18"/>
      <c r="S399" s="8"/>
    </row>
    <row r="400">
      <c r="G400" s="8"/>
      <c r="K400" s="18"/>
      <c r="S400" s="8"/>
    </row>
    <row r="401">
      <c r="G401" s="8"/>
      <c r="K401" s="18"/>
      <c r="S401" s="8"/>
    </row>
    <row r="402">
      <c r="G402" s="8"/>
      <c r="K402" s="18"/>
      <c r="S402" s="8"/>
    </row>
    <row r="403">
      <c r="G403" s="8"/>
      <c r="K403" s="18"/>
      <c r="S403" s="8"/>
    </row>
    <row r="404">
      <c r="G404" s="8"/>
      <c r="K404" s="18"/>
      <c r="S404" s="8"/>
    </row>
    <row r="405">
      <c r="G405" s="8"/>
      <c r="K405" s="18"/>
      <c r="S405" s="8"/>
    </row>
    <row r="406">
      <c r="G406" s="8"/>
      <c r="K406" s="18"/>
      <c r="S406" s="8"/>
    </row>
    <row r="407">
      <c r="G407" s="8"/>
      <c r="K407" s="18"/>
      <c r="S407" s="8"/>
    </row>
    <row r="408">
      <c r="G408" s="8"/>
      <c r="K408" s="18"/>
      <c r="S408" s="8"/>
    </row>
    <row r="409">
      <c r="G409" s="8"/>
      <c r="K409" s="18"/>
      <c r="S409" s="8"/>
    </row>
    <row r="410">
      <c r="G410" s="8"/>
      <c r="K410" s="18"/>
      <c r="S410" s="8"/>
    </row>
    <row r="411">
      <c r="G411" s="8"/>
      <c r="K411" s="18"/>
      <c r="S411" s="8"/>
    </row>
    <row r="412">
      <c r="G412" s="8"/>
      <c r="K412" s="18"/>
      <c r="S412" s="8"/>
    </row>
    <row r="413">
      <c r="G413" s="8"/>
      <c r="K413" s="18"/>
      <c r="S413" s="8"/>
    </row>
    <row r="414">
      <c r="G414" s="8"/>
      <c r="K414" s="18"/>
      <c r="S414" s="8"/>
    </row>
    <row r="415">
      <c r="G415" s="8"/>
      <c r="K415" s="18"/>
      <c r="S415" s="8"/>
    </row>
    <row r="416">
      <c r="G416" s="8"/>
      <c r="K416" s="18"/>
      <c r="S416" s="8"/>
    </row>
    <row r="417">
      <c r="G417" s="8"/>
      <c r="K417" s="18"/>
      <c r="S417" s="8"/>
    </row>
    <row r="418">
      <c r="G418" s="8"/>
      <c r="K418" s="18"/>
      <c r="S418" s="8"/>
    </row>
    <row r="419">
      <c r="G419" s="8"/>
      <c r="K419" s="18"/>
      <c r="S419" s="8"/>
    </row>
    <row r="420">
      <c r="G420" s="8"/>
      <c r="K420" s="18"/>
      <c r="S420" s="8"/>
    </row>
    <row r="421">
      <c r="G421" s="8"/>
      <c r="K421" s="18"/>
      <c r="S421" s="8"/>
    </row>
    <row r="422">
      <c r="G422" s="8"/>
      <c r="K422" s="18"/>
      <c r="S422" s="8"/>
    </row>
    <row r="423">
      <c r="G423" s="8"/>
      <c r="K423" s="18"/>
      <c r="S423" s="8"/>
    </row>
    <row r="424">
      <c r="G424" s="8"/>
      <c r="K424" s="18"/>
      <c r="S424" s="8"/>
    </row>
    <row r="425">
      <c r="G425" s="8"/>
      <c r="K425" s="18"/>
      <c r="S425" s="8"/>
    </row>
    <row r="426">
      <c r="G426" s="8"/>
      <c r="K426" s="18"/>
      <c r="S426" s="8"/>
    </row>
    <row r="427">
      <c r="G427" s="8"/>
      <c r="K427" s="18"/>
      <c r="S427" s="8"/>
    </row>
    <row r="428">
      <c r="G428" s="8"/>
      <c r="K428" s="18"/>
      <c r="S428" s="8"/>
    </row>
    <row r="429">
      <c r="G429" s="8"/>
      <c r="K429" s="18"/>
      <c r="S429" s="8"/>
    </row>
    <row r="430">
      <c r="G430" s="8"/>
      <c r="K430" s="18"/>
      <c r="S430" s="8"/>
    </row>
    <row r="431">
      <c r="G431" s="8"/>
      <c r="K431" s="18"/>
      <c r="S431" s="8"/>
    </row>
    <row r="432">
      <c r="G432" s="8"/>
      <c r="K432" s="18"/>
      <c r="S432" s="8"/>
    </row>
    <row r="433">
      <c r="G433" s="8"/>
      <c r="K433" s="18"/>
      <c r="S433" s="8"/>
    </row>
    <row r="434">
      <c r="G434" s="8"/>
      <c r="K434" s="18"/>
      <c r="S434" s="8"/>
    </row>
    <row r="435">
      <c r="G435" s="8"/>
      <c r="K435" s="18"/>
      <c r="S435" s="8"/>
    </row>
    <row r="436">
      <c r="G436" s="8"/>
      <c r="K436" s="18"/>
      <c r="S436" s="8"/>
    </row>
    <row r="437">
      <c r="G437" s="8"/>
      <c r="K437" s="18"/>
      <c r="S437" s="8"/>
    </row>
    <row r="438">
      <c r="G438" s="8"/>
      <c r="K438" s="18"/>
      <c r="S438" s="8"/>
    </row>
    <row r="439">
      <c r="G439" s="8"/>
      <c r="K439" s="18"/>
      <c r="S439" s="8"/>
    </row>
    <row r="440">
      <c r="G440" s="8"/>
      <c r="K440" s="18"/>
      <c r="S440" s="8"/>
    </row>
    <row r="441">
      <c r="G441" s="8"/>
      <c r="K441" s="18"/>
      <c r="S441" s="8"/>
    </row>
    <row r="442">
      <c r="G442" s="8"/>
      <c r="K442" s="18"/>
      <c r="S442" s="8"/>
    </row>
    <row r="443">
      <c r="G443" s="8"/>
      <c r="K443" s="18"/>
      <c r="S443" s="8"/>
    </row>
    <row r="444">
      <c r="G444" s="8"/>
      <c r="K444" s="18"/>
      <c r="S444" s="8"/>
    </row>
    <row r="445">
      <c r="G445" s="8"/>
      <c r="K445" s="18"/>
      <c r="S445" s="8"/>
    </row>
    <row r="446">
      <c r="G446" s="8"/>
      <c r="K446" s="18"/>
      <c r="S446" s="8"/>
    </row>
    <row r="447">
      <c r="G447" s="8"/>
      <c r="K447" s="18"/>
      <c r="S447" s="8"/>
    </row>
    <row r="448">
      <c r="G448" s="8"/>
      <c r="K448" s="18"/>
      <c r="S448" s="8"/>
    </row>
    <row r="449">
      <c r="G449" s="8"/>
      <c r="K449" s="18"/>
      <c r="S449" s="8"/>
    </row>
    <row r="450">
      <c r="G450" s="8"/>
      <c r="K450" s="18"/>
      <c r="S450" s="8"/>
    </row>
    <row r="451">
      <c r="G451" s="8"/>
      <c r="K451" s="18"/>
      <c r="S451" s="8"/>
    </row>
    <row r="452">
      <c r="G452" s="8"/>
      <c r="K452" s="18"/>
      <c r="S452" s="8"/>
    </row>
    <row r="453">
      <c r="G453" s="8"/>
      <c r="K453" s="18"/>
      <c r="S453" s="8"/>
    </row>
    <row r="454">
      <c r="G454" s="8"/>
      <c r="K454" s="18"/>
      <c r="S454" s="8"/>
    </row>
    <row r="455">
      <c r="G455" s="8"/>
      <c r="K455" s="18"/>
      <c r="S455" s="8"/>
    </row>
    <row r="456">
      <c r="G456" s="8"/>
      <c r="K456" s="18"/>
      <c r="S456" s="8"/>
    </row>
    <row r="457">
      <c r="G457" s="8"/>
      <c r="K457" s="18"/>
      <c r="S457" s="8"/>
    </row>
    <row r="458">
      <c r="G458" s="8"/>
      <c r="K458" s="18"/>
      <c r="S458" s="8"/>
    </row>
    <row r="459">
      <c r="G459" s="8"/>
      <c r="K459" s="18"/>
      <c r="S459" s="8"/>
    </row>
    <row r="460">
      <c r="G460" s="8"/>
      <c r="K460" s="18"/>
      <c r="S460" s="8"/>
    </row>
    <row r="461">
      <c r="G461" s="8"/>
      <c r="K461" s="18"/>
      <c r="S461" s="8"/>
    </row>
    <row r="462">
      <c r="G462" s="8"/>
      <c r="K462" s="18"/>
      <c r="S462" s="8"/>
    </row>
    <row r="463">
      <c r="G463" s="8"/>
      <c r="K463" s="18"/>
      <c r="S463" s="8"/>
    </row>
    <row r="464">
      <c r="G464" s="8"/>
      <c r="K464" s="18"/>
      <c r="S464" s="8"/>
    </row>
    <row r="465">
      <c r="G465" s="8"/>
      <c r="K465" s="18"/>
      <c r="S465" s="8"/>
    </row>
    <row r="466">
      <c r="G466" s="8"/>
      <c r="K466" s="18"/>
      <c r="S466" s="8"/>
    </row>
    <row r="467">
      <c r="G467" s="8"/>
      <c r="K467" s="18"/>
      <c r="S467" s="8"/>
    </row>
    <row r="468">
      <c r="G468" s="8"/>
      <c r="K468" s="18"/>
      <c r="S468" s="8"/>
    </row>
    <row r="469">
      <c r="G469" s="8"/>
      <c r="K469" s="18"/>
      <c r="S469" s="8"/>
    </row>
    <row r="470">
      <c r="G470" s="8"/>
      <c r="K470" s="18"/>
      <c r="S470" s="8"/>
    </row>
    <row r="471">
      <c r="G471" s="8"/>
      <c r="K471" s="18"/>
      <c r="S471" s="8"/>
    </row>
    <row r="472">
      <c r="G472" s="8"/>
      <c r="K472" s="18"/>
      <c r="S472" s="8"/>
    </row>
    <row r="473">
      <c r="G473" s="8"/>
      <c r="K473" s="18"/>
      <c r="S473" s="8"/>
    </row>
    <row r="474">
      <c r="G474" s="8"/>
      <c r="K474" s="18"/>
      <c r="S474" s="8"/>
    </row>
    <row r="475">
      <c r="G475" s="8"/>
      <c r="K475" s="18"/>
      <c r="S475" s="8"/>
    </row>
    <row r="476">
      <c r="G476" s="8"/>
      <c r="K476" s="18"/>
      <c r="S476" s="8"/>
    </row>
    <row r="477">
      <c r="G477" s="8"/>
      <c r="K477" s="18"/>
      <c r="S477" s="8"/>
    </row>
    <row r="478">
      <c r="G478" s="8"/>
      <c r="K478" s="18"/>
      <c r="S478" s="8"/>
    </row>
    <row r="479">
      <c r="G479" s="8"/>
      <c r="K479" s="18"/>
      <c r="S479" s="8"/>
    </row>
    <row r="480">
      <c r="G480" s="8"/>
      <c r="K480" s="18"/>
      <c r="S480" s="8"/>
    </row>
    <row r="481">
      <c r="G481" s="8"/>
      <c r="K481" s="18"/>
      <c r="S481" s="8"/>
    </row>
    <row r="482">
      <c r="G482" s="8"/>
      <c r="K482" s="18"/>
      <c r="S482" s="8"/>
    </row>
    <row r="483">
      <c r="G483" s="8"/>
      <c r="K483" s="18"/>
      <c r="S483" s="8"/>
    </row>
    <row r="484">
      <c r="G484" s="8"/>
      <c r="K484" s="18"/>
      <c r="S484" s="8"/>
    </row>
    <row r="485">
      <c r="G485" s="8"/>
      <c r="K485" s="18"/>
      <c r="S485" s="8"/>
    </row>
    <row r="486">
      <c r="G486" s="8"/>
      <c r="K486" s="18"/>
      <c r="S486" s="8"/>
    </row>
    <row r="487">
      <c r="G487" s="8"/>
      <c r="K487" s="18"/>
      <c r="S487" s="8"/>
    </row>
    <row r="488">
      <c r="G488" s="8"/>
      <c r="K488" s="18"/>
      <c r="S488" s="8"/>
    </row>
    <row r="489">
      <c r="G489" s="8"/>
      <c r="K489" s="18"/>
      <c r="S489" s="8"/>
    </row>
    <row r="490">
      <c r="G490" s="8"/>
      <c r="K490" s="18"/>
      <c r="S490" s="8"/>
    </row>
    <row r="491">
      <c r="G491" s="8"/>
      <c r="K491" s="18"/>
      <c r="S491" s="8"/>
    </row>
    <row r="492">
      <c r="G492" s="8"/>
      <c r="K492" s="18"/>
      <c r="S492" s="8"/>
    </row>
    <row r="493">
      <c r="G493" s="8"/>
      <c r="K493" s="18"/>
      <c r="S493" s="8"/>
    </row>
    <row r="494">
      <c r="G494" s="8"/>
      <c r="K494" s="18"/>
      <c r="S494" s="8"/>
    </row>
    <row r="495">
      <c r="G495" s="8"/>
      <c r="K495" s="18"/>
      <c r="S495" s="8"/>
    </row>
    <row r="496">
      <c r="G496" s="8"/>
      <c r="K496" s="18"/>
      <c r="S496" s="8"/>
    </row>
    <row r="497">
      <c r="G497" s="8"/>
      <c r="K497" s="18"/>
      <c r="S497" s="8"/>
    </row>
    <row r="498">
      <c r="G498" s="8"/>
      <c r="K498" s="18"/>
      <c r="S498" s="8"/>
    </row>
    <row r="499">
      <c r="G499" s="8"/>
      <c r="K499" s="18"/>
      <c r="S499" s="8"/>
    </row>
    <row r="500">
      <c r="G500" s="8"/>
      <c r="K500" s="18"/>
      <c r="S500" s="8"/>
    </row>
    <row r="501">
      <c r="G501" s="8"/>
      <c r="K501" s="18"/>
      <c r="S501" s="8"/>
    </row>
    <row r="502">
      <c r="G502" s="8"/>
      <c r="K502" s="18"/>
      <c r="S502" s="8"/>
    </row>
    <row r="503">
      <c r="G503" s="8"/>
      <c r="K503" s="18"/>
      <c r="S503" s="8"/>
    </row>
    <row r="504">
      <c r="G504" s="8"/>
      <c r="K504" s="18"/>
      <c r="S504" s="8"/>
    </row>
    <row r="505">
      <c r="G505" s="8"/>
      <c r="K505" s="18"/>
      <c r="S505" s="8"/>
    </row>
    <row r="506">
      <c r="G506" s="8"/>
      <c r="K506" s="18"/>
      <c r="S506" s="8"/>
    </row>
    <row r="507">
      <c r="G507" s="8"/>
      <c r="K507" s="18"/>
      <c r="S507" s="8"/>
    </row>
    <row r="508">
      <c r="G508" s="8"/>
      <c r="K508" s="18"/>
      <c r="S508" s="8"/>
    </row>
    <row r="509">
      <c r="G509" s="8"/>
      <c r="K509" s="18"/>
      <c r="S509" s="8"/>
    </row>
    <row r="510">
      <c r="G510" s="8"/>
      <c r="K510" s="18"/>
      <c r="S510" s="8"/>
    </row>
    <row r="511">
      <c r="G511" s="8"/>
      <c r="K511" s="18"/>
      <c r="S511" s="8"/>
    </row>
    <row r="512">
      <c r="G512" s="8"/>
      <c r="K512" s="18"/>
      <c r="S512" s="8"/>
    </row>
    <row r="513">
      <c r="G513" s="8"/>
      <c r="K513" s="18"/>
      <c r="S513" s="8"/>
    </row>
    <row r="514">
      <c r="G514" s="8"/>
      <c r="K514" s="18"/>
      <c r="S514" s="8"/>
    </row>
    <row r="515">
      <c r="G515" s="8"/>
      <c r="K515" s="18"/>
      <c r="S515" s="8"/>
    </row>
    <row r="516">
      <c r="G516" s="8"/>
      <c r="K516" s="18"/>
      <c r="S516" s="8"/>
    </row>
    <row r="517">
      <c r="G517" s="8"/>
      <c r="K517" s="18"/>
      <c r="S517" s="8"/>
    </row>
    <row r="518">
      <c r="G518" s="8"/>
      <c r="K518" s="18"/>
      <c r="S518" s="8"/>
    </row>
    <row r="519">
      <c r="G519" s="8"/>
      <c r="K519" s="18"/>
      <c r="S519" s="8"/>
    </row>
    <row r="520">
      <c r="G520" s="8"/>
      <c r="K520" s="18"/>
      <c r="S520" s="8"/>
    </row>
    <row r="521">
      <c r="G521" s="8"/>
      <c r="K521" s="18"/>
      <c r="S521" s="8"/>
    </row>
    <row r="522">
      <c r="G522" s="8"/>
      <c r="K522" s="18"/>
      <c r="S522" s="8"/>
    </row>
    <row r="523">
      <c r="G523" s="8"/>
      <c r="K523" s="18"/>
      <c r="S523" s="8"/>
    </row>
    <row r="524">
      <c r="G524" s="8"/>
      <c r="K524" s="18"/>
      <c r="S524" s="8"/>
    </row>
    <row r="525">
      <c r="G525" s="8"/>
      <c r="K525" s="18"/>
      <c r="S525" s="8"/>
    </row>
    <row r="526">
      <c r="G526" s="8"/>
      <c r="K526" s="18"/>
      <c r="S526" s="8"/>
    </row>
    <row r="527">
      <c r="G527" s="8"/>
      <c r="K527" s="18"/>
      <c r="S527" s="8"/>
    </row>
    <row r="528">
      <c r="G528" s="8"/>
      <c r="K528" s="18"/>
      <c r="S528" s="8"/>
    </row>
    <row r="529">
      <c r="G529" s="8"/>
      <c r="K529" s="18"/>
      <c r="S529" s="8"/>
    </row>
    <row r="530">
      <c r="G530" s="8"/>
      <c r="K530" s="18"/>
      <c r="S530" s="8"/>
    </row>
    <row r="531">
      <c r="G531" s="8"/>
      <c r="K531" s="18"/>
      <c r="S531" s="8"/>
    </row>
    <row r="532">
      <c r="G532" s="8"/>
      <c r="K532" s="18"/>
      <c r="S532" s="8"/>
    </row>
    <row r="533">
      <c r="G533" s="8"/>
      <c r="K533" s="18"/>
      <c r="S533" s="8"/>
    </row>
    <row r="534">
      <c r="G534" s="8"/>
      <c r="K534" s="18"/>
      <c r="S534" s="8"/>
    </row>
    <row r="535">
      <c r="G535" s="8"/>
      <c r="K535" s="18"/>
      <c r="S535" s="8"/>
    </row>
    <row r="536">
      <c r="G536" s="8"/>
      <c r="K536" s="18"/>
      <c r="S536" s="8"/>
    </row>
    <row r="537">
      <c r="G537" s="8"/>
      <c r="K537" s="18"/>
      <c r="S537" s="8"/>
    </row>
    <row r="538">
      <c r="G538" s="8"/>
      <c r="K538" s="18"/>
      <c r="S538" s="8"/>
    </row>
    <row r="539">
      <c r="G539" s="8"/>
      <c r="K539" s="18"/>
      <c r="S539" s="8"/>
    </row>
    <row r="540">
      <c r="G540" s="8"/>
      <c r="K540" s="18"/>
      <c r="S540" s="8"/>
    </row>
    <row r="541">
      <c r="G541" s="8"/>
      <c r="K541" s="18"/>
      <c r="S541" s="8"/>
    </row>
    <row r="542">
      <c r="G542" s="8"/>
      <c r="K542" s="18"/>
      <c r="S542" s="8"/>
    </row>
    <row r="543">
      <c r="G543" s="8"/>
      <c r="K543" s="18"/>
      <c r="S543" s="8"/>
    </row>
    <row r="544">
      <c r="G544" s="8"/>
      <c r="K544" s="18"/>
      <c r="S544" s="8"/>
    </row>
    <row r="545">
      <c r="G545" s="8"/>
      <c r="K545" s="18"/>
      <c r="S545" s="8"/>
    </row>
    <row r="546">
      <c r="G546" s="8"/>
      <c r="K546" s="18"/>
      <c r="S546" s="8"/>
    </row>
    <row r="547">
      <c r="G547" s="8"/>
      <c r="K547" s="18"/>
      <c r="S547" s="8"/>
    </row>
    <row r="548">
      <c r="G548" s="8"/>
      <c r="K548" s="18"/>
      <c r="S548" s="8"/>
    </row>
    <row r="549">
      <c r="G549" s="8"/>
      <c r="K549" s="18"/>
      <c r="S549" s="8"/>
    </row>
    <row r="550">
      <c r="G550" s="8"/>
      <c r="K550" s="18"/>
      <c r="S550" s="8"/>
    </row>
    <row r="551">
      <c r="G551" s="8"/>
      <c r="K551" s="18"/>
      <c r="S551" s="8"/>
    </row>
    <row r="552">
      <c r="G552" s="8"/>
      <c r="K552" s="18"/>
      <c r="S552" s="8"/>
    </row>
    <row r="553">
      <c r="G553" s="8"/>
      <c r="K553" s="18"/>
      <c r="S553" s="8"/>
    </row>
    <row r="554">
      <c r="G554" s="8"/>
      <c r="K554" s="18"/>
      <c r="S554" s="8"/>
    </row>
    <row r="555">
      <c r="G555" s="8"/>
      <c r="K555" s="18"/>
      <c r="S555" s="8"/>
    </row>
    <row r="556">
      <c r="G556" s="8"/>
      <c r="K556" s="18"/>
      <c r="S556" s="8"/>
    </row>
    <row r="557">
      <c r="G557" s="8"/>
      <c r="K557" s="18"/>
      <c r="S557" s="8"/>
    </row>
    <row r="558">
      <c r="G558" s="8"/>
      <c r="K558" s="18"/>
      <c r="S558" s="8"/>
    </row>
    <row r="559">
      <c r="G559" s="8"/>
      <c r="K559" s="18"/>
      <c r="S559" s="8"/>
    </row>
    <row r="560">
      <c r="G560" s="8"/>
      <c r="K560" s="18"/>
      <c r="S560" s="8"/>
    </row>
    <row r="561">
      <c r="G561" s="8"/>
      <c r="K561" s="18"/>
      <c r="S561" s="8"/>
    </row>
    <row r="562">
      <c r="G562" s="8"/>
      <c r="K562" s="18"/>
      <c r="S562" s="8"/>
    </row>
    <row r="563">
      <c r="G563" s="8"/>
      <c r="K563" s="18"/>
      <c r="S563" s="8"/>
    </row>
    <row r="564">
      <c r="G564" s="8"/>
      <c r="K564" s="18"/>
      <c r="S564" s="8"/>
    </row>
    <row r="565">
      <c r="G565" s="8"/>
      <c r="K565" s="18"/>
      <c r="S565" s="8"/>
    </row>
    <row r="566">
      <c r="G566" s="8"/>
      <c r="K566" s="18"/>
      <c r="S566" s="8"/>
    </row>
    <row r="567">
      <c r="G567" s="8"/>
      <c r="K567" s="18"/>
      <c r="S567" s="8"/>
    </row>
    <row r="568">
      <c r="G568" s="8"/>
      <c r="K568" s="18"/>
      <c r="S568" s="8"/>
    </row>
    <row r="569">
      <c r="G569" s="8"/>
      <c r="K569" s="18"/>
      <c r="S569" s="8"/>
    </row>
    <row r="570">
      <c r="G570" s="8"/>
      <c r="K570" s="18"/>
      <c r="S570" s="8"/>
    </row>
    <row r="571">
      <c r="G571" s="8"/>
      <c r="K571" s="18"/>
      <c r="S571" s="8"/>
    </row>
    <row r="572">
      <c r="G572" s="8"/>
      <c r="K572" s="18"/>
      <c r="S572" s="8"/>
    </row>
    <row r="573">
      <c r="G573" s="8"/>
      <c r="K573" s="18"/>
      <c r="S573" s="8"/>
    </row>
    <row r="574">
      <c r="G574" s="8"/>
      <c r="K574" s="18"/>
      <c r="S574" s="8"/>
    </row>
    <row r="575">
      <c r="G575" s="8"/>
      <c r="K575" s="18"/>
      <c r="S575" s="8"/>
    </row>
    <row r="576">
      <c r="G576" s="8"/>
      <c r="K576" s="18"/>
      <c r="S576" s="8"/>
    </row>
    <row r="577">
      <c r="G577" s="8"/>
      <c r="K577" s="18"/>
      <c r="S577" s="8"/>
    </row>
    <row r="578">
      <c r="G578" s="8"/>
      <c r="K578" s="18"/>
      <c r="S578" s="8"/>
    </row>
    <row r="579">
      <c r="G579" s="8"/>
      <c r="K579" s="18"/>
      <c r="S579" s="8"/>
    </row>
    <row r="580">
      <c r="G580" s="8"/>
      <c r="K580" s="18"/>
      <c r="S580" s="8"/>
    </row>
    <row r="581">
      <c r="G581" s="8"/>
      <c r="K581" s="18"/>
      <c r="S581" s="8"/>
    </row>
    <row r="582">
      <c r="G582" s="8"/>
      <c r="K582" s="18"/>
      <c r="S582" s="8"/>
    </row>
    <row r="583">
      <c r="G583" s="8"/>
      <c r="K583" s="18"/>
      <c r="S583" s="8"/>
    </row>
    <row r="584">
      <c r="G584" s="8"/>
      <c r="K584" s="18"/>
      <c r="S584" s="8"/>
    </row>
    <row r="585">
      <c r="G585" s="8"/>
      <c r="K585" s="18"/>
      <c r="S585" s="8"/>
    </row>
    <row r="586">
      <c r="G586" s="8"/>
      <c r="K586" s="18"/>
      <c r="S586" s="8"/>
    </row>
    <row r="587">
      <c r="G587" s="8"/>
      <c r="K587" s="18"/>
      <c r="S587" s="8"/>
    </row>
    <row r="588">
      <c r="G588" s="8"/>
      <c r="K588" s="18"/>
      <c r="S588" s="8"/>
    </row>
    <row r="589">
      <c r="G589" s="8"/>
      <c r="K589" s="18"/>
      <c r="S589" s="8"/>
    </row>
    <row r="590">
      <c r="G590" s="8"/>
      <c r="K590" s="18"/>
      <c r="S590" s="8"/>
    </row>
    <row r="591">
      <c r="G591" s="8"/>
      <c r="K591" s="18"/>
      <c r="S591" s="8"/>
    </row>
    <row r="592">
      <c r="G592" s="8"/>
      <c r="K592" s="18"/>
      <c r="S592" s="8"/>
    </row>
    <row r="593">
      <c r="G593" s="8"/>
      <c r="K593" s="18"/>
      <c r="S593" s="8"/>
    </row>
    <row r="594">
      <c r="G594" s="8"/>
      <c r="K594" s="18"/>
      <c r="S594" s="8"/>
    </row>
    <row r="595">
      <c r="G595" s="8"/>
      <c r="K595" s="18"/>
      <c r="S595" s="8"/>
    </row>
    <row r="596">
      <c r="G596" s="8"/>
      <c r="K596" s="18"/>
      <c r="S596" s="8"/>
    </row>
    <row r="597">
      <c r="G597" s="8"/>
      <c r="K597" s="18"/>
      <c r="S597" s="8"/>
    </row>
    <row r="598">
      <c r="G598" s="8"/>
      <c r="K598" s="18"/>
      <c r="S598" s="8"/>
    </row>
    <row r="599">
      <c r="G599" s="8"/>
      <c r="K599" s="18"/>
      <c r="S599" s="8"/>
    </row>
    <row r="600">
      <c r="G600" s="8"/>
      <c r="K600" s="18"/>
      <c r="S600" s="8"/>
    </row>
    <row r="601">
      <c r="G601" s="8"/>
      <c r="K601" s="18"/>
      <c r="S601" s="8"/>
    </row>
    <row r="602">
      <c r="G602" s="8"/>
      <c r="K602" s="18"/>
      <c r="S602" s="8"/>
    </row>
    <row r="603">
      <c r="G603" s="8"/>
      <c r="K603" s="18"/>
      <c r="S603" s="8"/>
    </row>
    <row r="604">
      <c r="G604" s="8"/>
      <c r="K604" s="18"/>
      <c r="S604" s="8"/>
    </row>
    <row r="605">
      <c r="G605" s="8"/>
      <c r="K605" s="18"/>
      <c r="S605" s="8"/>
    </row>
    <row r="606">
      <c r="G606" s="8"/>
      <c r="K606" s="18"/>
      <c r="S606" s="8"/>
    </row>
    <row r="607">
      <c r="G607" s="8"/>
      <c r="K607" s="18"/>
      <c r="S607" s="8"/>
    </row>
    <row r="608">
      <c r="G608" s="8"/>
      <c r="K608" s="18"/>
      <c r="S608" s="8"/>
    </row>
    <row r="609">
      <c r="G609" s="8"/>
      <c r="K609" s="18"/>
      <c r="S609" s="8"/>
    </row>
    <row r="610">
      <c r="G610" s="8"/>
      <c r="K610" s="18"/>
      <c r="S610" s="8"/>
    </row>
    <row r="611">
      <c r="G611" s="8"/>
      <c r="K611" s="18"/>
      <c r="S611" s="8"/>
    </row>
    <row r="612">
      <c r="G612" s="8"/>
      <c r="K612" s="18"/>
      <c r="S612" s="8"/>
    </row>
    <row r="613">
      <c r="G613" s="8"/>
      <c r="K613" s="18"/>
      <c r="S613" s="8"/>
    </row>
    <row r="614">
      <c r="G614" s="8"/>
      <c r="K614" s="18"/>
      <c r="S614" s="8"/>
    </row>
    <row r="615">
      <c r="G615" s="8"/>
      <c r="K615" s="18"/>
      <c r="S615" s="8"/>
    </row>
    <row r="616">
      <c r="G616" s="8"/>
      <c r="K616" s="18"/>
      <c r="S616" s="8"/>
    </row>
    <row r="617">
      <c r="G617" s="8"/>
      <c r="K617" s="18"/>
      <c r="S617" s="8"/>
    </row>
    <row r="618">
      <c r="G618" s="8"/>
      <c r="K618" s="18"/>
      <c r="S618" s="8"/>
    </row>
    <row r="619">
      <c r="G619" s="8"/>
      <c r="K619" s="18"/>
      <c r="S619" s="8"/>
    </row>
    <row r="620">
      <c r="G620" s="8"/>
      <c r="K620" s="18"/>
      <c r="S620" s="8"/>
    </row>
    <row r="621">
      <c r="G621" s="8"/>
      <c r="K621" s="18"/>
      <c r="S621" s="8"/>
    </row>
    <row r="622">
      <c r="G622" s="8"/>
      <c r="K622" s="18"/>
      <c r="S622" s="8"/>
    </row>
    <row r="623">
      <c r="G623" s="8"/>
      <c r="K623" s="18"/>
      <c r="S623" s="8"/>
    </row>
    <row r="624">
      <c r="G624" s="8"/>
      <c r="K624" s="18"/>
      <c r="S624" s="8"/>
    </row>
    <row r="625">
      <c r="G625" s="8"/>
      <c r="K625" s="18"/>
      <c r="S625" s="8"/>
    </row>
    <row r="626">
      <c r="G626" s="8"/>
      <c r="K626" s="18"/>
      <c r="S626" s="8"/>
    </row>
    <row r="627">
      <c r="G627" s="8"/>
      <c r="K627" s="18"/>
      <c r="S627" s="8"/>
    </row>
    <row r="628">
      <c r="G628" s="8"/>
      <c r="K628" s="18"/>
      <c r="S628" s="8"/>
    </row>
    <row r="629">
      <c r="G629" s="8"/>
      <c r="K629" s="18"/>
      <c r="S629" s="8"/>
    </row>
    <row r="630">
      <c r="G630" s="8"/>
      <c r="K630" s="18"/>
      <c r="S630" s="8"/>
    </row>
    <row r="631">
      <c r="G631" s="8"/>
      <c r="K631" s="18"/>
      <c r="S631" s="8"/>
    </row>
    <row r="632">
      <c r="G632" s="8"/>
      <c r="K632" s="18"/>
      <c r="S632" s="8"/>
    </row>
    <row r="633">
      <c r="G633" s="8"/>
      <c r="K633" s="18"/>
      <c r="S633" s="8"/>
    </row>
    <row r="634">
      <c r="G634" s="8"/>
      <c r="K634" s="18"/>
      <c r="S634" s="8"/>
    </row>
    <row r="635">
      <c r="G635" s="8"/>
      <c r="K635" s="18"/>
      <c r="S635" s="8"/>
    </row>
    <row r="636">
      <c r="G636" s="8"/>
      <c r="K636" s="18"/>
      <c r="S636" s="8"/>
    </row>
    <row r="637">
      <c r="G637" s="8"/>
      <c r="K637" s="18"/>
      <c r="S637" s="8"/>
    </row>
    <row r="638">
      <c r="G638" s="8"/>
      <c r="K638" s="18"/>
      <c r="S638" s="8"/>
    </row>
    <row r="639">
      <c r="G639" s="8"/>
      <c r="K639" s="18"/>
      <c r="S639" s="8"/>
    </row>
    <row r="640">
      <c r="G640" s="8"/>
      <c r="K640" s="18"/>
      <c r="S640" s="8"/>
    </row>
    <row r="641">
      <c r="G641" s="8"/>
      <c r="K641" s="18"/>
      <c r="S641" s="8"/>
    </row>
    <row r="642">
      <c r="G642" s="8"/>
      <c r="K642" s="18"/>
      <c r="S642" s="8"/>
    </row>
    <row r="643">
      <c r="G643" s="8"/>
      <c r="K643" s="18"/>
      <c r="S643" s="8"/>
    </row>
    <row r="644">
      <c r="G644" s="8"/>
      <c r="K644" s="18"/>
      <c r="S644" s="8"/>
    </row>
    <row r="645">
      <c r="G645" s="8"/>
      <c r="K645" s="18"/>
      <c r="S645" s="8"/>
    </row>
    <row r="646">
      <c r="G646" s="8"/>
      <c r="K646" s="18"/>
      <c r="S646" s="8"/>
    </row>
    <row r="647">
      <c r="G647" s="8"/>
      <c r="K647" s="18"/>
      <c r="S647" s="8"/>
    </row>
    <row r="648">
      <c r="G648" s="8"/>
      <c r="K648" s="18"/>
      <c r="S648" s="8"/>
    </row>
    <row r="649">
      <c r="G649" s="8"/>
      <c r="K649" s="18"/>
      <c r="S649" s="8"/>
    </row>
    <row r="650">
      <c r="G650" s="8"/>
      <c r="K650" s="18"/>
      <c r="S650" s="8"/>
    </row>
    <row r="651">
      <c r="G651" s="8"/>
      <c r="K651" s="18"/>
      <c r="S651" s="8"/>
    </row>
    <row r="652">
      <c r="G652" s="8"/>
      <c r="K652" s="18"/>
      <c r="S652" s="8"/>
    </row>
    <row r="653">
      <c r="G653" s="8"/>
      <c r="K653" s="18"/>
      <c r="S653" s="8"/>
    </row>
    <row r="654">
      <c r="G654" s="8"/>
      <c r="K654" s="18"/>
      <c r="S654" s="8"/>
    </row>
    <row r="655">
      <c r="G655" s="8"/>
      <c r="K655" s="18"/>
      <c r="S655" s="8"/>
    </row>
    <row r="656">
      <c r="G656" s="8"/>
      <c r="K656" s="18"/>
      <c r="S656" s="8"/>
    </row>
    <row r="657">
      <c r="G657" s="8"/>
      <c r="K657" s="18"/>
      <c r="S657" s="8"/>
    </row>
    <row r="658">
      <c r="G658" s="8"/>
      <c r="K658" s="18"/>
      <c r="S658" s="8"/>
    </row>
    <row r="659">
      <c r="G659" s="8"/>
      <c r="K659" s="18"/>
      <c r="S659" s="8"/>
    </row>
    <row r="660">
      <c r="G660" s="8"/>
      <c r="K660" s="18"/>
      <c r="S660" s="8"/>
    </row>
    <row r="661">
      <c r="G661" s="8"/>
      <c r="K661" s="18"/>
      <c r="S661" s="8"/>
    </row>
    <row r="662">
      <c r="G662" s="8"/>
      <c r="K662" s="18"/>
      <c r="S662" s="8"/>
    </row>
    <row r="663">
      <c r="G663" s="8"/>
      <c r="K663" s="18"/>
      <c r="S663" s="8"/>
    </row>
    <row r="664">
      <c r="G664" s="8"/>
      <c r="K664" s="18"/>
      <c r="S664" s="8"/>
    </row>
    <row r="665">
      <c r="G665" s="8"/>
      <c r="K665" s="18"/>
      <c r="S665" s="8"/>
    </row>
    <row r="666">
      <c r="G666" s="8"/>
      <c r="K666" s="18"/>
      <c r="S666" s="8"/>
    </row>
    <row r="667">
      <c r="G667" s="8"/>
      <c r="K667" s="18"/>
      <c r="S667" s="8"/>
    </row>
    <row r="668">
      <c r="G668" s="8"/>
      <c r="K668" s="18"/>
      <c r="S668" s="8"/>
    </row>
    <row r="669">
      <c r="G669" s="8"/>
      <c r="K669" s="18"/>
      <c r="S669" s="8"/>
    </row>
    <row r="670">
      <c r="G670" s="8"/>
      <c r="K670" s="18"/>
      <c r="S670" s="8"/>
    </row>
    <row r="671">
      <c r="G671" s="8"/>
      <c r="K671" s="18"/>
      <c r="S671" s="8"/>
    </row>
    <row r="672">
      <c r="G672" s="8"/>
      <c r="K672" s="18"/>
      <c r="S672" s="8"/>
    </row>
    <row r="673">
      <c r="G673" s="8"/>
      <c r="K673" s="18"/>
      <c r="S673" s="8"/>
    </row>
    <row r="674">
      <c r="G674" s="8"/>
      <c r="K674" s="18"/>
      <c r="S674" s="8"/>
    </row>
    <row r="675">
      <c r="G675" s="8"/>
      <c r="K675" s="18"/>
      <c r="S675" s="8"/>
    </row>
    <row r="676">
      <c r="G676" s="8"/>
      <c r="K676" s="18"/>
      <c r="S676" s="8"/>
    </row>
    <row r="677">
      <c r="G677" s="8"/>
      <c r="K677" s="18"/>
      <c r="S677" s="8"/>
    </row>
    <row r="678">
      <c r="G678" s="8"/>
      <c r="K678" s="18"/>
      <c r="S678" s="8"/>
    </row>
    <row r="679">
      <c r="G679" s="8"/>
      <c r="K679" s="18"/>
      <c r="S679" s="8"/>
    </row>
    <row r="680">
      <c r="G680" s="8"/>
      <c r="K680" s="18"/>
      <c r="S680" s="8"/>
    </row>
    <row r="681">
      <c r="G681" s="8"/>
      <c r="K681" s="18"/>
      <c r="S681" s="8"/>
    </row>
    <row r="682">
      <c r="G682" s="8"/>
      <c r="K682" s="18"/>
      <c r="S682" s="8"/>
    </row>
    <row r="683">
      <c r="G683" s="8"/>
      <c r="K683" s="18"/>
      <c r="S683" s="8"/>
    </row>
    <row r="684">
      <c r="G684" s="8"/>
      <c r="K684" s="18"/>
      <c r="S684" s="8"/>
    </row>
    <row r="685">
      <c r="G685" s="8"/>
      <c r="K685" s="18"/>
      <c r="S685" s="8"/>
    </row>
    <row r="686">
      <c r="G686" s="8"/>
      <c r="K686" s="18"/>
      <c r="S686" s="8"/>
    </row>
    <row r="687">
      <c r="G687" s="8"/>
      <c r="K687" s="18"/>
      <c r="S687" s="8"/>
    </row>
    <row r="688">
      <c r="G688" s="8"/>
      <c r="K688" s="18"/>
      <c r="S688" s="8"/>
    </row>
    <row r="689">
      <c r="G689" s="8"/>
      <c r="K689" s="18"/>
      <c r="S689" s="8"/>
    </row>
    <row r="690">
      <c r="G690" s="8"/>
      <c r="K690" s="18"/>
      <c r="S690" s="8"/>
    </row>
    <row r="691">
      <c r="G691" s="8"/>
      <c r="K691" s="18"/>
      <c r="S691" s="8"/>
    </row>
    <row r="692">
      <c r="G692" s="8"/>
      <c r="K692" s="18"/>
      <c r="S692" s="8"/>
    </row>
    <row r="693">
      <c r="G693" s="8"/>
      <c r="K693" s="18"/>
      <c r="S693" s="8"/>
    </row>
    <row r="694">
      <c r="G694" s="8"/>
      <c r="K694" s="18"/>
      <c r="S694" s="8"/>
    </row>
    <row r="695">
      <c r="G695" s="8"/>
      <c r="K695" s="18"/>
      <c r="S695" s="8"/>
    </row>
    <row r="696">
      <c r="G696" s="8"/>
      <c r="K696" s="18"/>
      <c r="S696" s="8"/>
    </row>
    <row r="697">
      <c r="G697" s="8"/>
      <c r="K697" s="18"/>
      <c r="S697" s="8"/>
    </row>
    <row r="698">
      <c r="G698" s="8"/>
      <c r="K698" s="18"/>
      <c r="S698" s="8"/>
    </row>
    <row r="699">
      <c r="G699" s="8"/>
      <c r="K699" s="18"/>
      <c r="S699" s="8"/>
    </row>
    <row r="700">
      <c r="G700" s="8"/>
      <c r="K700" s="18"/>
      <c r="S700" s="8"/>
    </row>
    <row r="701">
      <c r="G701" s="8"/>
      <c r="K701" s="18"/>
      <c r="S701" s="8"/>
    </row>
    <row r="702">
      <c r="G702" s="8"/>
      <c r="K702" s="18"/>
      <c r="S702" s="8"/>
    </row>
    <row r="703">
      <c r="G703" s="8"/>
      <c r="K703" s="18"/>
      <c r="S703" s="8"/>
    </row>
    <row r="704">
      <c r="G704" s="8"/>
      <c r="K704" s="18"/>
      <c r="S704" s="8"/>
    </row>
    <row r="705">
      <c r="G705" s="8"/>
      <c r="K705" s="18"/>
      <c r="S705" s="8"/>
    </row>
    <row r="706">
      <c r="G706" s="8"/>
      <c r="K706" s="18"/>
      <c r="S706" s="8"/>
    </row>
    <row r="707">
      <c r="G707" s="8"/>
      <c r="K707" s="18"/>
      <c r="S707" s="8"/>
    </row>
    <row r="708">
      <c r="G708" s="8"/>
      <c r="K708" s="18"/>
      <c r="S708" s="8"/>
    </row>
    <row r="709">
      <c r="G709" s="8"/>
      <c r="K709" s="18"/>
      <c r="S709" s="8"/>
    </row>
    <row r="710">
      <c r="G710" s="8"/>
      <c r="K710" s="18"/>
      <c r="S710" s="8"/>
    </row>
    <row r="711">
      <c r="G711" s="8"/>
      <c r="K711" s="18"/>
      <c r="S711" s="8"/>
    </row>
    <row r="712">
      <c r="G712" s="8"/>
      <c r="K712" s="18"/>
      <c r="S712" s="8"/>
    </row>
    <row r="713">
      <c r="G713" s="8"/>
      <c r="K713" s="18"/>
      <c r="S713" s="8"/>
    </row>
    <row r="714">
      <c r="G714" s="8"/>
      <c r="K714" s="18"/>
      <c r="S714" s="8"/>
    </row>
    <row r="715">
      <c r="G715" s="8"/>
      <c r="K715" s="18"/>
      <c r="S715" s="8"/>
    </row>
    <row r="716">
      <c r="G716" s="8"/>
      <c r="K716" s="18"/>
      <c r="S716" s="8"/>
    </row>
    <row r="717">
      <c r="G717" s="8"/>
      <c r="K717" s="18"/>
      <c r="S717" s="8"/>
    </row>
    <row r="718">
      <c r="G718" s="8"/>
      <c r="K718" s="18"/>
      <c r="S718" s="8"/>
    </row>
    <row r="719">
      <c r="G719" s="8"/>
      <c r="K719" s="18"/>
      <c r="S719" s="8"/>
    </row>
    <row r="720">
      <c r="G720" s="8"/>
      <c r="K720" s="18"/>
      <c r="S720" s="8"/>
    </row>
    <row r="721">
      <c r="G721" s="8"/>
      <c r="K721" s="18"/>
      <c r="S721" s="8"/>
    </row>
    <row r="722">
      <c r="G722" s="8"/>
      <c r="K722" s="18"/>
      <c r="S722" s="8"/>
    </row>
    <row r="723">
      <c r="G723" s="8"/>
      <c r="K723" s="18"/>
      <c r="S723" s="8"/>
    </row>
    <row r="724">
      <c r="G724" s="8"/>
      <c r="K724" s="18"/>
      <c r="S724" s="8"/>
    </row>
    <row r="725">
      <c r="G725" s="8"/>
      <c r="K725" s="18"/>
      <c r="S725" s="8"/>
    </row>
    <row r="726">
      <c r="G726" s="8"/>
      <c r="K726" s="18"/>
      <c r="S726" s="8"/>
    </row>
    <row r="727">
      <c r="G727" s="8"/>
      <c r="K727" s="18"/>
      <c r="S727" s="8"/>
    </row>
    <row r="728">
      <c r="G728" s="8"/>
      <c r="K728" s="18"/>
      <c r="S728" s="8"/>
    </row>
    <row r="729">
      <c r="G729" s="8"/>
      <c r="K729" s="18"/>
      <c r="S729" s="8"/>
    </row>
    <row r="730">
      <c r="G730" s="8"/>
      <c r="K730" s="18"/>
      <c r="S730" s="8"/>
    </row>
    <row r="731">
      <c r="G731" s="8"/>
      <c r="K731" s="18"/>
      <c r="S731" s="8"/>
    </row>
    <row r="732">
      <c r="G732" s="8"/>
      <c r="K732" s="18"/>
      <c r="S732" s="8"/>
    </row>
    <row r="733">
      <c r="G733" s="8"/>
      <c r="K733" s="18"/>
      <c r="S733" s="8"/>
    </row>
    <row r="734">
      <c r="G734" s="8"/>
      <c r="K734" s="18"/>
      <c r="S734" s="8"/>
    </row>
    <row r="735">
      <c r="G735" s="8"/>
      <c r="K735" s="18"/>
      <c r="S735" s="8"/>
    </row>
    <row r="736">
      <c r="G736" s="8"/>
      <c r="K736" s="18"/>
      <c r="S736" s="8"/>
    </row>
    <row r="737">
      <c r="G737" s="8"/>
      <c r="K737" s="18"/>
      <c r="S737" s="8"/>
    </row>
    <row r="738">
      <c r="G738" s="8"/>
      <c r="K738" s="18"/>
      <c r="S738" s="8"/>
    </row>
    <row r="739">
      <c r="G739" s="8"/>
      <c r="K739" s="18"/>
      <c r="S739" s="8"/>
    </row>
    <row r="740">
      <c r="G740" s="8"/>
      <c r="K740" s="18"/>
      <c r="S740" s="8"/>
    </row>
    <row r="741">
      <c r="G741" s="8"/>
      <c r="K741" s="18"/>
      <c r="S741" s="8"/>
    </row>
    <row r="742">
      <c r="G742" s="8"/>
      <c r="K742" s="18"/>
      <c r="S742" s="8"/>
    </row>
    <row r="743">
      <c r="G743" s="8"/>
      <c r="K743" s="18"/>
      <c r="S743" s="8"/>
    </row>
    <row r="744">
      <c r="G744" s="8"/>
      <c r="K744" s="18"/>
      <c r="S744" s="8"/>
    </row>
    <row r="745">
      <c r="G745" s="8"/>
      <c r="K745" s="18"/>
      <c r="S745" s="8"/>
    </row>
    <row r="746">
      <c r="G746" s="8"/>
      <c r="K746" s="18"/>
      <c r="S746" s="8"/>
    </row>
    <row r="747">
      <c r="G747" s="8"/>
      <c r="K747" s="18"/>
      <c r="S747" s="8"/>
    </row>
    <row r="748">
      <c r="G748" s="8"/>
      <c r="K748" s="18"/>
      <c r="S748" s="8"/>
    </row>
    <row r="749">
      <c r="G749" s="8"/>
      <c r="K749" s="18"/>
      <c r="S749" s="8"/>
    </row>
    <row r="750">
      <c r="G750" s="8"/>
      <c r="K750" s="18"/>
      <c r="S750" s="8"/>
    </row>
    <row r="751">
      <c r="G751" s="8"/>
      <c r="K751" s="18"/>
      <c r="S751" s="8"/>
    </row>
    <row r="752">
      <c r="G752" s="8"/>
      <c r="K752" s="18"/>
      <c r="S752" s="8"/>
    </row>
    <row r="753">
      <c r="G753" s="8"/>
      <c r="K753" s="18"/>
      <c r="S753" s="8"/>
    </row>
    <row r="754">
      <c r="G754" s="8"/>
      <c r="K754" s="18"/>
      <c r="S754" s="8"/>
    </row>
    <row r="755">
      <c r="G755" s="8"/>
      <c r="K755" s="18"/>
      <c r="S755" s="8"/>
    </row>
    <row r="756">
      <c r="G756" s="8"/>
      <c r="K756" s="18"/>
      <c r="S756" s="8"/>
    </row>
    <row r="757">
      <c r="G757" s="8"/>
      <c r="K757" s="18"/>
      <c r="S757" s="8"/>
    </row>
    <row r="758">
      <c r="G758" s="8"/>
      <c r="K758" s="18"/>
      <c r="S758" s="8"/>
    </row>
    <row r="759">
      <c r="G759" s="8"/>
      <c r="K759" s="18"/>
      <c r="S759" s="8"/>
    </row>
    <row r="760">
      <c r="G760" s="8"/>
      <c r="K760" s="18"/>
      <c r="S760" s="8"/>
    </row>
    <row r="761">
      <c r="G761" s="8"/>
      <c r="K761" s="18"/>
      <c r="S761" s="8"/>
    </row>
    <row r="762">
      <c r="G762" s="8"/>
      <c r="K762" s="18"/>
      <c r="S762" s="8"/>
    </row>
    <row r="763">
      <c r="G763" s="8"/>
      <c r="K763" s="18"/>
      <c r="S763" s="8"/>
    </row>
    <row r="764">
      <c r="G764" s="8"/>
      <c r="K764" s="18"/>
      <c r="S764" s="8"/>
    </row>
    <row r="765">
      <c r="G765" s="8"/>
      <c r="K765" s="18"/>
      <c r="S765" s="8"/>
    </row>
    <row r="766">
      <c r="G766" s="8"/>
      <c r="K766" s="18"/>
      <c r="S766" s="8"/>
    </row>
    <row r="767">
      <c r="G767" s="8"/>
      <c r="K767" s="18"/>
      <c r="S767" s="8"/>
    </row>
    <row r="768">
      <c r="G768" s="8"/>
      <c r="K768" s="18"/>
      <c r="S768" s="8"/>
    </row>
    <row r="769">
      <c r="G769" s="8"/>
      <c r="K769" s="18"/>
      <c r="S769" s="8"/>
    </row>
    <row r="770">
      <c r="G770" s="8"/>
      <c r="K770" s="18"/>
      <c r="S770" s="8"/>
    </row>
    <row r="771">
      <c r="G771" s="8"/>
      <c r="K771" s="18"/>
      <c r="S771" s="8"/>
    </row>
    <row r="772">
      <c r="G772" s="8"/>
      <c r="K772" s="18"/>
      <c r="S772" s="8"/>
    </row>
    <row r="773">
      <c r="G773" s="8"/>
      <c r="K773" s="18"/>
      <c r="S773" s="8"/>
    </row>
    <row r="774">
      <c r="G774" s="8"/>
      <c r="K774" s="18"/>
      <c r="S774" s="8"/>
    </row>
    <row r="775">
      <c r="G775" s="8"/>
      <c r="K775" s="18"/>
      <c r="S775" s="8"/>
    </row>
    <row r="776">
      <c r="G776" s="8"/>
      <c r="K776" s="18"/>
      <c r="S776" s="8"/>
    </row>
    <row r="777">
      <c r="G777" s="8"/>
      <c r="K777" s="18"/>
      <c r="S777" s="8"/>
    </row>
    <row r="778">
      <c r="G778" s="8"/>
      <c r="K778" s="18"/>
      <c r="S778" s="8"/>
    </row>
    <row r="779">
      <c r="G779" s="8"/>
      <c r="K779" s="18"/>
      <c r="S779" s="8"/>
    </row>
    <row r="780">
      <c r="G780" s="8"/>
      <c r="K780" s="18"/>
      <c r="S780" s="8"/>
    </row>
    <row r="781">
      <c r="G781" s="8"/>
      <c r="K781" s="18"/>
      <c r="S781" s="8"/>
    </row>
    <row r="782">
      <c r="G782" s="8"/>
      <c r="K782" s="18"/>
      <c r="S782" s="8"/>
    </row>
    <row r="783">
      <c r="G783" s="8"/>
      <c r="K783" s="18"/>
      <c r="S783" s="8"/>
    </row>
    <row r="784">
      <c r="G784" s="8"/>
      <c r="K784" s="18"/>
      <c r="S784" s="8"/>
    </row>
    <row r="785">
      <c r="G785" s="8"/>
      <c r="K785" s="18"/>
      <c r="S785" s="8"/>
    </row>
    <row r="786">
      <c r="G786" s="8"/>
      <c r="K786" s="18"/>
      <c r="S786" s="8"/>
    </row>
    <row r="787">
      <c r="G787" s="8"/>
      <c r="K787" s="18"/>
      <c r="S787" s="8"/>
    </row>
    <row r="788">
      <c r="G788" s="8"/>
      <c r="K788" s="18"/>
      <c r="S788" s="8"/>
    </row>
    <row r="789">
      <c r="G789" s="8"/>
      <c r="K789" s="18"/>
      <c r="S789" s="8"/>
    </row>
    <row r="790">
      <c r="G790" s="8"/>
      <c r="K790" s="18"/>
      <c r="S790" s="8"/>
    </row>
    <row r="791">
      <c r="G791" s="8"/>
      <c r="K791" s="18"/>
      <c r="S791" s="8"/>
    </row>
    <row r="792">
      <c r="G792" s="8"/>
      <c r="K792" s="18"/>
      <c r="S792" s="8"/>
    </row>
    <row r="793">
      <c r="G793" s="8"/>
      <c r="K793" s="18"/>
      <c r="S793" s="8"/>
    </row>
    <row r="794">
      <c r="G794" s="8"/>
      <c r="K794" s="18"/>
      <c r="S794" s="8"/>
    </row>
    <row r="795">
      <c r="G795" s="8"/>
      <c r="K795" s="18"/>
      <c r="S795" s="8"/>
    </row>
    <row r="796">
      <c r="G796" s="8"/>
      <c r="K796" s="18"/>
      <c r="S796" s="8"/>
    </row>
    <row r="797">
      <c r="G797" s="8"/>
      <c r="K797" s="18"/>
      <c r="S797" s="8"/>
    </row>
    <row r="798">
      <c r="G798" s="8"/>
      <c r="K798" s="18"/>
      <c r="S798" s="8"/>
    </row>
    <row r="799">
      <c r="G799" s="8"/>
      <c r="K799" s="18"/>
      <c r="S799" s="8"/>
    </row>
    <row r="800">
      <c r="G800" s="8"/>
      <c r="K800" s="18"/>
      <c r="S800" s="8"/>
    </row>
    <row r="801">
      <c r="G801" s="8"/>
      <c r="K801" s="18"/>
      <c r="S801" s="8"/>
    </row>
    <row r="802">
      <c r="G802" s="8"/>
      <c r="K802" s="18"/>
      <c r="S802" s="8"/>
    </row>
    <row r="803">
      <c r="G803" s="8"/>
      <c r="K803" s="18"/>
      <c r="S803" s="8"/>
    </row>
    <row r="804">
      <c r="G804" s="8"/>
      <c r="K804" s="18"/>
      <c r="S804" s="8"/>
    </row>
    <row r="805">
      <c r="G805" s="8"/>
      <c r="K805" s="18"/>
      <c r="S805" s="8"/>
    </row>
    <row r="806">
      <c r="G806" s="8"/>
      <c r="K806" s="18"/>
      <c r="S806" s="8"/>
    </row>
    <row r="807">
      <c r="G807" s="8"/>
      <c r="K807" s="18"/>
      <c r="S807" s="8"/>
    </row>
    <row r="808">
      <c r="G808" s="8"/>
      <c r="K808" s="18"/>
      <c r="S808" s="8"/>
    </row>
    <row r="809">
      <c r="G809" s="8"/>
      <c r="K809" s="18"/>
      <c r="S809" s="8"/>
    </row>
    <row r="810">
      <c r="G810" s="8"/>
      <c r="K810" s="18"/>
      <c r="S810" s="8"/>
    </row>
    <row r="811">
      <c r="G811" s="8"/>
      <c r="K811" s="18"/>
      <c r="S811" s="8"/>
    </row>
    <row r="812">
      <c r="G812" s="8"/>
      <c r="K812" s="18"/>
      <c r="S812" s="8"/>
    </row>
    <row r="813">
      <c r="G813" s="8"/>
      <c r="K813" s="18"/>
      <c r="S813" s="8"/>
    </row>
    <row r="814">
      <c r="G814" s="8"/>
      <c r="K814" s="18"/>
      <c r="S814" s="8"/>
    </row>
    <row r="815">
      <c r="G815" s="8"/>
      <c r="K815" s="18"/>
      <c r="S815" s="8"/>
    </row>
    <row r="816">
      <c r="G816" s="8"/>
      <c r="K816" s="18"/>
      <c r="S816" s="8"/>
    </row>
    <row r="817">
      <c r="G817" s="8"/>
      <c r="K817" s="18"/>
      <c r="S817" s="8"/>
    </row>
    <row r="818">
      <c r="G818" s="8"/>
      <c r="K818" s="18"/>
      <c r="S818" s="8"/>
    </row>
    <row r="819">
      <c r="G819" s="8"/>
      <c r="K819" s="18"/>
      <c r="S819" s="8"/>
    </row>
    <row r="820">
      <c r="G820" s="8"/>
      <c r="K820" s="18"/>
      <c r="S820" s="8"/>
    </row>
    <row r="821">
      <c r="G821" s="8"/>
      <c r="K821" s="18"/>
      <c r="S821" s="8"/>
    </row>
    <row r="822">
      <c r="G822" s="8"/>
      <c r="K822" s="18"/>
      <c r="S822" s="8"/>
    </row>
    <row r="823">
      <c r="G823" s="8"/>
      <c r="K823" s="18"/>
      <c r="S823" s="8"/>
    </row>
    <row r="824">
      <c r="G824" s="8"/>
      <c r="K824" s="18"/>
      <c r="S824" s="8"/>
    </row>
    <row r="825">
      <c r="G825" s="8"/>
      <c r="K825" s="18"/>
      <c r="S825" s="8"/>
    </row>
    <row r="826">
      <c r="G826" s="8"/>
      <c r="K826" s="18"/>
      <c r="S826" s="8"/>
    </row>
    <row r="827">
      <c r="G827" s="8"/>
      <c r="K827" s="18"/>
      <c r="S827" s="8"/>
    </row>
    <row r="828">
      <c r="G828" s="8"/>
      <c r="K828" s="18"/>
      <c r="S828" s="8"/>
    </row>
    <row r="829">
      <c r="G829" s="8"/>
      <c r="K829" s="18"/>
      <c r="S829" s="8"/>
    </row>
    <row r="830">
      <c r="G830" s="8"/>
      <c r="K830" s="18"/>
      <c r="S830" s="8"/>
    </row>
    <row r="831">
      <c r="G831" s="8"/>
      <c r="K831" s="18"/>
      <c r="S831" s="8"/>
    </row>
    <row r="832">
      <c r="G832" s="8"/>
      <c r="K832" s="18"/>
      <c r="S832" s="8"/>
    </row>
    <row r="833">
      <c r="G833" s="8"/>
      <c r="K833" s="18"/>
      <c r="S833" s="8"/>
    </row>
    <row r="834">
      <c r="G834" s="8"/>
      <c r="K834" s="18"/>
      <c r="S834" s="8"/>
    </row>
    <row r="835">
      <c r="G835" s="8"/>
      <c r="K835" s="18"/>
      <c r="S835" s="8"/>
    </row>
    <row r="836">
      <c r="G836" s="8"/>
      <c r="K836" s="18"/>
      <c r="S836" s="8"/>
    </row>
    <row r="837">
      <c r="G837" s="8"/>
      <c r="K837" s="18"/>
      <c r="S837" s="8"/>
    </row>
    <row r="838">
      <c r="G838" s="8"/>
      <c r="K838" s="18"/>
      <c r="S838" s="8"/>
    </row>
    <row r="839">
      <c r="G839" s="8"/>
      <c r="K839" s="18"/>
      <c r="S839" s="8"/>
    </row>
    <row r="840">
      <c r="G840" s="8"/>
      <c r="K840" s="18"/>
      <c r="S840" s="8"/>
    </row>
    <row r="841">
      <c r="G841" s="8"/>
      <c r="K841" s="18"/>
      <c r="S841" s="8"/>
    </row>
    <row r="842">
      <c r="G842" s="8"/>
      <c r="K842" s="18"/>
      <c r="S842" s="8"/>
    </row>
    <row r="843">
      <c r="G843" s="8"/>
      <c r="K843" s="18"/>
      <c r="S843" s="8"/>
    </row>
    <row r="844">
      <c r="G844" s="8"/>
      <c r="K844" s="18"/>
      <c r="S844" s="8"/>
    </row>
    <row r="845">
      <c r="G845" s="8"/>
      <c r="K845" s="18"/>
      <c r="S845" s="8"/>
    </row>
    <row r="846">
      <c r="G846" s="8"/>
      <c r="K846" s="18"/>
      <c r="S846" s="8"/>
    </row>
    <row r="847">
      <c r="G847" s="8"/>
      <c r="K847" s="18"/>
      <c r="S847" s="8"/>
    </row>
    <row r="848">
      <c r="G848" s="8"/>
      <c r="K848" s="18"/>
      <c r="S848" s="8"/>
    </row>
    <row r="849">
      <c r="G849" s="8"/>
      <c r="K849" s="18"/>
      <c r="S849" s="8"/>
    </row>
    <row r="850">
      <c r="G850" s="8"/>
      <c r="K850" s="18"/>
      <c r="S850" s="8"/>
    </row>
    <row r="851">
      <c r="G851" s="8"/>
      <c r="K851" s="18"/>
      <c r="S851" s="8"/>
    </row>
    <row r="852">
      <c r="G852" s="8"/>
      <c r="K852" s="18"/>
      <c r="S852" s="8"/>
    </row>
    <row r="853">
      <c r="G853" s="8"/>
      <c r="K853" s="18"/>
      <c r="S853" s="8"/>
    </row>
    <row r="854">
      <c r="G854" s="8"/>
      <c r="K854" s="18"/>
      <c r="S854" s="8"/>
    </row>
    <row r="855">
      <c r="G855" s="8"/>
      <c r="K855" s="18"/>
      <c r="S855" s="8"/>
    </row>
    <row r="856">
      <c r="G856" s="8"/>
      <c r="K856" s="18"/>
      <c r="S856" s="8"/>
    </row>
    <row r="857">
      <c r="G857" s="8"/>
      <c r="K857" s="18"/>
      <c r="S857" s="8"/>
    </row>
    <row r="858">
      <c r="G858" s="8"/>
      <c r="K858" s="18"/>
      <c r="S858" s="8"/>
    </row>
    <row r="859">
      <c r="G859" s="8"/>
      <c r="K859" s="18"/>
      <c r="S859" s="8"/>
    </row>
    <row r="860">
      <c r="G860" s="8"/>
      <c r="K860" s="18"/>
      <c r="S860" s="8"/>
    </row>
    <row r="861">
      <c r="G861" s="8"/>
      <c r="K861" s="18"/>
      <c r="S861" s="8"/>
    </row>
    <row r="862">
      <c r="G862" s="8"/>
      <c r="K862" s="18"/>
      <c r="S862" s="8"/>
    </row>
    <row r="863">
      <c r="G863" s="8"/>
      <c r="K863" s="18"/>
      <c r="S863" s="8"/>
    </row>
    <row r="864">
      <c r="G864" s="8"/>
      <c r="K864" s="18"/>
      <c r="S864" s="8"/>
    </row>
    <row r="865">
      <c r="G865" s="8"/>
      <c r="K865" s="18"/>
      <c r="S865" s="8"/>
    </row>
    <row r="866">
      <c r="G866" s="8"/>
      <c r="K866" s="18"/>
      <c r="S866" s="8"/>
    </row>
    <row r="867">
      <c r="G867" s="8"/>
      <c r="K867" s="18"/>
      <c r="S867" s="8"/>
    </row>
    <row r="868">
      <c r="G868" s="8"/>
      <c r="K868" s="18"/>
      <c r="S868" s="8"/>
    </row>
    <row r="869">
      <c r="G869" s="8"/>
      <c r="K869" s="18"/>
      <c r="S869" s="8"/>
    </row>
    <row r="870">
      <c r="G870" s="8"/>
      <c r="K870" s="18"/>
      <c r="S870" s="8"/>
    </row>
    <row r="871">
      <c r="G871" s="8"/>
      <c r="K871" s="18"/>
      <c r="S871" s="8"/>
    </row>
    <row r="872">
      <c r="G872" s="8"/>
      <c r="K872" s="18"/>
      <c r="S872" s="8"/>
    </row>
    <row r="873">
      <c r="G873" s="8"/>
      <c r="K873" s="18"/>
      <c r="S873" s="8"/>
    </row>
    <row r="874">
      <c r="G874" s="8"/>
      <c r="K874" s="18"/>
      <c r="S874" s="8"/>
    </row>
    <row r="875">
      <c r="G875" s="8"/>
      <c r="K875" s="18"/>
      <c r="S875" s="8"/>
    </row>
    <row r="876">
      <c r="G876" s="8"/>
      <c r="K876" s="18"/>
      <c r="S876" s="8"/>
    </row>
    <row r="877">
      <c r="G877" s="8"/>
      <c r="K877" s="18"/>
      <c r="S877" s="8"/>
    </row>
    <row r="878">
      <c r="G878" s="8"/>
      <c r="K878" s="18"/>
      <c r="S878" s="8"/>
    </row>
    <row r="879">
      <c r="G879" s="8"/>
      <c r="K879" s="18"/>
      <c r="S879" s="8"/>
    </row>
    <row r="880">
      <c r="G880" s="8"/>
      <c r="K880" s="18"/>
      <c r="S880" s="8"/>
    </row>
    <row r="881">
      <c r="G881" s="8"/>
      <c r="K881" s="18"/>
      <c r="S881" s="8"/>
    </row>
    <row r="882">
      <c r="G882" s="8"/>
      <c r="K882" s="18"/>
      <c r="S882" s="8"/>
    </row>
    <row r="883">
      <c r="G883" s="8"/>
      <c r="K883" s="18"/>
      <c r="S883" s="8"/>
    </row>
    <row r="884">
      <c r="G884" s="8"/>
      <c r="K884" s="18"/>
      <c r="S884" s="8"/>
    </row>
    <row r="885">
      <c r="G885" s="8"/>
      <c r="K885" s="18"/>
      <c r="S885" s="8"/>
    </row>
    <row r="886">
      <c r="G886" s="8"/>
      <c r="K886" s="18"/>
      <c r="S886" s="8"/>
    </row>
    <row r="887">
      <c r="G887" s="8"/>
      <c r="K887" s="18"/>
      <c r="S887" s="8"/>
    </row>
    <row r="888">
      <c r="G888" s="8"/>
      <c r="K888" s="18"/>
      <c r="S888" s="8"/>
    </row>
    <row r="889">
      <c r="G889" s="8"/>
      <c r="K889" s="18"/>
      <c r="S889" s="8"/>
    </row>
    <row r="890">
      <c r="G890" s="8"/>
      <c r="K890" s="18"/>
      <c r="S890" s="8"/>
    </row>
    <row r="891">
      <c r="G891" s="8"/>
      <c r="K891" s="18"/>
      <c r="S891" s="8"/>
    </row>
    <row r="892">
      <c r="G892" s="8"/>
      <c r="K892" s="18"/>
      <c r="S892" s="8"/>
    </row>
    <row r="893">
      <c r="G893" s="8"/>
      <c r="K893" s="18"/>
      <c r="S893" s="8"/>
    </row>
    <row r="894">
      <c r="G894" s="8"/>
      <c r="K894" s="18"/>
      <c r="S894" s="8"/>
    </row>
    <row r="895">
      <c r="G895" s="8"/>
      <c r="K895" s="18"/>
      <c r="S895" s="8"/>
    </row>
    <row r="896">
      <c r="G896" s="8"/>
      <c r="K896" s="18"/>
      <c r="S896" s="8"/>
    </row>
    <row r="897">
      <c r="G897" s="8"/>
      <c r="K897" s="18"/>
      <c r="S897" s="8"/>
    </row>
    <row r="898">
      <c r="G898" s="8"/>
      <c r="K898" s="18"/>
      <c r="S898" s="8"/>
    </row>
    <row r="899">
      <c r="G899" s="8"/>
      <c r="K899" s="18"/>
      <c r="S899" s="8"/>
    </row>
    <row r="900">
      <c r="G900" s="8"/>
      <c r="K900" s="18"/>
      <c r="S900" s="8"/>
    </row>
    <row r="901">
      <c r="G901" s="8"/>
      <c r="K901" s="18"/>
      <c r="S901" s="8"/>
    </row>
    <row r="902">
      <c r="G902" s="8"/>
      <c r="K902" s="18"/>
      <c r="S902" s="8"/>
    </row>
    <row r="903">
      <c r="G903" s="8"/>
      <c r="K903" s="18"/>
      <c r="S903" s="8"/>
    </row>
    <row r="904">
      <c r="G904" s="8"/>
      <c r="K904" s="18"/>
      <c r="S904" s="8"/>
    </row>
    <row r="905">
      <c r="G905" s="8"/>
      <c r="K905" s="18"/>
      <c r="S905" s="8"/>
    </row>
    <row r="906">
      <c r="G906" s="8"/>
      <c r="K906" s="18"/>
      <c r="S906" s="8"/>
    </row>
    <row r="907">
      <c r="G907" s="8"/>
      <c r="K907" s="18"/>
      <c r="S907" s="8"/>
    </row>
    <row r="908">
      <c r="G908" s="8"/>
      <c r="K908" s="18"/>
      <c r="S908" s="8"/>
    </row>
    <row r="909">
      <c r="G909" s="8"/>
      <c r="K909" s="18"/>
      <c r="S909" s="8"/>
    </row>
    <row r="910">
      <c r="G910" s="8"/>
      <c r="K910" s="18"/>
      <c r="S910" s="8"/>
    </row>
    <row r="911">
      <c r="G911" s="8"/>
      <c r="K911" s="18"/>
      <c r="S911" s="8"/>
    </row>
    <row r="912">
      <c r="G912" s="8"/>
      <c r="K912" s="18"/>
      <c r="S912" s="8"/>
    </row>
    <row r="913">
      <c r="G913" s="8"/>
      <c r="K913" s="18"/>
      <c r="S913" s="8"/>
    </row>
    <row r="914">
      <c r="G914" s="8"/>
      <c r="K914" s="18"/>
      <c r="S914" s="8"/>
    </row>
    <row r="915">
      <c r="G915" s="8"/>
      <c r="K915" s="18"/>
      <c r="S915" s="8"/>
    </row>
    <row r="916">
      <c r="G916" s="8"/>
      <c r="K916" s="18"/>
      <c r="S916" s="8"/>
    </row>
    <row r="917">
      <c r="G917" s="8"/>
      <c r="K917" s="18"/>
      <c r="S917" s="8"/>
    </row>
    <row r="918">
      <c r="G918" s="8"/>
      <c r="K918" s="18"/>
      <c r="S918" s="8"/>
    </row>
    <row r="919">
      <c r="G919" s="8"/>
      <c r="K919" s="18"/>
      <c r="S919" s="8"/>
    </row>
    <row r="920">
      <c r="G920" s="8"/>
      <c r="K920" s="18"/>
      <c r="S920" s="8"/>
    </row>
    <row r="921">
      <c r="G921" s="8"/>
      <c r="K921" s="18"/>
      <c r="S921" s="8"/>
    </row>
    <row r="922">
      <c r="G922" s="8"/>
      <c r="K922" s="18"/>
      <c r="S922" s="8"/>
    </row>
    <row r="923">
      <c r="G923" s="8"/>
      <c r="K923" s="18"/>
      <c r="S923" s="8"/>
    </row>
    <row r="924">
      <c r="G924" s="8"/>
      <c r="K924" s="18"/>
      <c r="S924" s="8"/>
    </row>
    <row r="925">
      <c r="G925" s="8"/>
      <c r="K925" s="18"/>
      <c r="S925" s="8"/>
    </row>
    <row r="926">
      <c r="G926" s="8"/>
      <c r="K926" s="18"/>
      <c r="S926" s="8"/>
    </row>
    <row r="927">
      <c r="G927" s="8"/>
      <c r="K927" s="18"/>
      <c r="S927" s="8"/>
    </row>
    <row r="928">
      <c r="G928" s="8"/>
      <c r="K928" s="18"/>
      <c r="S928" s="8"/>
    </row>
    <row r="929">
      <c r="G929" s="8"/>
      <c r="K929" s="18"/>
      <c r="S929" s="8"/>
    </row>
    <row r="930">
      <c r="G930" s="8"/>
      <c r="K930" s="18"/>
      <c r="S930" s="8"/>
    </row>
    <row r="931">
      <c r="G931" s="8"/>
      <c r="K931" s="18"/>
      <c r="S931" s="8"/>
    </row>
    <row r="932">
      <c r="G932" s="8"/>
      <c r="K932" s="18"/>
      <c r="S932" s="8"/>
    </row>
    <row r="933">
      <c r="G933" s="8"/>
      <c r="K933" s="18"/>
      <c r="S933" s="8"/>
    </row>
    <row r="934">
      <c r="G934" s="8"/>
      <c r="K934" s="18"/>
      <c r="S934" s="8"/>
    </row>
    <row r="935">
      <c r="G935" s="8"/>
      <c r="K935" s="18"/>
      <c r="S935" s="8"/>
    </row>
    <row r="936">
      <c r="G936" s="8"/>
      <c r="K936" s="18"/>
      <c r="S936" s="8"/>
    </row>
    <row r="937">
      <c r="G937" s="8"/>
      <c r="K937" s="18"/>
      <c r="S937" s="8"/>
    </row>
    <row r="938">
      <c r="G938" s="8"/>
      <c r="K938" s="18"/>
      <c r="S938" s="8"/>
    </row>
    <row r="939">
      <c r="G939" s="8"/>
      <c r="K939" s="18"/>
      <c r="S939" s="8"/>
    </row>
    <row r="940">
      <c r="G940" s="8"/>
      <c r="K940" s="18"/>
      <c r="S940" s="8"/>
    </row>
    <row r="941">
      <c r="G941" s="8"/>
      <c r="K941" s="18"/>
      <c r="S941" s="8"/>
    </row>
    <row r="942">
      <c r="G942" s="8"/>
      <c r="K942" s="18"/>
      <c r="S942" s="8"/>
    </row>
    <row r="943">
      <c r="G943" s="8"/>
      <c r="K943" s="18"/>
      <c r="S943" s="8"/>
    </row>
    <row r="944">
      <c r="G944" s="8"/>
      <c r="K944" s="18"/>
      <c r="S944" s="8"/>
    </row>
    <row r="945">
      <c r="G945" s="8"/>
      <c r="K945" s="18"/>
      <c r="S945" s="8"/>
    </row>
    <row r="946">
      <c r="G946" s="8"/>
      <c r="K946" s="18"/>
      <c r="S946" s="8"/>
    </row>
    <row r="947">
      <c r="G947" s="8"/>
      <c r="K947" s="18"/>
      <c r="S947" s="8"/>
    </row>
    <row r="948">
      <c r="G948" s="8"/>
      <c r="K948" s="18"/>
      <c r="S948" s="8"/>
    </row>
    <row r="949">
      <c r="G949" s="8"/>
      <c r="K949" s="18"/>
      <c r="S949" s="8"/>
    </row>
    <row r="950">
      <c r="G950" s="8"/>
      <c r="K950" s="18"/>
      <c r="S950" s="8"/>
    </row>
    <row r="951">
      <c r="G951" s="8"/>
      <c r="K951" s="18"/>
      <c r="S951" s="8"/>
    </row>
    <row r="952">
      <c r="G952" s="8"/>
      <c r="K952" s="18"/>
      <c r="S952" s="8"/>
    </row>
    <row r="953">
      <c r="G953" s="8"/>
      <c r="K953" s="18"/>
      <c r="S953" s="8"/>
    </row>
    <row r="954">
      <c r="G954" s="8"/>
      <c r="K954" s="18"/>
      <c r="S954" s="8"/>
    </row>
    <row r="955">
      <c r="G955" s="8"/>
      <c r="K955" s="18"/>
      <c r="S955" s="8"/>
    </row>
    <row r="956">
      <c r="G956" s="8"/>
      <c r="K956" s="18"/>
      <c r="S956" s="8"/>
    </row>
    <row r="957">
      <c r="G957" s="8"/>
      <c r="K957" s="18"/>
      <c r="S957" s="8"/>
    </row>
    <row r="958">
      <c r="G958" s="8"/>
      <c r="K958" s="18"/>
      <c r="S958" s="8"/>
    </row>
    <row r="959">
      <c r="G959" s="8"/>
      <c r="K959" s="18"/>
      <c r="S959" s="8"/>
    </row>
    <row r="960">
      <c r="G960" s="8"/>
      <c r="K960" s="18"/>
      <c r="S960" s="8"/>
    </row>
    <row r="961">
      <c r="G961" s="8"/>
      <c r="K961" s="18"/>
      <c r="S961" s="8"/>
    </row>
    <row r="962">
      <c r="G962" s="8"/>
      <c r="K962" s="18"/>
      <c r="S962" s="8"/>
    </row>
    <row r="963">
      <c r="G963" s="8"/>
      <c r="K963" s="18"/>
      <c r="S963" s="8"/>
    </row>
    <row r="964">
      <c r="G964" s="8"/>
      <c r="K964" s="18"/>
      <c r="S964" s="8"/>
    </row>
    <row r="965">
      <c r="G965" s="8"/>
      <c r="K965" s="18"/>
      <c r="S965" s="8"/>
    </row>
    <row r="966">
      <c r="G966" s="8"/>
      <c r="K966" s="18"/>
      <c r="S966" s="8"/>
    </row>
    <row r="967">
      <c r="G967" s="8"/>
      <c r="K967" s="18"/>
      <c r="S967" s="8"/>
    </row>
    <row r="968">
      <c r="G968" s="8"/>
      <c r="K968" s="18"/>
      <c r="S968" s="8"/>
    </row>
    <row r="969">
      <c r="G969" s="8"/>
      <c r="K969" s="18"/>
      <c r="S969" s="8"/>
    </row>
    <row r="970">
      <c r="G970" s="8"/>
      <c r="K970" s="18"/>
      <c r="S970" s="8"/>
    </row>
    <row r="971">
      <c r="G971" s="8"/>
      <c r="K971" s="18"/>
      <c r="S971" s="8"/>
    </row>
    <row r="972">
      <c r="G972" s="8"/>
      <c r="K972" s="18"/>
      <c r="S972" s="8"/>
    </row>
    <row r="973">
      <c r="G973" s="8"/>
      <c r="K973" s="18"/>
      <c r="S973" s="8"/>
    </row>
    <row r="974">
      <c r="G974" s="8"/>
      <c r="K974" s="18"/>
      <c r="S974" s="8"/>
    </row>
    <row r="975">
      <c r="G975" s="8"/>
      <c r="K975" s="18"/>
      <c r="S975" s="8"/>
    </row>
    <row r="976">
      <c r="G976" s="8"/>
      <c r="K976" s="18"/>
      <c r="S976" s="8"/>
    </row>
    <row r="977">
      <c r="G977" s="8"/>
      <c r="K977" s="18"/>
      <c r="S977" s="8"/>
    </row>
    <row r="978">
      <c r="G978" s="8"/>
      <c r="K978" s="18"/>
      <c r="S978" s="8"/>
    </row>
    <row r="979">
      <c r="G979" s="8"/>
      <c r="K979" s="18"/>
      <c r="S979" s="8"/>
    </row>
    <row r="980">
      <c r="G980" s="8"/>
      <c r="K980" s="18"/>
      <c r="S980" s="8"/>
    </row>
    <row r="981">
      <c r="G981" s="8"/>
      <c r="K981" s="18"/>
      <c r="S981" s="8"/>
    </row>
    <row r="982">
      <c r="G982" s="8"/>
      <c r="K982" s="18"/>
      <c r="S982" s="8"/>
    </row>
    <row r="983">
      <c r="G983" s="8"/>
      <c r="K983" s="18"/>
      <c r="S983" s="8"/>
    </row>
    <row r="984">
      <c r="G984" s="8"/>
      <c r="K984" s="18"/>
      <c r="S984" s="8"/>
    </row>
    <row r="985">
      <c r="G985" s="8"/>
      <c r="K985" s="18"/>
      <c r="S985" s="8"/>
    </row>
    <row r="986">
      <c r="G986" s="8"/>
      <c r="K986" s="18"/>
      <c r="S986" s="8"/>
    </row>
    <row r="987">
      <c r="G987" s="8"/>
      <c r="K987" s="18"/>
      <c r="S987" s="8"/>
    </row>
    <row r="988">
      <c r="G988" s="8"/>
      <c r="K988" s="18"/>
      <c r="S988" s="8"/>
    </row>
    <row r="989">
      <c r="G989" s="8"/>
      <c r="K989" s="18"/>
      <c r="S989" s="8"/>
    </row>
    <row r="990">
      <c r="G990" s="8"/>
      <c r="K990" s="18"/>
      <c r="S990" s="8"/>
    </row>
    <row r="991">
      <c r="G991" s="8"/>
      <c r="K991" s="18"/>
      <c r="S991" s="8"/>
    </row>
    <row r="992">
      <c r="G992" s="8"/>
      <c r="K992" s="18"/>
      <c r="S992" s="8"/>
    </row>
    <row r="993">
      <c r="G993" s="8"/>
      <c r="K993" s="18"/>
      <c r="S993" s="8"/>
    </row>
    <row r="994">
      <c r="G994" s="8"/>
      <c r="K994" s="18"/>
      <c r="S994" s="8"/>
    </row>
    <row r="995">
      <c r="G995" s="8"/>
      <c r="K995" s="18"/>
      <c r="S995" s="8"/>
    </row>
    <row r="996">
      <c r="G996" s="8"/>
      <c r="K996" s="18"/>
      <c r="S996" s="8"/>
    </row>
    <row r="997">
      <c r="G997" s="8"/>
      <c r="K997" s="18"/>
      <c r="S997" s="8"/>
    </row>
    <row r="998">
      <c r="G998" s="8"/>
      <c r="K998" s="18"/>
      <c r="S998" s="8"/>
    </row>
    <row r="999">
      <c r="G999" s="8"/>
      <c r="K999" s="18"/>
      <c r="S999" s="8"/>
    </row>
    <row r="1000">
      <c r="K1000" s="18"/>
      <c r="Q1000" s="2" t="s">
        <v>497</v>
      </c>
    </row>
  </sheetData>
  <mergeCells count="3">
    <mergeCell ref="A1:V2"/>
    <mergeCell ref="A3:N4"/>
    <mergeCell ref="P3:V4"/>
  </mergeCells>
  <dataValidations>
    <dataValidation type="list" allowBlank="1" showErrorMessage="1" sqref="G6:G999 S6:S999">
      <formula1>'Grondstof soorten'!$E$7:$E$999</formula1>
    </dataValidation>
    <dataValidation type="list" allowBlank="1" showErrorMessage="1" sqref="M6:M283">
      <formula1>Uitleg!$C$2:$C$5</formula1>
    </dataValidation>
    <dataValidation type="list" allowBlank="1" showErrorMessage="1" sqref="L6:L283">
      <formula1>Uitleg!$B$2:$B$7</formula1>
    </dataValidation>
    <dataValidation type="list" allowBlank="1" showErrorMessage="1" sqref="C6:C283">
      <formula1>Uitleg!$A$2:$A$3</formula1>
    </dataValidation>
    <dataValidation type="list" allowBlank="1" showErrorMessage="1" sqref="E28:E50">
      <formula1>Leveranciers!$A$4:$A$999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  <c r="B3" s="2" t="s">
        <v>2</v>
      </c>
    </row>
    <row r="4">
      <c r="A4" s="2" t="s">
        <v>3</v>
      </c>
    </row>
    <row r="5">
      <c r="A5" s="48" t="s">
        <v>498</v>
      </c>
      <c r="G5" s="49" t="s">
        <v>8</v>
      </c>
    </row>
    <row r="6">
      <c r="A6" s="50" t="s">
        <v>499</v>
      </c>
      <c r="B6" s="50" t="s">
        <v>16</v>
      </c>
      <c r="C6" s="50" t="s">
        <v>500</v>
      </c>
      <c r="D6" s="50" t="s">
        <v>117</v>
      </c>
      <c r="G6" s="50" t="s">
        <v>499</v>
      </c>
      <c r="H6" s="50" t="s">
        <v>16</v>
      </c>
      <c r="I6" s="50" t="s">
        <v>500</v>
      </c>
      <c r="J6" s="50" t="s">
        <v>117</v>
      </c>
    </row>
    <row r="7">
      <c r="A7" s="15" t="s">
        <v>501</v>
      </c>
      <c r="B7" s="2" t="s">
        <v>122</v>
      </c>
      <c r="C7" s="8">
        <f>'001 - Pilsmout'!$N$3</f>
        <v>0</v>
      </c>
      <c r="G7" s="15" t="s">
        <v>502</v>
      </c>
      <c r="H7" s="8" t="str">
        <f>'101 - Mandarina Bavaria'!A1</f>
        <v>Mandarina Bavaria</v>
      </c>
      <c r="I7" s="8">
        <f>'101 - Mandarina Bavaria'!N3</f>
        <v>0</v>
      </c>
    </row>
    <row r="8">
      <c r="A8" s="15" t="s">
        <v>503</v>
      </c>
      <c r="B8" s="2" t="s">
        <v>124</v>
      </c>
      <c r="C8" s="8">
        <f>'002 - Tarwemout'!$N$3</f>
        <v>15.9</v>
      </c>
      <c r="G8" s="15" t="s">
        <v>504</v>
      </c>
      <c r="H8" s="8" t="str">
        <f>'102 - Galaxy'!A1</f>
        <v>Galaxy</v>
      </c>
      <c r="I8" s="8">
        <f>'102 - Galaxy'!N3</f>
        <v>0</v>
      </c>
    </row>
    <row r="9">
      <c r="A9" s="15" t="s">
        <v>505</v>
      </c>
      <c r="B9" s="2" t="str">
        <f>'003 - CaraAroma'!A1</f>
        <v>CaraAroma</v>
      </c>
      <c r="C9" s="8">
        <f>'003 - CaraAroma'!$N$3</f>
        <v>12.5</v>
      </c>
      <c r="G9" s="15" t="s">
        <v>506</v>
      </c>
      <c r="H9" s="8" t="str">
        <f>'103 - Idaho7'!A1</f>
        <v>Idaho7</v>
      </c>
      <c r="I9" s="8">
        <f>'103 - Idaho7'!N3</f>
        <v>0</v>
      </c>
    </row>
    <row r="10">
      <c r="A10" s="15" t="s">
        <v>507</v>
      </c>
      <c r="B10" s="2" t="s">
        <v>508</v>
      </c>
      <c r="C10" s="8">
        <f>'004 - Munich mout'!$N$3</f>
        <v>25</v>
      </c>
      <c r="G10" s="15" t="s">
        <v>509</v>
      </c>
    </row>
    <row r="11">
      <c r="A11" s="15" t="s">
        <v>510</v>
      </c>
      <c r="B11" s="2" t="s">
        <v>511</v>
      </c>
      <c r="C11" s="8">
        <f>'006 - CaraGold'!$N$3</f>
        <v>13</v>
      </c>
      <c r="G11" s="15" t="s">
        <v>512</v>
      </c>
    </row>
    <row r="12">
      <c r="A12" s="15" t="s">
        <v>513</v>
      </c>
      <c r="B12" s="8" t="str">
        <f>'006 - CaraGold'!A1</f>
        <v>CaraGold</v>
      </c>
      <c r="C12" s="8">
        <f>'005 - Witte haver'!$N$3</f>
        <v>20</v>
      </c>
      <c r="G12" s="15" t="s">
        <v>514</v>
      </c>
    </row>
    <row r="13">
      <c r="A13" s="15" t="s">
        <v>515</v>
      </c>
      <c r="B13" s="8" t="str">
        <f>'007 - CaraBody'!A1</f>
        <v>CaraBody</v>
      </c>
      <c r="C13" s="8">
        <f>'007 - CaraBody'!N3</f>
        <v>0</v>
      </c>
      <c r="G13" s="15" t="s">
        <v>516</v>
      </c>
    </row>
    <row r="14">
      <c r="A14" s="15" t="s">
        <v>517</v>
      </c>
      <c r="B14" s="8" t="str">
        <f>'008 - Biscuit'!A1</f>
        <v>Biscuit </v>
      </c>
      <c r="C14" s="8">
        <f>'008 - Biscuit'!N3</f>
        <v>1</v>
      </c>
      <c r="G14" s="15" t="s">
        <v>518</v>
      </c>
    </row>
    <row r="15">
      <c r="A15" s="15" t="s">
        <v>519</v>
      </c>
      <c r="B15" s="8" t="str">
        <f>'009 - Chocolate Dark'!A1</f>
        <v>Chocolate Dark</v>
      </c>
      <c r="C15" s="8">
        <f>'009 - Chocolate Dark'!N3</f>
        <v>1</v>
      </c>
      <c r="G15" s="15" t="s">
        <v>520</v>
      </c>
    </row>
    <row r="16">
      <c r="A16" s="15" t="s">
        <v>521</v>
      </c>
      <c r="G16" s="15" t="s">
        <v>522</v>
      </c>
    </row>
    <row r="17">
      <c r="A17" s="15" t="s">
        <v>523</v>
      </c>
      <c r="G17" s="15" t="s">
        <v>524</v>
      </c>
    </row>
    <row r="18">
      <c r="A18" s="15" t="s">
        <v>525</v>
      </c>
      <c r="G18" s="15" t="s">
        <v>526</v>
      </c>
    </row>
    <row r="19">
      <c r="A19" s="15" t="s">
        <v>527</v>
      </c>
      <c r="G19" s="15" t="s">
        <v>528</v>
      </c>
    </row>
    <row r="20">
      <c r="A20" s="15" t="s">
        <v>529</v>
      </c>
      <c r="G20" s="15" t="s">
        <v>530</v>
      </c>
    </row>
    <row r="21">
      <c r="A21" s="15" t="s">
        <v>531</v>
      </c>
      <c r="G21" s="15" t="s">
        <v>532</v>
      </c>
    </row>
    <row r="22">
      <c r="A22" s="15" t="s">
        <v>533</v>
      </c>
      <c r="G22" s="15" t="s">
        <v>534</v>
      </c>
    </row>
    <row r="23">
      <c r="A23" s="14"/>
      <c r="G23" s="15" t="s">
        <v>535</v>
      </c>
    </row>
    <row r="24">
      <c r="A24" s="14"/>
      <c r="G24" s="15" t="s">
        <v>536</v>
      </c>
    </row>
    <row r="25">
      <c r="A25" s="14"/>
      <c r="G25" s="15" t="s">
        <v>537</v>
      </c>
    </row>
    <row r="26">
      <c r="A26" s="14"/>
      <c r="G26" s="15" t="s">
        <v>538</v>
      </c>
    </row>
    <row r="27">
      <c r="A27" s="14"/>
      <c r="G27" s="15" t="s">
        <v>539</v>
      </c>
    </row>
    <row r="28">
      <c r="A28" s="14"/>
      <c r="G28" s="15" t="s">
        <v>540</v>
      </c>
    </row>
    <row r="29">
      <c r="A29" s="14"/>
      <c r="G29" s="15" t="s">
        <v>541</v>
      </c>
    </row>
    <row r="30">
      <c r="A30" s="14"/>
      <c r="G30" s="15" t="s">
        <v>542</v>
      </c>
    </row>
    <row r="31">
      <c r="A31" s="14"/>
      <c r="G31" s="15" t="s">
        <v>543</v>
      </c>
    </row>
    <row r="32">
      <c r="A32" s="14"/>
      <c r="G32" s="15" t="s">
        <v>544</v>
      </c>
    </row>
    <row r="33">
      <c r="A33" s="14"/>
      <c r="G33" s="15" t="s">
        <v>545</v>
      </c>
    </row>
    <row r="34">
      <c r="A34" s="14"/>
      <c r="G34" s="15" t="s">
        <v>546</v>
      </c>
    </row>
    <row r="35">
      <c r="A35" s="14"/>
      <c r="G35" s="14"/>
    </row>
    <row r="36">
      <c r="A36" s="14"/>
      <c r="G36" s="14"/>
    </row>
    <row r="37">
      <c r="A37" s="14"/>
      <c r="G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</sheetData>
  <mergeCells count="5">
    <mergeCell ref="A1:F2"/>
    <mergeCell ref="A5:F5"/>
    <mergeCell ref="G5:L5"/>
    <mergeCell ref="D6:F6"/>
    <mergeCell ref="J6:L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547</v>
      </c>
      <c r="B1" s="51" t="s">
        <v>548</v>
      </c>
      <c r="C1" s="51" t="s">
        <v>549</v>
      </c>
    </row>
    <row r="2">
      <c r="A2" s="2" t="s">
        <v>130</v>
      </c>
      <c r="B2" s="2" t="s">
        <v>550</v>
      </c>
      <c r="C2" s="2" t="s">
        <v>551</v>
      </c>
    </row>
    <row r="3">
      <c r="A3" s="2" t="s">
        <v>120</v>
      </c>
      <c r="B3" s="2" t="s">
        <v>135</v>
      </c>
      <c r="C3" s="2" t="s">
        <v>552</v>
      </c>
    </row>
    <row r="4">
      <c r="A4" s="2"/>
      <c r="B4" s="2" t="s">
        <v>553</v>
      </c>
      <c r="C4" s="2" t="s">
        <v>136</v>
      </c>
    </row>
    <row r="5">
      <c r="A5" s="2"/>
      <c r="B5" s="2" t="s">
        <v>554</v>
      </c>
      <c r="C5" s="2" t="s">
        <v>555</v>
      </c>
    </row>
    <row r="6">
      <c r="A6" s="2"/>
      <c r="B6" s="2" t="s">
        <v>556</v>
      </c>
    </row>
    <row r="7">
      <c r="A7" s="2"/>
      <c r="B7" s="2" t="s">
        <v>557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63"/>
    <col customWidth="1" min="3" max="3" width="14.0"/>
    <col customWidth="1" min="7" max="11" width="13.5"/>
    <col customWidth="1" min="12" max="12" width="3.38"/>
    <col customWidth="1" min="15" max="15" width="13.88"/>
  </cols>
  <sheetData>
    <row r="1">
      <c r="A1" s="1" t="s">
        <v>558</v>
      </c>
    </row>
    <row r="3">
      <c r="A3" s="2" t="s">
        <v>559</v>
      </c>
      <c r="B3" s="2"/>
      <c r="C3" s="2" t="s">
        <v>498</v>
      </c>
      <c r="M3" s="2" t="s">
        <v>560</v>
      </c>
      <c r="N3" s="8">
        <f>SUM(H6:H1000) - SUM(O6:O1000)</f>
        <v>51</v>
      </c>
      <c r="O3" s="2" t="s">
        <v>561</v>
      </c>
    </row>
    <row r="5">
      <c r="A5" s="22" t="s">
        <v>104</v>
      </c>
      <c r="B5" s="22" t="s">
        <v>105</v>
      </c>
      <c r="C5" s="22" t="s">
        <v>106</v>
      </c>
      <c r="D5" s="22" t="s">
        <v>107</v>
      </c>
      <c r="E5" s="22" t="s">
        <v>108</v>
      </c>
      <c r="F5" s="22" t="s">
        <v>111</v>
      </c>
      <c r="G5" s="22" t="s">
        <v>112</v>
      </c>
      <c r="H5" s="22" t="s">
        <v>113</v>
      </c>
      <c r="I5" s="22" t="s">
        <v>115</v>
      </c>
      <c r="J5" s="22" t="s">
        <v>116</v>
      </c>
      <c r="K5" s="22" t="s">
        <v>117</v>
      </c>
      <c r="M5" s="23" t="s">
        <v>118</v>
      </c>
      <c r="N5" s="23" t="s">
        <v>107</v>
      </c>
      <c r="O5" s="23" t="s">
        <v>113</v>
      </c>
      <c r="P5" s="23" t="s">
        <v>111</v>
      </c>
    </row>
    <row r="6">
      <c r="A6" s="2" t="s">
        <v>562</v>
      </c>
      <c r="B6" s="2"/>
      <c r="C6" s="2" t="s">
        <v>130</v>
      </c>
      <c r="D6" s="24">
        <v>44917.0</v>
      </c>
      <c r="E6" s="2" t="s">
        <v>121</v>
      </c>
      <c r="F6" s="24"/>
      <c r="G6" s="2"/>
      <c r="H6" s="2">
        <v>100.0</v>
      </c>
      <c r="I6" s="2"/>
      <c r="J6" s="2"/>
      <c r="K6" s="2"/>
      <c r="M6" s="2" t="s">
        <v>563</v>
      </c>
      <c r="N6" s="24" t="s">
        <v>564</v>
      </c>
      <c r="O6" s="2">
        <v>32.0</v>
      </c>
    </row>
    <row r="7">
      <c r="C7" s="28"/>
      <c r="D7" s="28"/>
      <c r="E7" s="28"/>
      <c r="F7" s="28"/>
      <c r="I7" s="8"/>
      <c r="J7" s="8"/>
      <c r="M7" s="2" t="s">
        <v>565</v>
      </c>
      <c r="N7" s="24" t="s">
        <v>566</v>
      </c>
      <c r="O7" s="2">
        <v>17.0</v>
      </c>
    </row>
    <row r="8">
      <c r="C8" s="28"/>
      <c r="D8" s="28"/>
      <c r="E8" s="28"/>
      <c r="F8" s="28"/>
      <c r="I8" s="8"/>
      <c r="J8" s="8"/>
      <c r="N8" s="28"/>
    </row>
    <row r="9">
      <c r="C9" s="28"/>
      <c r="D9" s="28"/>
      <c r="E9" s="28"/>
      <c r="F9" s="28"/>
      <c r="I9" s="8"/>
      <c r="J9" s="8"/>
      <c r="N9" s="28"/>
    </row>
    <row r="10">
      <c r="C10" s="28"/>
      <c r="D10" s="28"/>
      <c r="E10" s="28"/>
      <c r="F10" s="28"/>
      <c r="I10" s="8"/>
      <c r="J10" s="8"/>
      <c r="N10" s="28"/>
    </row>
    <row r="11">
      <c r="C11" s="28"/>
      <c r="D11" s="28"/>
      <c r="E11" s="28"/>
      <c r="F11" s="28"/>
      <c r="I11" s="8"/>
      <c r="J11" s="8"/>
      <c r="N11" s="28"/>
    </row>
    <row r="12">
      <c r="C12" s="28"/>
      <c r="D12" s="28"/>
      <c r="E12" s="28"/>
      <c r="F12" s="28"/>
      <c r="I12" s="8"/>
      <c r="J12" s="8"/>
      <c r="N12" s="28"/>
    </row>
    <row r="13">
      <c r="C13" s="28"/>
      <c r="D13" s="28"/>
      <c r="E13" s="28"/>
      <c r="F13" s="28"/>
      <c r="I13" s="8"/>
      <c r="J13" s="8"/>
      <c r="N13" s="28"/>
    </row>
    <row r="14">
      <c r="C14" s="28"/>
      <c r="D14" s="28"/>
      <c r="E14" s="28"/>
      <c r="F14" s="28"/>
      <c r="I14" s="8"/>
      <c r="J14" s="8"/>
      <c r="N14" s="28"/>
    </row>
    <row r="15">
      <c r="C15" s="28"/>
      <c r="D15" s="28"/>
      <c r="E15" s="28"/>
      <c r="F15" s="28"/>
      <c r="I15" s="8"/>
      <c r="J15" s="8"/>
      <c r="N15" s="28"/>
    </row>
    <row r="16">
      <c r="C16" s="28"/>
      <c r="D16" s="28"/>
      <c r="E16" s="28"/>
      <c r="F16" s="28"/>
      <c r="I16" s="8"/>
      <c r="J16" s="8"/>
      <c r="N16" s="28"/>
    </row>
    <row r="17">
      <c r="C17" s="28"/>
      <c r="D17" s="28"/>
      <c r="E17" s="28"/>
      <c r="F17" s="28"/>
      <c r="I17" s="8"/>
      <c r="J17" s="8"/>
      <c r="N17" s="28"/>
    </row>
    <row r="18">
      <c r="C18" s="28"/>
      <c r="D18" s="28"/>
      <c r="E18" s="28"/>
      <c r="F18" s="28"/>
      <c r="I18" s="8"/>
      <c r="J18" s="8"/>
      <c r="N18" s="28"/>
    </row>
    <row r="19">
      <c r="C19" s="28"/>
      <c r="D19" s="28"/>
      <c r="E19" s="28"/>
      <c r="F19" s="28"/>
      <c r="I19" s="8"/>
      <c r="J19" s="8"/>
      <c r="N19" s="28"/>
    </row>
    <row r="20">
      <c r="C20" s="28"/>
      <c r="D20" s="28"/>
      <c r="E20" s="28"/>
      <c r="F20" s="28"/>
      <c r="I20" s="8"/>
      <c r="J20" s="8"/>
      <c r="N20" s="28"/>
    </row>
    <row r="21">
      <c r="C21" s="28"/>
      <c r="D21" s="28"/>
      <c r="E21" s="28"/>
      <c r="F21" s="28"/>
      <c r="I21" s="8"/>
      <c r="J21" s="8"/>
      <c r="N21" s="28"/>
    </row>
    <row r="22">
      <c r="C22" s="28"/>
      <c r="D22" s="28"/>
      <c r="E22" s="28"/>
      <c r="F22" s="28"/>
      <c r="I22" s="8"/>
      <c r="J22" s="8"/>
      <c r="N22" s="28"/>
    </row>
    <row r="23">
      <c r="C23" s="28"/>
      <c r="D23" s="28"/>
      <c r="E23" s="28"/>
      <c r="F23" s="28"/>
      <c r="I23" s="8"/>
      <c r="J23" s="8"/>
      <c r="N23" s="28"/>
    </row>
    <row r="24">
      <c r="C24" s="28"/>
      <c r="D24" s="28"/>
      <c r="E24" s="28"/>
      <c r="F24" s="28"/>
      <c r="I24" s="8"/>
      <c r="J24" s="8"/>
      <c r="N24" s="28"/>
    </row>
    <row r="25">
      <c r="C25" s="28"/>
      <c r="D25" s="28"/>
      <c r="E25" s="28"/>
      <c r="F25" s="28"/>
      <c r="I25" s="8"/>
      <c r="J25" s="8"/>
      <c r="N25" s="28"/>
    </row>
    <row r="26">
      <c r="C26" s="28"/>
      <c r="D26" s="28"/>
      <c r="E26" s="28"/>
      <c r="F26" s="28"/>
      <c r="I26" s="8"/>
      <c r="J26" s="8"/>
      <c r="N26" s="28"/>
    </row>
    <row r="27">
      <c r="C27" s="28"/>
      <c r="D27" s="28"/>
      <c r="E27" s="28"/>
      <c r="F27" s="28"/>
      <c r="I27" s="8"/>
      <c r="J27" s="8"/>
      <c r="N27" s="28"/>
    </row>
    <row r="28">
      <c r="C28" s="28"/>
      <c r="D28" s="28"/>
      <c r="E28" s="28"/>
      <c r="F28" s="28"/>
      <c r="I28" s="8"/>
      <c r="J28" s="8"/>
      <c r="N28" s="28"/>
    </row>
    <row r="29">
      <c r="C29" s="28"/>
      <c r="D29" s="28"/>
      <c r="E29" s="28"/>
      <c r="F29" s="28"/>
      <c r="I29" s="8"/>
      <c r="J29" s="8"/>
      <c r="N29" s="28"/>
    </row>
    <row r="30">
      <c r="C30" s="28"/>
      <c r="D30" s="28"/>
      <c r="E30" s="28"/>
      <c r="F30" s="28"/>
      <c r="I30" s="8"/>
      <c r="J30" s="8"/>
      <c r="N30" s="28"/>
    </row>
    <row r="31">
      <c r="C31" s="28"/>
      <c r="D31" s="28"/>
      <c r="E31" s="28"/>
      <c r="F31" s="28"/>
      <c r="I31" s="8"/>
      <c r="J31" s="8"/>
      <c r="N31" s="28"/>
    </row>
    <row r="32">
      <c r="C32" s="28"/>
      <c r="D32" s="28"/>
      <c r="E32" s="28"/>
      <c r="F32" s="28"/>
      <c r="I32" s="8"/>
      <c r="J32" s="8"/>
      <c r="N32" s="28"/>
    </row>
    <row r="33">
      <c r="C33" s="8"/>
      <c r="I33" s="8"/>
      <c r="J33" s="8"/>
      <c r="N33" s="28"/>
    </row>
    <row r="34">
      <c r="C34" s="8"/>
      <c r="I34" s="8"/>
      <c r="J34" s="8"/>
    </row>
    <row r="35">
      <c r="C35" s="8"/>
      <c r="I35" s="8"/>
      <c r="J35" s="8"/>
    </row>
    <row r="36">
      <c r="C36" s="8"/>
      <c r="I36" s="8"/>
      <c r="J36" s="8"/>
    </row>
    <row r="37">
      <c r="C37" s="8"/>
      <c r="I37" s="8"/>
      <c r="J37" s="8"/>
    </row>
    <row r="38">
      <c r="C38" s="8"/>
      <c r="I38" s="8"/>
      <c r="J38" s="8"/>
    </row>
    <row r="39">
      <c r="C39" s="8"/>
      <c r="I39" s="8"/>
      <c r="J39" s="8"/>
    </row>
    <row r="40">
      <c r="C40" s="8"/>
      <c r="I40" s="8"/>
      <c r="J40" s="8"/>
    </row>
    <row r="41">
      <c r="C41" s="8"/>
      <c r="I41" s="8"/>
      <c r="J41" s="8"/>
    </row>
    <row r="42">
      <c r="C42" s="8"/>
      <c r="I42" s="8"/>
      <c r="J42" s="8"/>
    </row>
    <row r="43">
      <c r="C43" s="8"/>
      <c r="I43" s="8"/>
      <c r="J43" s="8"/>
    </row>
    <row r="44">
      <c r="C44" s="8"/>
      <c r="I44" s="8"/>
      <c r="J44" s="8"/>
    </row>
    <row r="45">
      <c r="C45" s="8"/>
      <c r="I45" s="8"/>
      <c r="J45" s="8"/>
    </row>
    <row r="46">
      <c r="C46" s="8"/>
      <c r="I46" s="8"/>
      <c r="J46" s="8"/>
    </row>
    <row r="47">
      <c r="C47" s="8"/>
      <c r="I47" s="8"/>
      <c r="J47" s="8"/>
    </row>
    <row r="48">
      <c r="C48" s="8"/>
      <c r="I48" s="8"/>
      <c r="J48" s="8"/>
    </row>
    <row r="49">
      <c r="C49" s="8"/>
      <c r="I49" s="8"/>
      <c r="J49" s="8"/>
    </row>
    <row r="50">
      <c r="C50" s="8"/>
      <c r="I50" s="8"/>
      <c r="J50" s="8"/>
    </row>
    <row r="51">
      <c r="C51" s="8"/>
      <c r="I51" s="8"/>
      <c r="J51" s="8"/>
    </row>
    <row r="52">
      <c r="C52" s="8"/>
      <c r="I52" s="8"/>
      <c r="J52" s="8"/>
    </row>
    <row r="53">
      <c r="C53" s="8"/>
      <c r="I53" s="8"/>
      <c r="J53" s="8"/>
    </row>
    <row r="54">
      <c r="C54" s="8"/>
      <c r="I54" s="8"/>
      <c r="J54" s="8"/>
    </row>
    <row r="55">
      <c r="C55" s="8"/>
      <c r="I55" s="8"/>
      <c r="J55" s="8"/>
    </row>
    <row r="56">
      <c r="C56" s="8"/>
      <c r="I56" s="8"/>
      <c r="J56" s="8"/>
    </row>
    <row r="57">
      <c r="C57" s="8"/>
      <c r="I57" s="8"/>
      <c r="J57" s="8"/>
    </row>
    <row r="58">
      <c r="C58" s="8"/>
      <c r="I58" s="8"/>
      <c r="J58" s="8"/>
    </row>
    <row r="59">
      <c r="C59" s="8"/>
      <c r="I59" s="8"/>
      <c r="J59" s="8"/>
    </row>
    <row r="60">
      <c r="C60" s="8"/>
      <c r="I60" s="8"/>
      <c r="J60" s="8"/>
    </row>
    <row r="61">
      <c r="C61" s="8"/>
      <c r="I61" s="8"/>
      <c r="J61" s="8"/>
    </row>
    <row r="62">
      <c r="C62" s="8"/>
      <c r="I62" s="8"/>
      <c r="J62" s="8"/>
    </row>
    <row r="63">
      <c r="C63" s="8"/>
      <c r="I63" s="8"/>
      <c r="J63" s="8"/>
    </row>
    <row r="64">
      <c r="C64" s="8"/>
      <c r="I64" s="8"/>
      <c r="J64" s="8"/>
    </row>
    <row r="65">
      <c r="C65" s="8"/>
      <c r="I65" s="8"/>
      <c r="J65" s="8"/>
    </row>
    <row r="66">
      <c r="C66" s="8"/>
      <c r="I66" s="8"/>
      <c r="J66" s="8"/>
    </row>
    <row r="67">
      <c r="C67" s="8"/>
      <c r="I67" s="8"/>
      <c r="J67" s="8"/>
    </row>
    <row r="68">
      <c r="C68" s="8"/>
      <c r="I68" s="8"/>
      <c r="J68" s="8"/>
    </row>
    <row r="69">
      <c r="C69" s="8"/>
      <c r="I69" s="8"/>
      <c r="J69" s="8"/>
    </row>
    <row r="70">
      <c r="C70" s="8"/>
      <c r="I70" s="8"/>
      <c r="J70" s="8"/>
    </row>
    <row r="71">
      <c r="C71" s="8"/>
      <c r="I71" s="8"/>
      <c r="J71" s="8"/>
    </row>
    <row r="72">
      <c r="C72" s="8"/>
      <c r="I72" s="8"/>
      <c r="J72" s="8"/>
    </row>
    <row r="73">
      <c r="C73" s="8"/>
      <c r="I73" s="8"/>
      <c r="J73" s="8"/>
    </row>
    <row r="74">
      <c r="C74" s="8"/>
      <c r="I74" s="8"/>
      <c r="J74" s="8"/>
    </row>
    <row r="75">
      <c r="C75" s="8"/>
      <c r="I75" s="8"/>
      <c r="J75" s="8"/>
    </row>
    <row r="76">
      <c r="C76" s="8"/>
      <c r="I76" s="8"/>
      <c r="J76" s="8"/>
    </row>
    <row r="77">
      <c r="C77" s="8"/>
      <c r="I77" s="8"/>
      <c r="J77" s="8"/>
    </row>
    <row r="78">
      <c r="C78" s="8"/>
      <c r="I78" s="8"/>
      <c r="J78" s="8"/>
    </row>
    <row r="79">
      <c r="C79" s="8"/>
      <c r="I79" s="8"/>
      <c r="J79" s="8"/>
    </row>
    <row r="80">
      <c r="C80" s="8"/>
      <c r="I80" s="8"/>
      <c r="J80" s="8"/>
    </row>
    <row r="81">
      <c r="C81" s="8"/>
      <c r="I81" s="8"/>
      <c r="J81" s="8"/>
    </row>
    <row r="82">
      <c r="C82" s="8"/>
      <c r="I82" s="8"/>
      <c r="J82" s="8"/>
    </row>
    <row r="83">
      <c r="C83" s="8"/>
      <c r="I83" s="8"/>
      <c r="J83" s="8"/>
    </row>
    <row r="84">
      <c r="C84" s="8"/>
      <c r="I84" s="8"/>
      <c r="J84" s="8"/>
    </row>
    <row r="85">
      <c r="C85" s="8"/>
      <c r="I85" s="8"/>
      <c r="J85" s="8"/>
    </row>
    <row r="86">
      <c r="C86" s="8"/>
      <c r="I86" s="8"/>
      <c r="J86" s="8"/>
    </row>
    <row r="87">
      <c r="C87" s="8"/>
      <c r="I87" s="8"/>
      <c r="J87" s="8"/>
    </row>
    <row r="88">
      <c r="C88" s="8"/>
      <c r="I88" s="8"/>
      <c r="J88" s="8"/>
    </row>
    <row r="89">
      <c r="C89" s="8"/>
      <c r="I89" s="8"/>
      <c r="J89" s="8"/>
    </row>
    <row r="90">
      <c r="C90" s="8"/>
      <c r="I90" s="8"/>
      <c r="J90" s="8"/>
    </row>
    <row r="91">
      <c r="C91" s="8"/>
      <c r="I91" s="8"/>
      <c r="J91" s="8"/>
    </row>
    <row r="92">
      <c r="C92" s="8"/>
      <c r="I92" s="8"/>
      <c r="J92" s="8"/>
    </row>
    <row r="93">
      <c r="C93" s="8"/>
      <c r="I93" s="8"/>
      <c r="J93" s="8"/>
    </row>
    <row r="94">
      <c r="C94" s="8"/>
      <c r="I94" s="8"/>
      <c r="J94" s="8"/>
    </row>
    <row r="95">
      <c r="C95" s="8"/>
      <c r="I95" s="8"/>
      <c r="J95" s="8"/>
    </row>
    <row r="96">
      <c r="C96" s="8"/>
      <c r="I96" s="8"/>
      <c r="J96" s="8"/>
    </row>
    <row r="97">
      <c r="C97" s="8"/>
      <c r="I97" s="8"/>
      <c r="J97" s="8"/>
    </row>
    <row r="98">
      <c r="C98" s="8"/>
      <c r="I98" s="8"/>
      <c r="J98" s="8"/>
    </row>
    <row r="99">
      <c r="C99" s="8"/>
      <c r="I99" s="8"/>
      <c r="J99" s="8"/>
    </row>
    <row r="100">
      <c r="C100" s="8"/>
      <c r="I100" s="8"/>
      <c r="J100" s="8"/>
    </row>
    <row r="101">
      <c r="C101" s="8"/>
      <c r="I101" s="8"/>
      <c r="J101" s="8"/>
    </row>
    <row r="102">
      <c r="C102" s="8"/>
      <c r="I102" s="8"/>
      <c r="J102" s="8"/>
    </row>
    <row r="103">
      <c r="C103" s="8"/>
      <c r="I103" s="8"/>
      <c r="J103" s="8"/>
    </row>
    <row r="104">
      <c r="C104" s="8"/>
      <c r="I104" s="8"/>
      <c r="J104" s="8"/>
    </row>
    <row r="105">
      <c r="C105" s="8"/>
      <c r="I105" s="8"/>
      <c r="J105" s="8"/>
    </row>
    <row r="106">
      <c r="C106" s="8"/>
      <c r="I106" s="8"/>
      <c r="J106" s="8"/>
    </row>
    <row r="107">
      <c r="C107" s="8"/>
      <c r="I107" s="8"/>
      <c r="J107" s="8"/>
    </row>
    <row r="108">
      <c r="C108" s="8"/>
      <c r="I108" s="8"/>
      <c r="J108" s="8"/>
    </row>
    <row r="109">
      <c r="C109" s="8"/>
      <c r="I109" s="8"/>
      <c r="J109" s="8"/>
    </row>
    <row r="110">
      <c r="C110" s="8"/>
      <c r="I110" s="8"/>
      <c r="J110" s="8"/>
    </row>
    <row r="111">
      <c r="C111" s="8"/>
      <c r="I111" s="8"/>
      <c r="J111" s="8"/>
    </row>
    <row r="112">
      <c r="C112" s="8"/>
      <c r="I112" s="8"/>
      <c r="J112" s="8"/>
    </row>
    <row r="113">
      <c r="C113" s="8"/>
      <c r="I113" s="8"/>
      <c r="J113" s="8"/>
    </row>
    <row r="114">
      <c r="C114" s="8"/>
      <c r="I114" s="8"/>
      <c r="J114" s="8"/>
    </row>
    <row r="115">
      <c r="C115" s="8"/>
      <c r="I115" s="8"/>
      <c r="J115" s="8"/>
    </row>
    <row r="116">
      <c r="C116" s="8"/>
      <c r="I116" s="8"/>
      <c r="J116" s="8"/>
    </row>
    <row r="117">
      <c r="C117" s="8"/>
      <c r="I117" s="8"/>
      <c r="J117" s="8"/>
    </row>
    <row r="118">
      <c r="C118" s="8"/>
      <c r="I118" s="8"/>
      <c r="J118" s="8"/>
    </row>
    <row r="119">
      <c r="C119" s="8"/>
      <c r="I119" s="8"/>
      <c r="J119" s="8"/>
    </row>
    <row r="120">
      <c r="C120" s="8"/>
      <c r="I120" s="8"/>
      <c r="J120" s="8"/>
    </row>
    <row r="121">
      <c r="C121" s="8"/>
      <c r="I121" s="8"/>
      <c r="J121" s="8"/>
    </row>
    <row r="122">
      <c r="C122" s="8"/>
      <c r="I122" s="8"/>
      <c r="J122" s="8"/>
    </row>
    <row r="123">
      <c r="C123" s="8"/>
      <c r="I123" s="8"/>
      <c r="J123" s="8"/>
    </row>
    <row r="124">
      <c r="C124" s="8"/>
      <c r="I124" s="8"/>
      <c r="J124" s="8"/>
    </row>
    <row r="125">
      <c r="C125" s="8"/>
      <c r="I125" s="8"/>
      <c r="J125" s="8"/>
    </row>
    <row r="126">
      <c r="C126" s="8"/>
      <c r="I126" s="8"/>
      <c r="J126" s="8"/>
    </row>
    <row r="127">
      <c r="C127" s="8"/>
      <c r="I127" s="8"/>
      <c r="J127" s="8"/>
    </row>
    <row r="128">
      <c r="C128" s="8"/>
      <c r="I128" s="8"/>
      <c r="J128" s="8"/>
    </row>
    <row r="129">
      <c r="C129" s="8"/>
      <c r="I129" s="8"/>
      <c r="J129" s="8"/>
    </row>
    <row r="130">
      <c r="C130" s="8"/>
      <c r="I130" s="8"/>
      <c r="J130" s="8"/>
    </row>
    <row r="131">
      <c r="C131" s="8"/>
      <c r="I131" s="8"/>
      <c r="J131" s="8"/>
    </row>
    <row r="132">
      <c r="C132" s="8"/>
      <c r="I132" s="8"/>
      <c r="J132" s="8"/>
    </row>
    <row r="133">
      <c r="C133" s="8"/>
      <c r="I133" s="8"/>
      <c r="J133" s="8"/>
    </row>
    <row r="134">
      <c r="C134" s="8"/>
      <c r="I134" s="8"/>
      <c r="J134" s="8"/>
    </row>
    <row r="135">
      <c r="C135" s="8"/>
      <c r="I135" s="8"/>
      <c r="J135" s="8"/>
    </row>
    <row r="136">
      <c r="C136" s="8"/>
      <c r="I136" s="8"/>
      <c r="J136" s="8"/>
    </row>
    <row r="137">
      <c r="C137" s="8"/>
      <c r="I137" s="8"/>
      <c r="J137" s="8"/>
    </row>
    <row r="138">
      <c r="C138" s="8"/>
      <c r="I138" s="8"/>
      <c r="J138" s="8"/>
    </row>
    <row r="139">
      <c r="C139" s="8"/>
      <c r="I139" s="8"/>
      <c r="J139" s="8"/>
    </row>
    <row r="140">
      <c r="C140" s="8"/>
      <c r="I140" s="8"/>
      <c r="J140" s="8"/>
    </row>
    <row r="141">
      <c r="C141" s="8"/>
      <c r="I141" s="8"/>
      <c r="J141" s="8"/>
    </row>
    <row r="142">
      <c r="C142" s="8"/>
      <c r="I142" s="8"/>
      <c r="J142" s="8"/>
    </row>
    <row r="143">
      <c r="C143" s="8"/>
      <c r="I143" s="8"/>
      <c r="J143" s="8"/>
    </row>
    <row r="144">
      <c r="C144" s="8"/>
      <c r="I144" s="8"/>
      <c r="J144" s="8"/>
    </row>
    <row r="145">
      <c r="C145" s="8"/>
      <c r="I145" s="8"/>
      <c r="J145" s="8"/>
    </row>
    <row r="146">
      <c r="C146" s="8"/>
      <c r="I146" s="8"/>
      <c r="J146" s="8"/>
    </row>
    <row r="147">
      <c r="C147" s="8"/>
      <c r="I147" s="8"/>
      <c r="J147" s="8"/>
    </row>
    <row r="148">
      <c r="C148" s="8"/>
      <c r="I148" s="8"/>
      <c r="J148" s="8"/>
    </row>
    <row r="149">
      <c r="C149" s="8"/>
      <c r="I149" s="8"/>
      <c r="J149" s="8"/>
    </row>
    <row r="150">
      <c r="C150" s="8"/>
      <c r="I150" s="8"/>
      <c r="J150" s="8"/>
    </row>
    <row r="151">
      <c r="C151" s="8"/>
      <c r="I151" s="8"/>
      <c r="J151" s="8"/>
    </row>
    <row r="152">
      <c r="C152" s="8"/>
      <c r="I152" s="8"/>
      <c r="J152" s="8"/>
    </row>
    <row r="153">
      <c r="C153" s="8"/>
      <c r="I153" s="8"/>
      <c r="J153" s="8"/>
    </row>
    <row r="154">
      <c r="C154" s="8"/>
      <c r="I154" s="8"/>
      <c r="J154" s="8"/>
    </row>
    <row r="155">
      <c r="C155" s="8"/>
      <c r="I155" s="8"/>
      <c r="J155" s="8"/>
    </row>
    <row r="156">
      <c r="C156" s="8"/>
      <c r="I156" s="8"/>
      <c r="J156" s="8"/>
    </row>
    <row r="157">
      <c r="C157" s="8"/>
      <c r="I157" s="8"/>
      <c r="J157" s="8"/>
    </row>
    <row r="158">
      <c r="C158" s="8"/>
      <c r="I158" s="8"/>
      <c r="J158" s="8"/>
    </row>
    <row r="159">
      <c r="C159" s="8"/>
      <c r="I159" s="8"/>
      <c r="J159" s="8"/>
    </row>
    <row r="160">
      <c r="C160" s="8"/>
      <c r="I160" s="8"/>
      <c r="J160" s="8"/>
    </row>
    <row r="161">
      <c r="C161" s="8"/>
      <c r="I161" s="8"/>
      <c r="J161" s="8"/>
    </row>
    <row r="162">
      <c r="C162" s="8"/>
      <c r="I162" s="8"/>
      <c r="J162" s="8"/>
    </row>
    <row r="163">
      <c r="C163" s="8"/>
      <c r="I163" s="8"/>
      <c r="J163" s="8"/>
    </row>
    <row r="164">
      <c r="C164" s="8"/>
      <c r="I164" s="8"/>
      <c r="J164" s="8"/>
    </row>
    <row r="165">
      <c r="C165" s="8"/>
      <c r="I165" s="8"/>
      <c r="J165" s="8"/>
    </row>
    <row r="166">
      <c r="C166" s="8"/>
      <c r="I166" s="8"/>
      <c r="J166" s="8"/>
    </row>
    <row r="167">
      <c r="C167" s="8"/>
      <c r="I167" s="8"/>
      <c r="J167" s="8"/>
    </row>
    <row r="168">
      <c r="C168" s="8"/>
      <c r="I168" s="8"/>
      <c r="J168" s="8"/>
    </row>
    <row r="169">
      <c r="C169" s="8"/>
      <c r="I169" s="8"/>
      <c r="J169" s="8"/>
    </row>
    <row r="170">
      <c r="C170" s="8"/>
      <c r="I170" s="8"/>
      <c r="J170" s="8"/>
    </row>
    <row r="171">
      <c r="C171" s="8"/>
      <c r="I171" s="8"/>
      <c r="J171" s="8"/>
    </row>
    <row r="172">
      <c r="C172" s="8"/>
      <c r="I172" s="8"/>
      <c r="J172" s="8"/>
    </row>
    <row r="173">
      <c r="C173" s="8"/>
      <c r="I173" s="8"/>
      <c r="J173" s="8"/>
    </row>
    <row r="174">
      <c r="C174" s="8"/>
      <c r="I174" s="8"/>
      <c r="J174" s="8"/>
    </row>
    <row r="175">
      <c r="C175" s="8"/>
      <c r="I175" s="8"/>
      <c r="J175" s="8"/>
    </row>
    <row r="176">
      <c r="C176" s="8"/>
      <c r="I176" s="8"/>
      <c r="J176" s="8"/>
    </row>
    <row r="177">
      <c r="C177" s="8"/>
      <c r="I177" s="8"/>
      <c r="J177" s="8"/>
    </row>
    <row r="178">
      <c r="C178" s="8"/>
      <c r="I178" s="8"/>
      <c r="J178" s="8"/>
    </row>
    <row r="179">
      <c r="C179" s="8"/>
      <c r="I179" s="8"/>
      <c r="J179" s="8"/>
    </row>
    <row r="180">
      <c r="C180" s="8"/>
      <c r="I180" s="8"/>
      <c r="J180" s="8"/>
    </row>
    <row r="181">
      <c r="C181" s="8"/>
      <c r="I181" s="8"/>
      <c r="J181" s="8"/>
    </row>
    <row r="182">
      <c r="C182" s="8"/>
      <c r="I182" s="8"/>
      <c r="J182" s="8"/>
    </row>
    <row r="183">
      <c r="C183" s="8"/>
      <c r="I183" s="8"/>
      <c r="J183" s="8"/>
    </row>
    <row r="184">
      <c r="C184" s="8"/>
      <c r="I184" s="8"/>
      <c r="J184" s="8"/>
    </row>
    <row r="185">
      <c r="C185" s="8"/>
      <c r="I185" s="8"/>
      <c r="J185" s="8"/>
    </row>
    <row r="186">
      <c r="C186" s="8"/>
      <c r="I186" s="8"/>
      <c r="J186" s="8"/>
    </row>
    <row r="187">
      <c r="C187" s="8"/>
      <c r="I187" s="8"/>
      <c r="J187" s="8"/>
    </row>
    <row r="188">
      <c r="C188" s="8"/>
      <c r="I188" s="8"/>
      <c r="J188" s="8"/>
    </row>
    <row r="189">
      <c r="C189" s="8"/>
      <c r="I189" s="8"/>
      <c r="J189" s="8"/>
    </row>
    <row r="190">
      <c r="C190" s="8"/>
      <c r="I190" s="8"/>
      <c r="J190" s="8"/>
    </row>
    <row r="191">
      <c r="C191" s="8"/>
      <c r="I191" s="8"/>
      <c r="J191" s="8"/>
    </row>
    <row r="192">
      <c r="C192" s="8"/>
      <c r="I192" s="8"/>
      <c r="J192" s="8"/>
    </row>
    <row r="193">
      <c r="C193" s="8"/>
      <c r="I193" s="8"/>
      <c r="J193" s="8"/>
    </row>
    <row r="194">
      <c r="C194" s="8"/>
      <c r="I194" s="8"/>
      <c r="J194" s="8"/>
    </row>
    <row r="195">
      <c r="C195" s="8"/>
      <c r="I195" s="8"/>
      <c r="J195" s="8"/>
    </row>
    <row r="196">
      <c r="C196" s="8"/>
      <c r="I196" s="8"/>
      <c r="J196" s="8"/>
    </row>
    <row r="197">
      <c r="C197" s="8"/>
      <c r="I197" s="8"/>
      <c r="J197" s="8"/>
    </row>
    <row r="198">
      <c r="C198" s="8"/>
      <c r="I198" s="8"/>
      <c r="J198" s="8"/>
    </row>
    <row r="199">
      <c r="C199" s="8"/>
      <c r="I199" s="8"/>
      <c r="J199" s="8"/>
    </row>
    <row r="200">
      <c r="C200" s="8"/>
      <c r="I200" s="8"/>
      <c r="J200" s="8"/>
    </row>
    <row r="201">
      <c r="C201" s="8"/>
      <c r="I201" s="8"/>
      <c r="J201" s="8"/>
    </row>
    <row r="202">
      <c r="C202" s="8"/>
      <c r="I202" s="8"/>
      <c r="J202" s="8"/>
    </row>
    <row r="203">
      <c r="C203" s="8"/>
      <c r="I203" s="8"/>
      <c r="J203" s="8"/>
    </row>
    <row r="204">
      <c r="C204" s="8"/>
      <c r="I204" s="8"/>
      <c r="J204" s="8"/>
    </row>
    <row r="205">
      <c r="C205" s="8"/>
      <c r="I205" s="8"/>
      <c r="J205" s="8"/>
    </row>
    <row r="206">
      <c r="C206" s="8"/>
      <c r="I206" s="8"/>
      <c r="J206" s="8"/>
    </row>
    <row r="207">
      <c r="C207" s="8"/>
      <c r="I207" s="8"/>
      <c r="J207" s="8"/>
    </row>
    <row r="208">
      <c r="C208" s="8"/>
      <c r="I208" s="8"/>
      <c r="J208" s="8"/>
    </row>
    <row r="209">
      <c r="C209" s="8"/>
      <c r="I209" s="8"/>
      <c r="J209" s="8"/>
    </row>
    <row r="210">
      <c r="C210" s="8"/>
      <c r="I210" s="8"/>
      <c r="J210" s="8"/>
    </row>
    <row r="211">
      <c r="C211" s="8"/>
      <c r="I211" s="8"/>
      <c r="J211" s="8"/>
    </row>
    <row r="212">
      <c r="C212" s="8"/>
      <c r="I212" s="8"/>
      <c r="J212" s="8"/>
    </row>
    <row r="213">
      <c r="C213" s="8"/>
      <c r="I213" s="8"/>
      <c r="J213" s="8"/>
    </row>
    <row r="214">
      <c r="C214" s="8"/>
      <c r="I214" s="8"/>
      <c r="J214" s="8"/>
    </row>
    <row r="215">
      <c r="C215" s="8"/>
      <c r="I215" s="8"/>
      <c r="J215" s="8"/>
    </row>
    <row r="216">
      <c r="C216" s="8"/>
      <c r="I216" s="8"/>
      <c r="J216" s="8"/>
    </row>
    <row r="217">
      <c r="C217" s="8"/>
      <c r="I217" s="8"/>
      <c r="J217" s="8"/>
    </row>
    <row r="218">
      <c r="C218" s="8"/>
      <c r="I218" s="8"/>
      <c r="J218" s="8"/>
    </row>
    <row r="219">
      <c r="C219" s="8"/>
      <c r="I219" s="8"/>
      <c r="J219" s="8"/>
    </row>
    <row r="220">
      <c r="C220" s="8"/>
      <c r="I220" s="8"/>
      <c r="J220" s="8"/>
    </row>
    <row r="221">
      <c r="C221" s="8"/>
      <c r="I221" s="8"/>
      <c r="J221" s="8"/>
    </row>
    <row r="222">
      <c r="C222" s="8"/>
      <c r="I222" s="8"/>
      <c r="J222" s="8"/>
    </row>
    <row r="223">
      <c r="C223" s="8"/>
      <c r="I223" s="8"/>
      <c r="J223" s="8"/>
    </row>
    <row r="224">
      <c r="C224" s="8"/>
      <c r="I224" s="8"/>
      <c r="J224" s="8"/>
    </row>
    <row r="225">
      <c r="C225" s="8"/>
      <c r="I225" s="8"/>
      <c r="J225" s="8"/>
    </row>
    <row r="226">
      <c r="C226" s="8"/>
      <c r="I226" s="8"/>
      <c r="J226" s="8"/>
    </row>
    <row r="227">
      <c r="C227" s="8"/>
      <c r="I227" s="8"/>
      <c r="J227" s="8"/>
    </row>
    <row r="228">
      <c r="C228" s="8"/>
      <c r="I228" s="8"/>
      <c r="J228" s="8"/>
    </row>
    <row r="229">
      <c r="C229" s="8"/>
      <c r="I229" s="8"/>
      <c r="J229" s="8"/>
    </row>
    <row r="230">
      <c r="C230" s="8"/>
      <c r="I230" s="8"/>
      <c r="J230" s="8"/>
    </row>
    <row r="231">
      <c r="C231" s="8"/>
      <c r="I231" s="8"/>
      <c r="J231" s="8"/>
    </row>
    <row r="232">
      <c r="C232" s="8"/>
      <c r="I232" s="8"/>
      <c r="J232" s="8"/>
    </row>
    <row r="233">
      <c r="C233" s="8"/>
      <c r="I233" s="8"/>
      <c r="J233" s="8"/>
    </row>
    <row r="234">
      <c r="C234" s="8"/>
      <c r="I234" s="8"/>
      <c r="J234" s="8"/>
    </row>
    <row r="235">
      <c r="C235" s="8"/>
      <c r="I235" s="8"/>
      <c r="J235" s="8"/>
    </row>
    <row r="236">
      <c r="C236" s="8"/>
      <c r="I236" s="8"/>
      <c r="J236" s="8"/>
    </row>
    <row r="237">
      <c r="C237" s="8"/>
      <c r="I237" s="8"/>
      <c r="J237" s="8"/>
    </row>
    <row r="238">
      <c r="C238" s="8"/>
      <c r="I238" s="8"/>
      <c r="J238" s="8"/>
    </row>
    <row r="239">
      <c r="C239" s="8"/>
      <c r="I239" s="8"/>
      <c r="J239" s="8"/>
    </row>
    <row r="240">
      <c r="C240" s="8"/>
      <c r="I240" s="8"/>
      <c r="J240" s="8"/>
    </row>
    <row r="241">
      <c r="C241" s="8"/>
      <c r="I241" s="8"/>
      <c r="J241" s="8"/>
    </row>
    <row r="242">
      <c r="C242" s="8"/>
      <c r="I242" s="8"/>
      <c r="J242" s="8"/>
    </row>
    <row r="243">
      <c r="C243" s="8"/>
      <c r="I243" s="8"/>
      <c r="J243" s="8"/>
    </row>
    <row r="244">
      <c r="C244" s="8"/>
      <c r="I244" s="8"/>
      <c r="J244" s="8"/>
    </row>
    <row r="245">
      <c r="C245" s="8"/>
      <c r="I245" s="8"/>
      <c r="J245" s="8"/>
    </row>
    <row r="246">
      <c r="C246" s="8"/>
      <c r="I246" s="8"/>
      <c r="J246" s="8"/>
    </row>
    <row r="247">
      <c r="C247" s="8"/>
      <c r="I247" s="8"/>
      <c r="J247" s="8"/>
    </row>
    <row r="248">
      <c r="C248" s="8"/>
      <c r="I248" s="8"/>
      <c r="J248" s="8"/>
    </row>
    <row r="249">
      <c r="C249" s="8"/>
      <c r="I249" s="8"/>
      <c r="J249" s="8"/>
    </row>
    <row r="250">
      <c r="C250" s="8"/>
      <c r="I250" s="8"/>
      <c r="J250" s="8"/>
    </row>
    <row r="251">
      <c r="C251" s="8"/>
      <c r="I251" s="8"/>
      <c r="J251" s="8"/>
    </row>
    <row r="252">
      <c r="C252" s="8"/>
      <c r="I252" s="8"/>
      <c r="J252" s="8"/>
    </row>
    <row r="253">
      <c r="C253" s="8"/>
      <c r="I253" s="8"/>
      <c r="J253" s="8"/>
    </row>
    <row r="254">
      <c r="C254" s="8"/>
      <c r="I254" s="8"/>
      <c r="J254" s="8"/>
    </row>
    <row r="255">
      <c r="C255" s="8"/>
      <c r="I255" s="8"/>
      <c r="J255" s="8"/>
    </row>
    <row r="256">
      <c r="C256" s="8"/>
      <c r="I256" s="8"/>
      <c r="J256" s="8"/>
    </row>
    <row r="257">
      <c r="C257" s="8"/>
      <c r="I257" s="8"/>
      <c r="J257" s="8"/>
    </row>
    <row r="258">
      <c r="C258" s="8"/>
      <c r="I258" s="8"/>
      <c r="J258" s="8"/>
    </row>
    <row r="259">
      <c r="C259" s="8"/>
      <c r="I259" s="8"/>
      <c r="J259" s="8"/>
    </row>
    <row r="260">
      <c r="C260" s="8"/>
      <c r="I260" s="8"/>
      <c r="J260" s="8"/>
    </row>
    <row r="261">
      <c r="C261" s="8"/>
      <c r="I261" s="8"/>
      <c r="J261" s="8"/>
    </row>
    <row r="262">
      <c r="C262" s="8"/>
      <c r="I262" s="8"/>
      <c r="J262" s="8"/>
    </row>
    <row r="263">
      <c r="C263" s="8"/>
      <c r="I263" s="8"/>
      <c r="J263" s="8"/>
    </row>
    <row r="264">
      <c r="C264" s="8"/>
      <c r="I264" s="8"/>
      <c r="J264" s="8"/>
    </row>
    <row r="265">
      <c r="C265" s="8"/>
      <c r="I265" s="8"/>
      <c r="J265" s="8"/>
    </row>
    <row r="266">
      <c r="C266" s="8"/>
      <c r="I266" s="8"/>
      <c r="J266" s="8"/>
    </row>
    <row r="267">
      <c r="C267" s="8"/>
      <c r="I267" s="8"/>
      <c r="J267" s="8"/>
    </row>
    <row r="268">
      <c r="C268" s="8"/>
      <c r="I268" s="8"/>
      <c r="J268" s="8"/>
    </row>
    <row r="269">
      <c r="C269" s="8"/>
      <c r="I269" s="8"/>
      <c r="J269" s="8"/>
    </row>
    <row r="270">
      <c r="C270" s="8"/>
      <c r="I270" s="8"/>
      <c r="J270" s="8"/>
    </row>
    <row r="271">
      <c r="C271" s="8"/>
      <c r="I271" s="8"/>
      <c r="J271" s="8"/>
    </row>
    <row r="272">
      <c r="C272" s="8"/>
      <c r="I272" s="8"/>
      <c r="J272" s="8"/>
    </row>
    <row r="273">
      <c r="C273" s="8"/>
      <c r="I273" s="8"/>
      <c r="J273" s="8"/>
    </row>
    <row r="274">
      <c r="C274" s="8"/>
      <c r="I274" s="8"/>
      <c r="J274" s="8"/>
    </row>
    <row r="275">
      <c r="C275" s="8"/>
      <c r="I275" s="8"/>
      <c r="J275" s="8"/>
    </row>
    <row r="276">
      <c r="C276" s="8"/>
      <c r="I276" s="8"/>
      <c r="J276" s="8"/>
    </row>
    <row r="277">
      <c r="C277" s="8"/>
      <c r="I277" s="8"/>
      <c r="J277" s="8"/>
    </row>
    <row r="278">
      <c r="C278" s="8"/>
      <c r="I278" s="8"/>
      <c r="J278" s="8"/>
    </row>
    <row r="279">
      <c r="C279" s="8"/>
      <c r="I279" s="8"/>
      <c r="J279" s="8"/>
    </row>
    <row r="280">
      <c r="C280" s="8"/>
      <c r="I280" s="8"/>
      <c r="J280" s="8"/>
    </row>
    <row r="281">
      <c r="C281" s="8"/>
      <c r="I281" s="8"/>
      <c r="J281" s="8"/>
    </row>
    <row r="282">
      <c r="C282" s="8"/>
      <c r="I282" s="8"/>
      <c r="J282" s="8"/>
    </row>
    <row r="283">
      <c r="C283" s="8"/>
      <c r="I283" s="8"/>
      <c r="J283" s="8"/>
    </row>
    <row r="284">
      <c r="C284" s="8"/>
      <c r="I284" s="8"/>
      <c r="J284" s="8"/>
    </row>
    <row r="285">
      <c r="C285" s="8"/>
      <c r="I285" s="8"/>
      <c r="J285" s="8"/>
    </row>
    <row r="286">
      <c r="C286" s="8"/>
      <c r="I286" s="8"/>
      <c r="J286" s="8"/>
    </row>
    <row r="287">
      <c r="C287" s="8"/>
      <c r="I287" s="8"/>
      <c r="J287" s="8"/>
    </row>
    <row r="288">
      <c r="C288" s="8"/>
      <c r="I288" s="8"/>
      <c r="J288" s="8"/>
    </row>
    <row r="289">
      <c r="C289" s="8"/>
      <c r="I289" s="8"/>
      <c r="J289" s="8"/>
    </row>
    <row r="290">
      <c r="C290" s="8"/>
      <c r="I290" s="8"/>
      <c r="J290" s="8"/>
    </row>
    <row r="291">
      <c r="C291" s="8"/>
      <c r="I291" s="8"/>
      <c r="J291" s="8"/>
    </row>
    <row r="292">
      <c r="C292" s="8"/>
      <c r="I292" s="8"/>
      <c r="J292" s="8"/>
    </row>
    <row r="293">
      <c r="C293" s="8"/>
      <c r="I293" s="8"/>
      <c r="J293" s="8"/>
    </row>
    <row r="294">
      <c r="C294" s="8"/>
      <c r="I294" s="8"/>
      <c r="J294" s="8"/>
    </row>
    <row r="295">
      <c r="C295" s="8"/>
      <c r="I295" s="8"/>
      <c r="J295" s="8"/>
    </row>
    <row r="296">
      <c r="C296" s="8"/>
      <c r="I296" s="8"/>
      <c r="J296" s="8"/>
    </row>
    <row r="297">
      <c r="C297" s="8"/>
      <c r="I297" s="8"/>
      <c r="J297" s="8"/>
    </row>
    <row r="298">
      <c r="C298" s="8"/>
      <c r="I298" s="8"/>
      <c r="J298" s="8"/>
    </row>
    <row r="299">
      <c r="C299" s="8"/>
      <c r="I299" s="8"/>
      <c r="J299" s="8"/>
    </row>
    <row r="300">
      <c r="C300" s="8"/>
      <c r="I300" s="8"/>
      <c r="J300" s="8"/>
    </row>
    <row r="301">
      <c r="C301" s="8"/>
      <c r="I301" s="8"/>
      <c r="J301" s="8"/>
    </row>
    <row r="302">
      <c r="C302" s="8"/>
      <c r="I302" s="8"/>
      <c r="J302" s="8"/>
    </row>
    <row r="303">
      <c r="C303" s="8"/>
      <c r="I303" s="8"/>
      <c r="J303" s="8"/>
    </row>
    <row r="304">
      <c r="C304" s="8"/>
      <c r="I304" s="8"/>
      <c r="J304" s="8"/>
    </row>
    <row r="305">
      <c r="C305" s="8"/>
      <c r="I305" s="8"/>
      <c r="J305" s="8"/>
    </row>
    <row r="306">
      <c r="C306" s="8"/>
      <c r="I306" s="8"/>
      <c r="J306" s="8"/>
    </row>
    <row r="307">
      <c r="C307" s="8"/>
      <c r="I307" s="8"/>
      <c r="J307" s="8"/>
    </row>
    <row r="308">
      <c r="C308" s="8"/>
      <c r="I308" s="8"/>
      <c r="J308" s="8"/>
    </row>
    <row r="309">
      <c r="C309" s="8"/>
      <c r="I309" s="8"/>
      <c r="J309" s="8"/>
    </row>
    <row r="310">
      <c r="C310" s="8"/>
      <c r="I310" s="8"/>
      <c r="J310" s="8"/>
    </row>
    <row r="311">
      <c r="C311" s="8"/>
      <c r="I311" s="8"/>
      <c r="J311" s="8"/>
    </row>
    <row r="312">
      <c r="C312" s="8"/>
      <c r="I312" s="8"/>
      <c r="J312" s="8"/>
    </row>
    <row r="313">
      <c r="C313" s="8"/>
      <c r="I313" s="8"/>
      <c r="J313" s="8"/>
    </row>
    <row r="314">
      <c r="C314" s="8"/>
      <c r="I314" s="8"/>
      <c r="J314" s="8"/>
    </row>
    <row r="315">
      <c r="C315" s="8"/>
      <c r="I315" s="8"/>
      <c r="J315" s="8"/>
    </row>
    <row r="316">
      <c r="C316" s="8"/>
      <c r="I316" s="8"/>
      <c r="J316" s="8"/>
    </row>
    <row r="317">
      <c r="C317" s="8"/>
      <c r="I317" s="8"/>
      <c r="J317" s="8"/>
    </row>
    <row r="318">
      <c r="C318" s="8"/>
      <c r="I318" s="8"/>
      <c r="J318" s="8"/>
    </row>
    <row r="319">
      <c r="C319" s="8"/>
      <c r="I319" s="8"/>
      <c r="J319" s="8"/>
    </row>
    <row r="320">
      <c r="C320" s="8"/>
      <c r="I320" s="8"/>
      <c r="J320" s="8"/>
    </row>
    <row r="321">
      <c r="C321" s="8"/>
      <c r="I321" s="8"/>
      <c r="J321" s="8"/>
    </row>
    <row r="322">
      <c r="C322" s="8"/>
      <c r="I322" s="8"/>
      <c r="J322" s="8"/>
    </row>
    <row r="323">
      <c r="C323" s="8"/>
      <c r="I323" s="8"/>
      <c r="J323" s="8"/>
    </row>
    <row r="324">
      <c r="C324" s="8"/>
      <c r="I324" s="8"/>
      <c r="J324" s="8"/>
    </row>
    <row r="325">
      <c r="C325" s="8"/>
      <c r="I325" s="8"/>
      <c r="J325" s="8"/>
    </row>
    <row r="326">
      <c r="C326" s="8"/>
      <c r="I326" s="8"/>
      <c r="J326" s="8"/>
    </row>
    <row r="327">
      <c r="C327" s="8"/>
      <c r="I327" s="8"/>
      <c r="J327" s="8"/>
    </row>
    <row r="328">
      <c r="C328" s="8"/>
      <c r="I328" s="8"/>
      <c r="J328" s="8"/>
    </row>
    <row r="329">
      <c r="C329" s="8"/>
      <c r="I329" s="8"/>
      <c r="J329" s="8"/>
    </row>
    <row r="330">
      <c r="C330" s="8"/>
      <c r="I330" s="8"/>
      <c r="J330" s="8"/>
    </row>
    <row r="331">
      <c r="C331" s="8"/>
      <c r="I331" s="8"/>
      <c r="J331" s="8"/>
    </row>
    <row r="332">
      <c r="C332" s="8"/>
      <c r="I332" s="8"/>
      <c r="J332" s="8"/>
    </row>
    <row r="333">
      <c r="C333" s="8"/>
      <c r="I333" s="8"/>
      <c r="J333" s="8"/>
    </row>
    <row r="334">
      <c r="C334" s="8"/>
      <c r="I334" s="8"/>
      <c r="J334" s="8"/>
    </row>
    <row r="335">
      <c r="C335" s="8"/>
      <c r="I335" s="8"/>
      <c r="J335" s="8"/>
    </row>
    <row r="336">
      <c r="C336" s="8"/>
      <c r="I336" s="8"/>
      <c r="J336" s="8"/>
    </row>
    <row r="337">
      <c r="C337" s="8"/>
      <c r="I337" s="8"/>
      <c r="J337" s="8"/>
    </row>
    <row r="338">
      <c r="C338" s="8"/>
      <c r="I338" s="8"/>
      <c r="J338" s="8"/>
    </row>
    <row r="339">
      <c r="C339" s="8"/>
      <c r="I339" s="8"/>
      <c r="J339" s="8"/>
    </row>
    <row r="340">
      <c r="C340" s="8"/>
      <c r="I340" s="8"/>
      <c r="J340" s="8"/>
    </row>
    <row r="341">
      <c r="C341" s="8"/>
      <c r="I341" s="8"/>
      <c r="J341" s="8"/>
    </row>
    <row r="342">
      <c r="C342" s="8"/>
      <c r="I342" s="8"/>
      <c r="J342" s="8"/>
    </row>
    <row r="343">
      <c r="C343" s="8"/>
      <c r="I343" s="8"/>
      <c r="J343" s="8"/>
    </row>
    <row r="344">
      <c r="C344" s="8"/>
      <c r="I344" s="8"/>
      <c r="J344" s="8"/>
    </row>
    <row r="345">
      <c r="C345" s="8"/>
      <c r="I345" s="8"/>
      <c r="J345" s="8"/>
    </row>
    <row r="346">
      <c r="C346" s="8"/>
      <c r="I346" s="8"/>
      <c r="J346" s="8"/>
    </row>
    <row r="347">
      <c r="C347" s="8"/>
      <c r="I347" s="8"/>
      <c r="J347" s="8"/>
    </row>
    <row r="348">
      <c r="C348" s="8"/>
      <c r="I348" s="8"/>
      <c r="J348" s="8"/>
    </row>
    <row r="349">
      <c r="C349" s="8"/>
      <c r="I349" s="8"/>
      <c r="J349" s="8"/>
    </row>
    <row r="350">
      <c r="C350" s="8"/>
      <c r="I350" s="8"/>
      <c r="J350" s="8"/>
    </row>
    <row r="351">
      <c r="C351" s="8"/>
      <c r="I351" s="8"/>
      <c r="J351" s="8"/>
    </row>
    <row r="352">
      <c r="C352" s="8"/>
      <c r="I352" s="8"/>
      <c r="J352" s="8"/>
    </row>
    <row r="353">
      <c r="C353" s="8"/>
      <c r="I353" s="8"/>
      <c r="J353" s="8"/>
    </row>
    <row r="354">
      <c r="C354" s="8"/>
      <c r="I354" s="8"/>
      <c r="J354" s="8"/>
    </row>
    <row r="355">
      <c r="C355" s="8"/>
      <c r="I355" s="8"/>
      <c r="J355" s="8"/>
    </row>
    <row r="356">
      <c r="C356" s="8"/>
      <c r="I356" s="8"/>
      <c r="J356" s="8"/>
    </row>
    <row r="357">
      <c r="C357" s="8"/>
      <c r="I357" s="8"/>
      <c r="J357" s="8"/>
    </row>
    <row r="358">
      <c r="C358" s="8"/>
      <c r="I358" s="8"/>
      <c r="J358" s="8"/>
    </row>
    <row r="359">
      <c r="C359" s="8"/>
      <c r="I359" s="8"/>
      <c r="J359" s="8"/>
    </row>
    <row r="360">
      <c r="C360" s="8"/>
      <c r="I360" s="8"/>
      <c r="J360" s="8"/>
    </row>
    <row r="361">
      <c r="C361" s="8"/>
      <c r="I361" s="8"/>
      <c r="J361" s="8"/>
    </row>
    <row r="362">
      <c r="C362" s="8"/>
      <c r="I362" s="8"/>
      <c r="J362" s="8"/>
    </row>
    <row r="363">
      <c r="C363" s="8"/>
      <c r="I363" s="8"/>
      <c r="J363" s="8"/>
    </row>
    <row r="364">
      <c r="C364" s="8"/>
      <c r="I364" s="8"/>
      <c r="J364" s="8"/>
    </row>
    <row r="365">
      <c r="C365" s="8"/>
      <c r="I365" s="8"/>
      <c r="J365" s="8"/>
    </row>
    <row r="366">
      <c r="C366" s="8"/>
      <c r="I366" s="8"/>
      <c r="J366" s="8"/>
    </row>
    <row r="367">
      <c r="C367" s="8"/>
      <c r="I367" s="8"/>
      <c r="J367" s="8"/>
    </row>
    <row r="368">
      <c r="C368" s="8"/>
      <c r="I368" s="8"/>
      <c r="J368" s="8"/>
    </row>
    <row r="369">
      <c r="C369" s="8"/>
      <c r="I369" s="8"/>
      <c r="J369" s="8"/>
    </row>
    <row r="370">
      <c r="C370" s="8"/>
      <c r="I370" s="8"/>
      <c r="J370" s="8"/>
    </row>
    <row r="371">
      <c r="C371" s="8"/>
      <c r="I371" s="8"/>
      <c r="J371" s="8"/>
    </row>
    <row r="372">
      <c r="C372" s="8"/>
      <c r="I372" s="8"/>
      <c r="J372" s="8"/>
    </row>
    <row r="373">
      <c r="C373" s="8"/>
      <c r="I373" s="8"/>
      <c r="J373" s="8"/>
    </row>
    <row r="374">
      <c r="C374" s="8"/>
      <c r="I374" s="8"/>
      <c r="J374" s="8"/>
    </row>
    <row r="375">
      <c r="C375" s="8"/>
      <c r="I375" s="8"/>
      <c r="J375" s="8"/>
    </row>
    <row r="376">
      <c r="C376" s="8"/>
      <c r="I376" s="8"/>
      <c r="J376" s="8"/>
    </row>
    <row r="377">
      <c r="C377" s="8"/>
      <c r="I377" s="8"/>
      <c r="J377" s="8"/>
    </row>
    <row r="378">
      <c r="C378" s="8"/>
      <c r="I378" s="8"/>
      <c r="J378" s="8"/>
    </row>
    <row r="379">
      <c r="C379" s="8"/>
      <c r="I379" s="8"/>
      <c r="J379" s="8"/>
    </row>
    <row r="380">
      <c r="C380" s="8"/>
      <c r="I380" s="8"/>
      <c r="J380" s="8"/>
    </row>
    <row r="381">
      <c r="C381" s="8"/>
      <c r="I381" s="8"/>
      <c r="J381" s="8"/>
    </row>
    <row r="382">
      <c r="C382" s="8"/>
      <c r="I382" s="8"/>
      <c r="J382" s="8"/>
    </row>
    <row r="383">
      <c r="C383" s="8"/>
      <c r="I383" s="8"/>
      <c r="J383" s="8"/>
    </row>
    <row r="384">
      <c r="C384" s="8"/>
      <c r="I384" s="8"/>
      <c r="J384" s="8"/>
    </row>
    <row r="385">
      <c r="C385" s="8"/>
      <c r="I385" s="8"/>
      <c r="J385" s="8"/>
    </row>
    <row r="386">
      <c r="C386" s="8"/>
      <c r="I386" s="8"/>
      <c r="J386" s="8"/>
    </row>
    <row r="387">
      <c r="C387" s="8"/>
      <c r="I387" s="8"/>
      <c r="J387" s="8"/>
    </row>
    <row r="388">
      <c r="C388" s="8"/>
      <c r="I388" s="8"/>
      <c r="J388" s="8"/>
    </row>
    <row r="389">
      <c r="C389" s="8"/>
      <c r="I389" s="8"/>
      <c r="J389" s="8"/>
    </row>
    <row r="390">
      <c r="C390" s="8"/>
      <c r="I390" s="8"/>
      <c r="J390" s="8"/>
    </row>
    <row r="391">
      <c r="C391" s="8"/>
      <c r="I391" s="8"/>
      <c r="J391" s="8"/>
    </row>
    <row r="392">
      <c r="C392" s="8"/>
      <c r="I392" s="8"/>
      <c r="J392" s="8"/>
    </row>
    <row r="393">
      <c r="C393" s="8"/>
      <c r="I393" s="8"/>
      <c r="J393" s="8"/>
    </row>
    <row r="394">
      <c r="C394" s="8"/>
      <c r="I394" s="8"/>
      <c r="J394" s="8"/>
    </row>
    <row r="395">
      <c r="C395" s="8"/>
      <c r="I395" s="8"/>
      <c r="J395" s="8"/>
    </row>
    <row r="396">
      <c r="C396" s="8"/>
      <c r="I396" s="8"/>
      <c r="J396" s="8"/>
    </row>
    <row r="397">
      <c r="C397" s="8"/>
      <c r="I397" s="8"/>
      <c r="J397" s="8"/>
    </row>
    <row r="398">
      <c r="C398" s="8"/>
      <c r="I398" s="8"/>
      <c r="J398" s="8"/>
    </row>
    <row r="399">
      <c r="C399" s="8"/>
      <c r="I399" s="8"/>
      <c r="J399" s="8"/>
    </row>
    <row r="400">
      <c r="C400" s="8"/>
      <c r="I400" s="8"/>
      <c r="J400" s="8"/>
    </row>
    <row r="401">
      <c r="C401" s="8"/>
      <c r="I401" s="8"/>
      <c r="J401" s="8"/>
    </row>
    <row r="402">
      <c r="C402" s="8"/>
      <c r="I402" s="8"/>
      <c r="J402" s="8"/>
    </row>
    <row r="403">
      <c r="C403" s="8"/>
      <c r="I403" s="8"/>
      <c r="J403" s="8"/>
    </row>
    <row r="404">
      <c r="C404" s="8"/>
      <c r="I404" s="8"/>
      <c r="J404" s="8"/>
    </row>
    <row r="405">
      <c r="C405" s="8"/>
      <c r="I405" s="8"/>
      <c r="J405" s="8"/>
    </row>
    <row r="406">
      <c r="C406" s="8"/>
      <c r="I406" s="8"/>
      <c r="J406" s="8"/>
    </row>
    <row r="407">
      <c r="C407" s="8"/>
      <c r="I407" s="8"/>
      <c r="J407" s="8"/>
    </row>
    <row r="408">
      <c r="C408" s="8"/>
      <c r="I408" s="8"/>
      <c r="J408" s="8"/>
    </row>
    <row r="409">
      <c r="C409" s="8"/>
      <c r="I409" s="8"/>
      <c r="J409" s="8"/>
    </row>
    <row r="410">
      <c r="C410" s="8"/>
      <c r="I410" s="8"/>
      <c r="J410" s="8"/>
    </row>
    <row r="411">
      <c r="C411" s="8"/>
      <c r="I411" s="8"/>
      <c r="J411" s="8"/>
    </row>
    <row r="412">
      <c r="C412" s="8"/>
      <c r="I412" s="8"/>
      <c r="J412" s="8"/>
    </row>
    <row r="413">
      <c r="C413" s="8"/>
      <c r="I413" s="8"/>
      <c r="J413" s="8"/>
    </row>
    <row r="414">
      <c r="C414" s="8"/>
      <c r="I414" s="8"/>
      <c r="J414" s="8"/>
    </row>
    <row r="415">
      <c r="C415" s="8"/>
      <c r="I415" s="8"/>
      <c r="J415" s="8"/>
    </row>
    <row r="416">
      <c r="C416" s="8"/>
      <c r="I416" s="8"/>
      <c r="J416" s="8"/>
    </row>
    <row r="417">
      <c r="C417" s="8"/>
      <c r="I417" s="8"/>
      <c r="J417" s="8"/>
    </row>
    <row r="418">
      <c r="C418" s="8"/>
      <c r="I418" s="8"/>
      <c r="J418" s="8"/>
    </row>
    <row r="419">
      <c r="C419" s="8"/>
      <c r="I419" s="8"/>
      <c r="J419" s="8"/>
    </row>
    <row r="420">
      <c r="C420" s="8"/>
      <c r="I420" s="8"/>
      <c r="J420" s="8"/>
    </row>
    <row r="421">
      <c r="C421" s="8"/>
      <c r="I421" s="8"/>
      <c r="J421" s="8"/>
    </row>
    <row r="422">
      <c r="C422" s="8"/>
      <c r="I422" s="8"/>
      <c r="J422" s="8"/>
    </row>
    <row r="423">
      <c r="C423" s="8"/>
      <c r="I423" s="8"/>
      <c r="J423" s="8"/>
    </row>
    <row r="424">
      <c r="C424" s="8"/>
      <c r="I424" s="8"/>
      <c r="J424" s="8"/>
    </row>
    <row r="425">
      <c r="C425" s="8"/>
      <c r="I425" s="8"/>
      <c r="J425" s="8"/>
    </row>
    <row r="426">
      <c r="C426" s="8"/>
      <c r="I426" s="8"/>
      <c r="J426" s="8"/>
    </row>
    <row r="427">
      <c r="C427" s="8"/>
      <c r="I427" s="8"/>
      <c r="J427" s="8"/>
    </row>
    <row r="428">
      <c r="C428" s="8"/>
      <c r="I428" s="8"/>
      <c r="J428" s="8"/>
    </row>
    <row r="429">
      <c r="C429" s="8"/>
      <c r="I429" s="8"/>
      <c r="J429" s="8"/>
    </row>
    <row r="430">
      <c r="C430" s="8"/>
      <c r="I430" s="8"/>
      <c r="J430" s="8"/>
    </row>
    <row r="431">
      <c r="C431" s="8"/>
      <c r="I431" s="8"/>
      <c r="J431" s="8"/>
    </row>
    <row r="432">
      <c r="C432" s="8"/>
      <c r="I432" s="8"/>
      <c r="J432" s="8"/>
    </row>
    <row r="433">
      <c r="C433" s="8"/>
      <c r="I433" s="8"/>
      <c r="J433" s="8"/>
    </row>
    <row r="434">
      <c r="C434" s="8"/>
      <c r="I434" s="8"/>
      <c r="J434" s="8"/>
    </row>
    <row r="435">
      <c r="C435" s="8"/>
      <c r="I435" s="8"/>
      <c r="J435" s="8"/>
    </row>
    <row r="436">
      <c r="C436" s="8"/>
      <c r="I436" s="8"/>
      <c r="J436" s="8"/>
    </row>
    <row r="437">
      <c r="C437" s="8"/>
      <c r="I437" s="8"/>
      <c r="J437" s="8"/>
    </row>
    <row r="438">
      <c r="C438" s="8"/>
      <c r="I438" s="8"/>
      <c r="J438" s="8"/>
    </row>
    <row r="439">
      <c r="C439" s="8"/>
      <c r="I439" s="8"/>
      <c r="J439" s="8"/>
    </row>
    <row r="440">
      <c r="C440" s="8"/>
      <c r="I440" s="8"/>
      <c r="J440" s="8"/>
    </row>
    <row r="441">
      <c r="C441" s="8"/>
      <c r="I441" s="8"/>
      <c r="J441" s="8"/>
    </row>
    <row r="442">
      <c r="C442" s="8"/>
      <c r="I442" s="8"/>
      <c r="J442" s="8"/>
    </row>
    <row r="443">
      <c r="C443" s="8"/>
      <c r="I443" s="8"/>
      <c r="J443" s="8"/>
    </row>
    <row r="444">
      <c r="C444" s="8"/>
      <c r="I444" s="8"/>
      <c r="J444" s="8"/>
    </row>
    <row r="445">
      <c r="C445" s="8"/>
      <c r="I445" s="8"/>
      <c r="J445" s="8"/>
    </row>
    <row r="446">
      <c r="C446" s="8"/>
      <c r="I446" s="8"/>
      <c r="J446" s="8"/>
    </row>
    <row r="447">
      <c r="C447" s="8"/>
      <c r="I447" s="8"/>
      <c r="J447" s="8"/>
    </row>
    <row r="448">
      <c r="C448" s="8"/>
      <c r="I448" s="8"/>
      <c r="J448" s="8"/>
    </row>
    <row r="449">
      <c r="C449" s="8"/>
      <c r="I449" s="8"/>
      <c r="J449" s="8"/>
    </row>
    <row r="450">
      <c r="C450" s="8"/>
      <c r="I450" s="8"/>
      <c r="J450" s="8"/>
    </row>
    <row r="451">
      <c r="C451" s="8"/>
      <c r="I451" s="8"/>
      <c r="J451" s="8"/>
    </row>
    <row r="452">
      <c r="C452" s="8"/>
      <c r="I452" s="8"/>
      <c r="J452" s="8"/>
    </row>
    <row r="453">
      <c r="C453" s="8"/>
      <c r="I453" s="8"/>
      <c r="J453" s="8"/>
    </row>
    <row r="454">
      <c r="C454" s="8"/>
      <c r="I454" s="8"/>
      <c r="J454" s="8"/>
    </row>
    <row r="455">
      <c r="C455" s="8"/>
      <c r="I455" s="8"/>
      <c r="J455" s="8"/>
    </row>
    <row r="456">
      <c r="C456" s="8"/>
      <c r="I456" s="8"/>
      <c r="J456" s="8"/>
    </row>
    <row r="457">
      <c r="C457" s="8"/>
      <c r="I457" s="8"/>
      <c r="J457" s="8"/>
    </row>
    <row r="458">
      <c r="C458" s="8"/>
      <c r="I458" s="8"/>
      <c r="J458" s="8"/>
    </row>
    <row r="459">
      <c r="C459" s="8"/>
      <c r="I459" s="8"/>
      <c r="J459" s="8"/>
    </row>
    <row r="460">
      <c r="C460" s="8"/>
      <c r="I460" s="8"/>
      <c r="J460" s="8"/>
    </row>
    <row r="461">
      <c r="C461" s="8"/>
      <c r="I461" s="8"/>
      <c r="J461" s="8"/>
    </row>
    <row r="462">
      <c r="C462" s="8"/>
      <c r="I462" s="8"/>
      <c r="J462" s="8"/>
    </row>
    <row r="463">
      <c r="C463" s="8"/>
      <c r="I463" s="8"/>
      <c r="J463" s="8"/>
    </row>
    <row r="464">
      <c r="C464" s="8"/>
      <c r="I464" s="8"/>
      <c r="J464" s="8"/>
    </row>
    <row r="465">
      <c r="C465" s="8"/>
      <c r="I465" s="8"/>
      <c r="J465" s="8"/>
    </row>
    <row r="466">
      <c r="C466" s="8"/>
      <c r="I466" s="8"/>
      <c r="J466" s="8"/>
    </row>
    <row r="467">
      <c r="C467" s="8"/>
      <c r="I467" s="8"/>
      <c r="J467" s="8"/>
    </row>
    <row r="468">
      <c r="C468" s="8"/>
      <c r="I468" s="8"/>
      <c r="J468" s="8"/>
    </row>
    <row r="469">
      <c r="C469" s="8"/>
      <c r="I469" s="8"/>
      <c r="J469" s="8"/>
    </row>
    <row r="470">
      <c r="C470" s="8"/>
      <c r="I470" s="8"/>
      <c r="J470" s="8"/>
    </row>
    <row r="471">
      <c r="C471" s="8"/>
      <c r="I471" s="8"/>
      <c r="J471" s="8"/>
    </row>
    <row r="472">
      <c r="C472" s="8"/>
      <c r="I472" s="8"/>
      <c r="J472" s="8"/>
    </row>
    <row r="473">
      <c r="C473" s="8"/>
      <c r="I473" s="8"/>
      <c r="J473" s="8"/>
    </row>
    <row r="474">
      <c r="C474" s="8"/>
      <c r="I474" s="8"/>
      <c r="J474" s="8"/>
    </row>
    <row r="475">
      <c r="C475" s="8"/>
      <c r="I475" s="8"/>
      <c r="J475" s="8"/>
    </row>
    <row r="476">
      <c r="C476" s="8"/>
      <c r="I476" s="8"/>
      <c r="J476" s="8"/>
    </row>
    <row r="477">
      <c r="C477" s="8"/>
      <c r="I477" s="8"/>
      <c r="J477" s="8"/>
    </row>
    <row r="478">
      <c r="C478" s="8"/>
      <c r="I478" s="8"/>
      <c r="J478" s="8"/>
    </row>
    <row r="479">
      <c r="C479" s="8"/>
      <c r="I479" s="8"/>
      <c r="J479" s="8"/>
    </row>
    <row r="480">
      <c r="C480" s="8"/>
      <c r="I480" s="8"/>
      <c r="J480" s="8"/>
    </row>
    <row r="481">
      <c r="C481" s="8"/>
      <c r="I481" s="8"/>
      <c r="J481" s="8"/>
    </row>
    <row r="482">
      <c r="C482" s="8"/>
      <c r="I482" s="8"/>
      <c r="J482" s="8"/>
    </row>
    <row r="483">
      <c r="C483" s="8"/>
      <c r="I483" s="8"/>
      <c r="J483" s="8"/>
    </row>
    <row r="484">
      <c r="C484" s="8"/>
      <c r="I484" s="8"/>
      <c r="J484" s="8"/>
    </row>
    <row r="485">
      <c r="C485" s="8"/>
      <c r="I485" s="8"/>
      <c r="J485" s="8"/>
    </row>
    <row r="486">
      <c r="C486" s="8"/>
      <c r="I486" s="8"/>
      <c r="J486" s="8"/>
    </row>
    <row r="487">
      <c r="C487" s="8"/>
      <c r="I487" s="8"/>
      <c r="J487" s="8"/>
    </row>
    <row r="488">
      <c r="C488" s="8"/>
      <c r="I488" s="8"/>
      <c r="J488" s="8"/>
    </row>
    <row r="489">
      <c r="C489" s="8"/>
      <c r="I489" s="8"/>
      <c r="J489" s="8"/>
    </row>
    <row r="490">
      <c r="C490" s="8"/>
      <c r="I490" s="8"/>
      <c r="J490" s="8"/>
    </row>
    <row r="491">
      <c r="C491" s="8"/>
      <c r="I491" s="8"/>
      <c r="J491" s="8"/>
    </row>
    <row r="492">
      <c r="C492" s="8"/>
      <c r="I492" s="8"/>
      <c r="J492" s="8"/>
    </row>
    <row r="493">
      <c r="C493" s="8"/>
      <c r="I493" s="8"/>
      <c r="J493" s="8"/>
    </row>
    <row r="494">
      <c r="C494" s="8"/>
      <c r="I494" s="8"/>
      <c r="J494" s="8"/>
    </row>
    <row r="495">
      <c r="C495" s="8"/>
      <c r="I495" s="8"/>
      <c r="J495" s="8"/>
    </row>
    <row r="496">
      <c r="C496" s="8"/>
      <c r="I496" s="8"/>
      <c r="J496" s="8"/>
    </row>
    <row r="497">
      <c r="C497" s="8"/>
      <c r="I497" s="8"/>
      <c r="J497" s="8"/>
    </row>
    <row r="498">
      <c r="C498" s="8"/>
      <c r="I498" s="8"/>
      <c r="J498" s="8"/>
    </row>
    <row r="499">
      <c r="C499" s="8"/>
      <c r="I499" s="8"/>
      <c r="J499" s="8"/>
    </row>
    <row r="500">
      <c r="C500" s="8"/>
      <c r="I500" s="8"/>
      <c r="J500" s="8"/>
    </row>
    <row r="501">
      <c r="C501" s="8"/>
      <c r="I501" s="8"/>
      <c r="J501" s="8"/>
    </row>
    <row r="502">
      <c r="C502" s="8"/>
      <c r="I502" s="8"/>
      <c r="J502" s="8"/>
    </row>
    <row r="503">
      <c r="C503" s="8"/>
      <c r="I503" s="8"/>
      <c r="J503" s="8"/>
    </row>
    <row r="504">
      <c r="C504" s="8"/>
      <c r="I504" s="8"/>
      <c r="J504" s="8"/>
    </row>
    <row r="505">
      <c r="C505" s="8"/>
      <c r="I505" s="8"/>
      <c r="J505" s="8"/>
    </row>
    <row r="506">
      <c r="C506" s="8"/>
      <c r="I506" s="8"/>
      <c r="J506" s="8"/>
    </row>
    <row r="507">
      <c r="C507" s="8"/>
      <c r="I507" s="8"/>
      <c r="J507" s="8"/>
    </row>
    <row r="508">
      <c r="C508" s="8"/>
      <c r="I508" s="8"/>
      <c r="J508" s="8"/>
    </row>
    <row r="509">
      <c r="C509" s="8"/>
      <c r="I509" s="8"/>
      <c r="J509" s="8"/>
    </row>
    <row r="510">
      <c r="C510" s="8"/>
      <c r="I510" s="8"/>
      <c r="J510" s="8"/>
    </row>
    <row r="511">
      <c r="C511" s="8"/>
      <c r="I511" s="8"/>
      <c r="J511" s="8"/>
    </row>
    <row r="512">
      <c r="C512" s="8"/>
      <c r="I512" s="8"/>
      <c r="J512" s="8"/>
    </row>
    <row r="513">
      <c r="C513" s="8"/>
      <c r="I513" s="8"/>
      <c r="J513" s="8"/>
    </row>
    <row r="514">
      <c r="C514" s="8"/>
      <c r="I514" s="8"/>
      <c r="J514" s="8"/>
    </row>
    <row r="515">
      <c r="C515" s="8"/>
      <c r="I515" s="8"/>
      <c r="J515" s="8"/>
    </row>
    <row r="516">
      <c r="C516" s="8"/>
      <c r="I516" s="8"/>
      <c r="J516" s="8"/>
    </row>
    <row r="517">
      <c r="C517" s="8"/>
      <c r="I517" s="8"/>
      <c r="J517" s="8"/>
    </row>
    <row r="518">
      <c r="C518" s="8"/>
      <c r="I518" s="8"/>
      <c r="J518" s="8"/>
    </row>
    <row r="519">
      <c r="C519" s="8"/>
      <c r="I519" s="8"/>
      <c r="J519" s="8"/>
    </row>
    <row r="520">
      <c r="C520" s="8"/>
      <c r="I520" s="8"/>
      <c r="J520" s="8"/>
    </row>
    <row r="521">
      <c r="C521" s="8"/>
      <c r="I521" s="8"/>
      <c r="J521" s="8"/>
    </row>
    <row r="522">
      <c r="C522" s="8"/>
      <c r="I522" s="8"/>
      <c r="J522" s="8"/>
    </row>
    <row r="523">
      <c r="C523" s="8"/>
      <c r="I523" s="8"/>
      <c r="J523" s="8"/>
    </row>
    <row r="524">
      <c r="C524" s="8"/>
      <c r="I524" s="8"/>
      <c r="J524" s="8"/>
    </row>
    <row r="525">
      <c r="C525" s="8"/>
      <c r="I525" s="8"/>
      <c r="J525" s="8"/>
    </row>
    <row r="526">
      <c r="C526" s="8"/>
      <c r="I526" s="8"/>
      <c r="J526" s="8"/>
    </row>
    <row r="527">
      <c r="C527" s="8"/>
      <c r="I527" s="8"/>
      <c r="J527" s="8"/>
    </row>
    <row r="528">
      <c r="C528" s="8"/>
      <c r="I528" s="8"/>
      <c r="J528" s="8"/>
    </row>
    <row r="529">
      <c r="C529" s="8"/>
      <c r="I529" s="8"/>
      <c r="J529" s="8"/>
    </row>
    <row r="530">
      <c r="C530" s="8"/>
      <c r="I530" s="8"/>
      <c r="J530" s="8"/>
    </row>
    <row r="531">
      <c r="C531" s="8"/>
      <c r="I531" s="8"/>
      <c r="J531" s="8"/>
    </row>
    <row r="532">
      <c r="C532" s="8"/>
      <c r="I532" s="8"/>
      <c r="J532" s="8"/>
    </row>
    <row r="533">
      <c r="C533" s="8"/>
      <c r="I533" s="8"/>
      <c r="J533" s="8"/>
    </row>
    <row r="534">
      <c r="C534" s="8"/>
      <c r="I534" s="8"/>
      <c r="J534" s="8"/>
    </row>
    <row r="535">
      <c r="C535" s="8"/>
      <c r="I535" s="8"/>
      <c r="J535" s="8"/>
    </row>
    <row r="536">
      <c r="C536" s="8"/>
      <c r="I536" s="8"/>
      <c r="J536" s="8"/>
    </row>
    <row r="537">
      <c r="C537" s="8"/>
      <c r="I537" s="8"/>
      <c r="J537" s="8"/>
    </row>
    <row r="538">
      <c r="C538" s="8"/>
      <c r="I538" s="8"/>
      <c r="J538" s="8"/>
    </row>
    <row r="539">
      <c r="C539" s="8"/>
      <c r="I539" s="8"/>
      <c r="J539" s="8"/>
    </row>
    <row r="540">
      <c r="C540" s="8"/>
      <c r="I540" s="8"/>
      <c r="J540" s="8"/>
    </row>
    <row r="541">
      <c r="C541" s="8"/>
      <c r="I541" s="8"/>
      <c r="J541" s="8"/>
    </row>
    <row r="542">
      <c r="C542" s="8"/>
      <c r="I542" s="8"/>
      <c r="J542" s="8"/>
    </row>
    <row r="543">
      <c r="C543" s="8"/>
      <c r="I543" s="8"/>
      <c r="J543" s="8"/>
    </row>
    <row r="544">
      <c r="C544" s="8"/>
      <c r="I544" s="8"/>
      <c r="J544" s="8"/>
    </row>
    <row r="545">
      <c r="C545" s="8"/>
      <c r="I545" s="8"/>
      <c r="J545" s="8"/>
    </row>
    <row r="546">
      <c r="C546" s="8"/>
      <c r="I546" s="8"/>
      <c r="J546" s="8"/>
    </row>
    <row r="547">
      <c r="C547" s="8"/>
      <c r="I547" s="8"/>
      <c r="J547" s="8"/>
    </row>
    <row r="548">
      <c r="C548" s="8"/>
      <c r="I548" s="8"/>
      <c r="J548" s="8"/>
    </row>
    <row r="549">
      <c r="C549" s="8"/>
      <c r="I549" s="8"/>
      <c r="J549" s="8"/>
    </row>
    <row r="550">
      <c r="C550" s="8"/>
      <c r="I550" s="8"/>
      <c r="J550" s="8"/>
    </row>
    <row r="551">
      <c r="C551" s="8"/>
      <c r="I551" s="8"/>
      <c r="J551" s="8"/>
    </row>
    <row r="552">
      <c r="C552" s="8"/>
      <c r="I552" s="8"/>
      <c r="J552" s="8"/>
    </row>
    <row r="553">
      <c r="C553" s="8"/>
      <c r="I553" s="8"/>
      <c r="J553" s="8"/>
    </row>
    <row r="554">
      <c r="C554" s="8"/>
      <c r="I554" s="8"/>
      <c r="J554" s="8"/>
    </row>
    <row r="555">
      <c r="C555" s="8"/>
      <c r="I555" s="8"/>
      <c r="J555" s="8"/>
    </row>
    <row r="556">
      <c r="C556" s="8"/>
      <c r="I556" s="8"/>
      <c r="J556" s="8"/>
    </row>
    <row r="557">
      <c r="C557" s="8"/>
      <c r="I557" s="8"/>
      <c r="J557" s="8"/>
    </row>
    <row r="558">
      <c r="C558" s="8"/>
      <c r="I558" s="8"/>
      <c r="J558" s="8"/>
    </row>
    <row r="559">
      <c r="C559" s="8"/>
      <c r="I559" s="8"/>
      <c r="J559" s="8"/>
    </row>
    <row r="560">
      <c r="C560" s="8"/>
      <c r="I560" s="8"/>
      <c r="J560" s="8"/>
    </row>
    <row r="561">
      <c r="C561" s="8"/>
      <c r="I561" s="8"/>
      <c r="J561" s="8"/>
    </row>
    <row r="562">
      <c r="C562" s="8"/>
      <c r="I562" s="8"/>
      <c r="J562" s="8"/>
    </row>
    <row r="563">
      <c r="C563" s="8"/>
      <c r="I563" s="8"/>
      <c r="J563" s="8"/>
    </row>
    <row r="564">
      <c r="C564" s="8"/>
      <c r="I564" s="8"/>
      <c r="J564" s="8"/>
    </row>
    <row r="565">
      <c r="C565" s="8"/>
      <c r="I565" s="8"/>
      <c r="J565" s="8"/>
    </row>
    <row r="566">
      <c r="C566" s="8"/>
      <c r="I566" s="8"/>
      <c r="J566" s="8"/>
    </row>
    <row r="567">
      <c r="C567" s="8"/>
      <c r="I567" s="8"/>
      <c r="J567" s="8"/>
    </row>
    <row r="568">
      <c r="C568" s="8"/>
      <c r="I568" s="8"/>
      <c r="J568" s="8"/>
    </row>
    <row r="569">
      <c r="C569" s="8"/>
      <c r="I569" s="8"/>
      <c r="J569" s="8"/>
    </row>
    <row r="570">
      <c r="C570" s="8"/>
      <c r="I570" s="8"/>
      <c r="J570" s="8"/>
    </row>
    <row r="571">
      <c r="C571" s="8"/>
      <c r="I571" s="8"/>
      <c r="J571" s="8"/>
    </row>
    <row r="572">
      <c r="C572" s="8"/>
      <c r="I572" s="8"/>
      <c r="J572" s="8"/>
    </row>
    <row r="573">
      <c r="C573" s="8"/>
      <c r="I573" s="8"/>
      <c r="J573" s="8"/>
    </row>
    <row r="574">
      <c r="C574" s="8"/>
      <c r="I574" s="8"/>
      <c r="J574" s="8"/>
    </row>
    <row r="575">
      <c r="C575" s="8"/>
      <c r="I575" s="8"/>
      <c r="J575" s="8"/>
    </row>
    <row r="576">
      <c r="C576" s="8"/>
      <c r="I576" s="8"/>
      <c r="J576" s="8"/>
    </row>
    <row r="577">
      <c r="C577" s="8"/>
      <c r="I577" s="8"/>
      <c r="J577" s="8"/>
    </row>
    <row r="578">
      <c r="C578" s="8"/>
      <c r="I578" s="8"/>
      <c r="J578" s="8"/>
    </row>
    <row r="579">
      <c r="C579" s="8"/>
      <c r="I579" s="8"/>
      <c r="J579" s="8"/>
    </row>
    <row r="580">
      <c r="C580" s="8"/>
      <c r="I580" s="8"/>
      <c r="J580" s="8"/>
    </row>
    <row r="581">
      <c r="C581" s="8"/>
      <c r="I581" s="8"/>
      <c r="J581" s="8"/>
    </row>
    <row r="582">
      <c r="C582" s="8"/>
      <c r="I582" s="8"/>
      <c r="J582" s="8"/>
    </row>
    <row r="583">
      <c r="C583" s="8"/>
      <c r="I583" s="8"/>
      <c r="J583" s="8"/>
    </row>
    <row r="584">
      <c r="C584" s="8"/>
      <c r="I584" s="8"/>
      <c r="J584" s="8"/>
    </row>
    <row r="585">
      <c r="C585" s="8"/>
      <c r="I585" s="8"/>
      <c r="J585" s="8"/>
    </row>
    <row r="586">
      <c r="C586" s="8"/>
      <c r="I586" s="8"/>
      <c r="J586" s="8"/>
    </row>
    <row r="587">
      <c r="C587" s="8"/>
      <c r="I587" s="8"/>
      <c r="J587" s="8"/>
    </row>
    <row r="588">
      <c r="C588" s="8"/>
      <c r="I588" s="8"/>
      <c r="J588" s="8"/>
    </row>
    <row r="589">
      <c r="C589" s="8"/>
      <c r="I589" s="8"/>
      <c r="J589" s="8"/>
    </row>
    <row r="590">
      <c r="C590" s="8"/>
      <c r="I590" s="8"/>
      <c r="J590" s="8"/>
    </row>
    <row r="591">
      <c r="C591" s="8"/>
      <c r="I591" s="8"/>
      <c r="J591" s="8"/>
    </row>
    <row r="592">
      <c r="C592" s="8"/>
      <c r="I592" s="8"/>
      <c r="J592" s="8"/>
    </row>
    <row r="593">
      <c r="C593" s="8"/>
      <c r="I593" s="8"/>
      <c r="J593" s="8"/>
    </row>
    <row r="594">
      <c r="C594" s="8"/>
      <c r="I594" s="8"/>
      <c r="J594" s="8"/>
    </row>
    <row r="595">
      <c r="C595" s="8"/>
      <c r="I595" s="8"/>
      <c r="J595" s="8"/>
    </row>
    <row r="596">
      <c r="C596" s="8"/>
      <c r="I596" s="8"/>
      <c r="J596" s="8"/>
    </row>
    <row r="597">
      <c r="C597" s="8"/>
      <c r="I597" s="8"/>
      <c r="J597" s="8"/>
    </row>
    <row r="598">
      <c r="C598" s="8"/>
      <c r="I598" s="8"/>
      <c r="J598" s="8"/>
    </row>
    <row r="599">
      <c r="C599" s="8"/>
      <c r="I599" s="8"/>
      <c r="J599" s="8"/>
    </row>
    <row r="600">
      <c r="C600" s="8"/>
      <c r="I600" s="8"/>
      <c r="J600" s="8"/>
    </row>
    <row r="601">
      <c r="C601" s="8"/>
      <c r="I601" s="8"/>
      <c r="J601" s="8"/>
    </row>
    <row r="602">
      <c r="C602" s="8"/>
      <c r="I602" s="8"/>
      <c r="J602" s="8"/>
    </row>
    <row r="603">
      <c r="C603" s="8"/>
      <c r="I603" s="8"/>
      <c r="J603" s="8"/>
    </row>
    <row r="604">
      <c r="C604" s="8"/>
      <c r="I604" s="8"/>
      <c r="J604" s="8"/>
    </row>
    <row r="605">
      <c r="C605" s="8"/>
      <c r="I605" s="8"/>
      <c r="J605" s="8"/>
    </row>
    <row r="606">
      <c r="C606" s="8"/>
      <c r="I606" s="8"/>
      <c r="J606" s="8"/>
    </row>
    <row r="607">
      <c r="C607" s="8"/>
      <c r="I607" s="8"/>
      <c r="J607" s="8"/>
    </row>
    <row r="608">
      <c r="C608" s="8"/>
      <c r="I608" s="8"/>
      <c r="J608" s="8"/>
    </row>
    <row r="609">
      <c r="C609" s="8"/>
      <c r="I609" s="8"/>
      <c r="J609" s="8"/>
    </row>
    <row r="610">
      <c r="C610" s="8"/>
      <c r="I610" s="8"/>
      <c r="J610" s="8"/>
    </row>
    <row r="611">
      <c r="C611" s="8"/>
      <c r="I611" s="8"/>
      <c r="J611" s="8"/>
    </row>
    <row r="612">
      <c r="C612" s="8"/>
      <c r="I612" s="8"/>
      <c r="J612" s="8"/>
    </row>
    <row r="613">
      <c r="C613" s="8"/>
      <c r="I613" s="8"/>
      <c r="J613" s="8"/>
    </row>
    <row r="614">
      <c r="C614" s="8"/>
      <c r="I614" s="8"/>
      <c r="J614" s="8"/>
    </row>
    <row r="615">
      <c r="C615" s="8"/>
      <c r="I615" s="8"/>
      <c r="J615" s="8"/>
    </row>
    <row r="616">
      <c r="C616" s="8"/>
      <c r="I616" s="8"/>
      <c r="J616" s="8"/>
    </row>
    <row r="617">
      <c r="C617" s="8"/>
      <c r="I617" s="8"/>
      <c r="J617" s="8"/>
    </row>
    <row r="618">
      <c r="C618" s="8"/>
      <c r="I618" s="8"/>
      <c r="J618" s="8"/>
    </row>
    <row r="619">
      <c r="C619" s="8"/>
      <c r="I619" s="8"/>
      <c r="J619" s="8"/>
    </row>
    <row r="620">
      <c r="C620" s="8"/>
      <c r="I620" s="8"/>
      <c r="J620" s="8"/>
    </row>
    <row r="621">
      <c r="C621" s="8"/>
      <c r="I621" s="8"/>
      <c r="J621" s="8"/>
    </row>
    <row r="622">
      <c r="C622" s="8"/>
      <c r="I622" s="8"/>
      <c r="J622" s="8"/>
    </row>
    <row r="623">
      <c r="C623" s="8"/>
      <c r="I623" s="8"/>
      <c r="J623" s="8"/>
    </row>
    <row r="624">
      <c r="C624" s="8"/>
      <c r="I624" s="8"/>
      <c r="J624" s="8"/>
    </row>
    <row r="625">
      <c r="C625" s="8"/>
      <c r="I625" s="8"/>
      <c r="J625" s="8"/>
    </row>
    <row r="626">
      <c r="C626" s="8"/>
      <c r="I626" s="8"/>
      <c r="J626" s="8"/>
    </row>
    <row r="627">
      <c r="C627" s="8"/>
      <c r="I627" s="8"/>
      <c r="J627" s="8"/>
    </row>
    <row r="628">
      <c r="C628" s="8"/>
      <c r="I628" s="8"/>
      <c r="J628" s="8"/>
    </row>
    <row r="629">
      <c r="C629" s="8"/>
      <c r="I629" s="8"/>
      <c r="J629" s="8"/>
    </row>
    <row r="630">
      <c r="C630" s="8"/>
      <c r="I630" s="8"/>
      <c r="J630" s="8"/>
    </row>
    <row r="631">
      <c r="C631" s="8"/>
      <c r="I631" s="8"/>
      <c r="J631" s="8"/>
    </row>
    <row r="632">
      <c r="C632" s="8"/>
      <c r="I632" s="8"/>
      <c r="J632" s="8"/>
    </row>
    <row r="633">
      <c r="C633" s="8"/>
      <c r="I633" s="8"/>
      <c r="J633" s="8"/>
    </row>
    <row r="634">
      <c r="C634" s="8"/>
      <c r="I634" s="8"/>
      <c r="J634" s="8"/>
    </row>
    <row r="635">
      <c r="C635" s="8"/>
      <c r="I635" s="8"/>
      <c r="J635" s="8"/>
    </row>
    <row r="636">
      <c r="C636" s="8"/>
      <c r="I636" s="8"/>
      <c r="J636" s="8"/>
    </row>
    <row r="637">
      <c r="C637" s="8"/>
      <c r="I637" s="8"/>
      <c r="J637" s="8"/>
    </row>
    <row r="638">
      <c r="C638" s="8"/>
      <c r="I638" s="8"/>
      <c r="J638" s="8"/>
    </row>
    <row r="639">
      <c r="C639" s="8"/>
      <c r="I639" s="8"/>
      <c r="J639" s="8"/>
    </row>
    <row r="640">
      <c r="C640" s="8"/>
      <c r="I640" s="8"/>
      <c r="J640" s="8"/>
    </row>
    <row r="641">
      <c r="C641" s="8"/>
      <c r="I641" s="8"/>
      <c r="J641" s="8"/>
    </row>
    <row r="642">
      <c r="C642" s="8"/>
      <c r="I642" s="8"/>
      <c r="J642" s="8"/>
    </row>
    <row r="643">
      <c r="C643" s="8"/>
      <c r="I643" s="8"/>
      <c r="J643" s="8"/>
    </row>
    <row r="644">
      <c r="C644" s="8"/>
      <c r="I644" s="8"/>
      <c r="J644" s="8"/>
    </row>
    <row r="645">
      <c r="C645" s="8"/>
      <c r="I645" s="8"/>
      <c r="J645" s="8"/>
    </row>
    <row r="646">
      <c r="C646" s="8"/>
      <c r="I646" s="8"/>
      <c r="J646" s="8"/>
    </row>
    <row r="647">
      <c r="C647" s="8"/>
      <c r="I647" s="8"/>
      <c r="J647" s="8"/>
    </row>
    <row r="648">
      <c r="C648" s="8"/>
      <c r="I648" s="8"/>
      <c r="J648" s="8"/>
    </row>
    <row r="649">
      <c r="C649" s="8"/>
      <c r="I649" s="8"/>
      <c r="J649" s="8"/>
    </row>
    <row r="650">
      <c r="C650" s="8"/>
      <c r="I650" s="8"/>
      <c r="J650" s="8"/>
    </row>
    <row r="651">
      <c r="C651" s="8"/>
      <c r="I651" s="8"/>
      <c r="J651" s="8"/>
    </row>
    <row r="652">
      <c r="C652" s="8"/>
      <c r="I652" s="8"/>
      <c r="J652" s="8"/>
    </row>
    <row r="653">
      <c r="C653" s="8"/>
      <c r="I653" s="8"/>
      <c r="J653" s="8"/>
    </row>
    <row r="654">
      <c r="C654" s="8"/>
      <c r="I654" s="8"/>
      <c r="J654" s="8"/>
    </row>
    <row r="655">
      <c r="C655" s="8"/>
      <c r="I655" s="8"/>
      <c r="J655" s="8"/>
    </row>
    <row r="656">
      <c r="C656" s="8"/>
      <c r="I656" s="8"/>
      <c r="J656" s="8"/>
    </row>
    <row r="657">
      <c r="C657" s="8"/>
      <c r="I657" s="8"/>
      <c r="J657" s="8"/>
    </row>
    <row r="658">
      <c r="C658" s="8"/>
      <c r="I658" s="8"/>
      <c r="J658" s="8"/>
    </row>
    <row r="659">
      <c r="C659" s="8"/>
      <c r="I659" s="8"/>
      <c r="J659" s="8"/>
    </row>
    <row r="660">
      <c r="C660" s="8"/>
      <c r="I660" s="8"/>
      <c r="J660" s="8"/>
    </row>
    <row r="661">
      <c r="C661" s="8"/>
      <c r="I661" s="8"/>
      <c r="J661" s="8"/>
    </row>
    <row r="662">
      <c r="C662" s="8"/>
      <c r="I662" s="8"/>
      <c r="J662" s="8"/>
    </row>
    <row r="663">
      <c r="C663" s="8"/>
      <c r="I663" s="8"/>
      <c r="J663" s="8"/>
    </row>
    <row r="664">
      <c r="C664" s="8"/>
      <c r="I664" s="8"/>
      <c r="J664" s="8"/>
    </row>
    <row r="665">
      <c r="C665" s="8"/>
      <c r="I665" s="8"/>
      <c r="J665" s="8"/>
    </row>
    <row r="666">
      <c r="C666" s="8"/>
      <c r="I666" s="8"/>
      <c r="J666" s="8"/>
    </row>
    <row r="667">
      <c r="C667" s="8"/>
      <c r="I667" s="8"/>
      <c r="J667" s="8"/>
    </row>
    <row r="668">
      <c r="C668" s="8"/>
      <c r="I668" s="8"/>
      <c r="J668" s="8"/>
    </row>
    <row r="669">
      <c r="C669" s="8"/>
      <c r="I669" s="8"/>
      <c r="J669" s="8"/>
    </row>
    <row r="670">
      <c r="C670" s="8"/>
      <c r="I670" s="8"/>
      <c r="J670" s="8"/>
    </row>
    <row r="671">
      <c r="C671" s="8"/>
      <c r="I671" s="8"/>
      <c r="J671" s="8"/>
    </row>
    <row r="672">
      <c r="C672" s="8"/>
      <c r="I672" s="8"/>
      <c r="J672" s="8"/>
    </row>
    <row r="673">
      <c r="C673" s="8"/>
      <c r="I673" s="8"/>
      <c r="J673" s="8"/>
    </row>
    <row r="674">
      <c r="C674" s="8"/>
      <c r="I674" s="8"/>
      <c r="J674" s="8"/>
    </row>
    <row r="675">
      <c r="C675" s="8"/>
      <c r="I675" s="8"/>
      <c r="J675" s="8"/>
    </row>
    <row r="676">
      <c r="C676" s="8"/>
      <c r="I676" s="8"/>
      <c r="J676" s="8"/>
    </row>
    <row r="677">
      <c r="C677" s="8"/>
      <c r="I677" s="8"/>
      <c r="J677" s="8"/>
    </row>
    <row r="678">
      <c r="C678" s="8"/>
      <c r="I678" s="8"/>
      <c r="J678" s="8"/>
    </row>
    <row r="679">
      <c r="C679" s="8"/>
      <c r="I679" s="8"/>
      <c r="J679" s="8"/>
    </row>
    <row r="680">
      <c r="C680" s="8"/>
      <c r="I680" s="8"/>
      <c r="J680" s="8"/>
    </row>
    <row r="681">
      <c r="C681" s="8"/>
      <c r="I681" s="8"/>
      <c r="J681" s="8"/>
    </row>
    <row r="682">
      <c r="C682" s="8"/>
      <c r="I682" s="8"/>
      <c r="J682" s="8"/>
    </row>
    <row r="683">
      <c r="C683" s="8"/>
      <c r="I683" s="8"/>
      <c r="J683" s="8"/>
    </row>
    <row r="684">
      <c r="C684" s="8"/>
      <c r="I684" s="8"/>
      <c r="J684" s="8"/>
    </row>
    <row r="685">
      <c r="C685" s="8"/>
      <c r="I685" s="8"/>
      <c r="J685" s="8"/>
    </row>
    <row r="686">
      <c r="C686" s="8"/>
      <c r="I686" s="8"/>
      <c r="J686" s="8"/>
    </row>
    <row r="687">
      <c r="C687" s="8"/>
      <c r="I687" s="8"/>
      <c r="J687" s="8"/>
    </row>
    <row r="688">
      <c r="C688" s="8"/>
      <c r="I688" s="8"/>
      <c r="J688" s="8"/>
    </row>
    <row r="689">
      <c r="C689" s="8"/>
      <c r="I689" s="8"/>
      <c r="J689" s="8"/>
    </row>
    <row r="690">
      <c r="C690" s="8"/>
      <c r="I690" s="8"/>
      <c r="J690" s="8"/>
    </row>
    <row r="691">
      <c r="C691" s="8"/>
      <c r="I691" s="8"/>
      <c r="J691" s="8"/>
    </row>
    <row r="692">
      <c r="C692" s="8"/>
      <c r="I692" s="8"/>
      <c r="J692" s="8"/>
    </row>
    <row r="693">
      <c r="C693" s="8"/>
      <c r="I693" s="8"/>
      <c r="J693" s="8"/>
    </row>
    <row r="694">
      <c r="C694" s="8"/>
      <c r="I694" s="8"/>
      <c r="J694" s="8"/>
    </row>
    <row r="695">
      <c r="C695" s="8"/>
      <c r="I695" s="8"/>
      <c r="J695" s="8"/>
    </row>
    <row r="696">
      <c r="C696" s="8"/>
      <c r="I696" s="8"/>
      <c r="J696" s="8"/>
    </row>
    <row r="697">
      <c r="C697" s="8"/>
      <c r="I697" s="8"/>
      <c r="J697" s="8"/>
    </row>
    <row r="698">
      <c r="C698" s="8"/>
      <c r="I698" s="8"/>
      <c r="J698" s="8"/>
    </row>
    <row r="699">
      <c r="C699" s="8"/>
      <c r="I699" s="8"/>
      <c r="J699" s="8"/>
    </row>
    <row r="700">
      <c r="C700" s="8"/>
      <c r="I700" s="8"/>
      <c r="J700" s="8"/>
    </row>
    <row r="701">
      <c r="C701" s="8"/>
      <c r="I701" s="8"/>
      <c r="J701" s="8"/>
    </row>
    <row r="702">
      <c r="C702" s="8"/>
      <c r="I702" s="8"/>
      <c r="J702" s="8"/>
    </row>
    <row r="703">
      <c r="C703" s="8"/>
      <c r="I703" s="8"/>
      <c r="J703" s="8"/>
    </row>
    <row r="704">
      <c r="C704" s="8"/>
      <c r="I704" s="8"/>
      <c r="J704" s="8"/>
    </row>
    <row r="705">
      <c r="C705" s="8"/>
      <c r="I705" s="8"/>
      <c r="J705" s="8"/>
    </row>
    <row r="706">
      <c r="C706" s="8"/>
      <c r="I706" s="8"/>
      <c r="J706" s="8"/>
    </row>
    <row r="707">
      <c r="C707" s="8"/>
      <c r="I707" s="8"/>
      <c r="J707" s="8"/>
    </row>
    <row r="708">
      <c r="C708" s="8"/>
      <c r="I708" s="8"/>
      <c r="J708" s="8"/>
    </row>
    <row r="709">
      <c r="C709" s="8"/>
      <c r="I709" s="8"/>
      <c r="J709" s="8"/>
    </row>
    <row r="710">
      <c r="C710" s="8"/>
      <c r="I710" s="8"/>
      <c r="J710" s="8"/>
    </row>
    <row r="711">
      <c r="C711" s="8"/>
      <c r="I711" s="8"/>
      <c r="J711" s="8"/>
    </row>
    <row r="712">
      <c r="C712" s="8"/>
      <c r="I712" s="8"/>
      <c r="J712" s="8"/>
    </row>
    <row r="713">
      <c r="C713" s="8"/>
      <c r="I713" s="8"/>
      <c r="J713" s="8"/>
    </row>
    <row r="714">
      <c r="C714" s="8"/>
      <c r="I714" s="8"/>
      <c r="J714" s="8"/>
    </row>
    <row r="715">
      <c r="C715" s="8"/>
      <c r="I715" s="8"/>
      <c r="J715" s="8"/>
    </row>
    <row r="716">
      <c r="C716" s="8"/>
      <c r="I716" s="8"/>
      <c r="J716" s="8"/>
    </row>
    <row r="717">
      <c r="C717" s="8"/>
      <c r="I717" s="8"/>
      <c r="J717" s="8"/>
    </row>
    <row r="718">
      <c r="C718" s="8"/>
      <c r="I718" s="8"/>
      <c r="J718" s="8"/>
    </row>
    <row r="719">
      <c r="C719" s="8"/>
      <c r="I719" s="8"/>
      <c r="J719" s="8"/>
    </row>
    <row r="720">
      <c r="C720" s="8"/>
      <c r="I720" s="8"/>
      <c r="J720" s="8"/>
    </row>
    <row r="721">
      <c r="C721" s="8"/>
      <c r="I721" s="8"/>
      <c r="J721" s="8"/>
    </row>
    <row r="722">
      <c r="C722" s="8"/>
      <c r="I722" s="8"/>
      <c r="J722" s="8"/>
    </row>
    <row r="723">
      <c r="C723" s="8"/>
      <c r="I723" s="8"/>
      <c r="J723" s="8"/>
    </row>
    <row r="724">
      <c r="C724" s="8"/>
      <c r="I724" s="8"/>
      <c r="J724" s="8"/>
    </row>
    <row r="725">
      <c r="C725" s="8"/>
      <c r="I725" s="8"/>
      <c r="J725" s="8"/>
    </row>
    <row r="726">
      <c r="C726" s="8"/>
      <c r="I726" s="8"/>
      <c r="J726" s="8"/>
    </row>
    <row r="727">
      <c r="C727" s="8"/>
      <c r="I727" s="8"/>
      <c r="J727" s="8"/>
    </row>
    <row r="728">
      <c r="C728" s="8"/>
      <c r="I728" s="8"/>
      <c r="J728" s="8"/>
    </row>
    <row r="729">
      <c r="C729" s="8"/>
      <c r="I729" s="8"/>
      <c r="J729" s="8"/>
    </row>
    <row r="730">
      <c r="C730" s="8"/>
      <c r="I730" s="8"/>
      <c r="J730" s="8"/>
    </row>
    <row r="731">
      <c r="C731" s="8"/>
      <c r="I731" s="8"/>
      <c r="J731" s="8"/>
    </row>
    <row r="732">
      <c r="C732" s="8"/>
      <c r="I732" s="8"/>
      <c r="J732" s="8"/>
    </row>
    <row r="733">
      <c r="C733" s="8"/>
      <c r="I733" s="8"/>
      <c r="J733" s="8"/>
    </row>
    <row r="734">
      <c r="C734" s="8"/>
      <c r="I734" s="8"/>
      <c r="J734" s="8"/>
    </row>
    <row r="735">
      <c r="C735" s="8"/>
      <c r="I735" s="8"/>
      <c r="J735" s="8"/>
    </row>
    <row r="736">
      <c r="C736" s="8"/>
      <c r="I736" s="8"/>
      <c r="J736" s="8"/>
    </row>
    <row r="737">
      <c r="C737" s="8"/>
      <c r="I737" s="8"/>
      <c r="J737" s="8"/>
    </row>
    <row r="738">
      <c r="C738" s="8"/>
      <c r="I738" s="8"/>
      <c r="J738" s="8"/>
    </row>
    <row r="739">
      <c r="C739" s="8"/>
      <c r="I739" s="8"/>
      <c r="J739" s="8"/>
    </row>
    <row r="740">
      <c r="C740" s="8"/>
      <c r="I740" s="8"/>
      <c r="J740" s="8"/>
    </row>
    <row r="741">
      <c r="C741" s="8"/>
      <c r="I741" s="8"/>
      <c r="J741" s="8"/>
    </row>
    <row r="742">
      <c r="C742" s="8"/>
      <c r="I742" s="8"/>
      <c r="J742" s="8"/>
    </row>
    <row r="743">
      <c r="C743" s="8"/>
      <c r="I743" s="8"/>
      <c r="J743" s="8"/>
    </row>
    <row r="744">
      <c r="C744" s="8"/>
      <c r="I744" s="8"/>
      <c r="J744" s="8"/>
    </row>
    <row r="745">
      <c r="C745" s="8"/>
      <c r="I745" s="8"/>
      <c r="J745" s="8"/>
    </row>
    <row r="746">
      <c r="C746" s="8"/>
      <c r="I746" s="8"/>
      <c r="J746" s="8"/>
    </row>
    <row r="747">
      <c r="C747" s="8"/>
      <c r="I747" s="8"/>
      <c r="J747" s="8"/>
    </row>
    <row r="748">
      <c r="C748" s="8"/>
      <c r="I748" s="8"/>
      <c r="J748" s="8"/>
    </row>
    <row r="749">
      <c r="C749" s="8"/>
      <c r="I749" s="8"/>
      <c r="J749" s="8"/>
    </row>
    <row r="750">
      <c r="C750" s="8"/>
      <c r="I750" s="8"/>
      <c r="J750" s="8"/>
    </row>
    <row r="751">
      <c r="C751" s="8"/>
      <c r="I751" s="8"/>
      <c r="J751" s="8"/>
    </row>
    <row r="752">
      <c r="C752" s="8"/>
      <c r="I752" s="8"/>
      <c r="J752" s="8"/>
    </row>
    <row r="753">
      <c r="C753" s="8"/>
      <c r="I753" s="8"/>
      <c r="J753" s="8"/>
    </row>
    <row r="754">
      <c r="C754" s="8"/>
      <c r="I754" s="8"/>
      <c r="J754" s="8"/>
    </row>
    <row r="755">
      <c r="C755" s="8"/>
      <c r="I755" s="8"/>
      <c r="J755" s="8"/>
    </row>
    <row r="756">
      <c r="C756" s="8"/>
      <c r="I756" s="8"/>
      <c r="J756" s="8"/>
    </row>
    <row r="757">
      <c r="C757" s="8"/>
      <c r="I757" s="8"/>
      <c r="J757" s="8"/>
    </row>
    <row r="758">
      <c r="C758" s="8"/>
      <c r="I758" s="8"/>
      <c r="J758" s="8"/>
    </row>
    <row r="759">
      <c r="C759" s="8"/>
      <c r="I759" s="8"/>
      <c r="J759" s="8"/>
    </row>
    <row r="760">
      <c r="C760" s="8"/>
      <c r="I760" s="8"/>
      <c r="J760" s="8"/>
    </row>
    <row r="761">
      <c r="C761" s="8"/>
      <c r="I761" s="8"/>
      <c r="J761" s="8"/>
    </row>
    <row r="762">
      <c r="C762" s="8"/>
      <c r="I762" s="8"/>
      <c r="J762" s="8"/>
    </row>
    <row r="763">
      <c r="C763" s="8"/>
      <c r="I763" s="8"/>
      <c r="J763" s="8"/>
    </row>
    <row r="764">
      <c r="C764" s="8"/>
      <c r="I764" s="8"/>
      <c r="J764" s="8"/>
    </row>
    <row r="765">
      <c r="C765" s="8"/>
      <c r="I765" s="8"/>
      <c r="J765" s="8"/>
    </row>
    <row r="766">
      <c r="C766" s="8"/>
      <c r="I766" s="8"/>
      <c r="J766" s="8"/>
    </row>
    <row r="767">
      <c r="C767" s="8"/>
      <c r="I767" s="8"/>
      <c r="J767" s="8"/>
    </row>
    <row r="768">
      <c r="C768" s="8"/>
      <c r="I768" s="8"/>
      <c r="J768" s="8"/>
    </row>
    <row r="769">
      <c r="C769" s="8"/>
      <c r="I769" s="8"/>
      <c r="J769" s="8"/>
    </row>
    <row r="770">
      <c r="C770" s="8"/>
      <c r="I770" s="8"/>
      <c r="J770" s="8"/>
    </row>
    <row r="771">
      <c r="C771" s="8"/>
      <c r="I771" s="8"/>
      <c r="J771" s="8"/>
    </row>
    <row r="772">
      <c r="C772" s="8"/>
      <c r="I772" s="8"/>
      <c r="J772" s="8"/>
    </row>
    <row r="773">
      <c r="C773" s="8"/>
      <c r="I773" s="8"/>
      <c r="J773" s="8"/>
    </row>
    <row r="774">
      <c r="C774" s="8"/>
      <c r="I774" s="8"/>
      <c r="J774" s="8"/>
    </row>
    <row r="775">
      <c r="C775" s="8"/>
      <c r="I775" s="8"/>
      <c r="J775" s="8"/>
    </row>
    <row r="776">
      <c r="C776" s="8"/>
      <c r="I776" s="8"/>
      <c r="J776" s="8"/>
    </row>
    <row r="777">
      <c r="C777" s="8"/>
      <c r="I777" s="8"/>
      <c r="J777" s="8"/>
    </row>
    <row r="778">
      <c r="C778" s="8"/>
      <c r="I778" s="8"/>
      <c r="J778" s="8"/>
    </row>
    <row r="779">
      <c r="C779" s="8"/>
      <c r="I779" s="8"/>
      <c r="J779" s="8"/>
    </row>
    <row r="780">
      <c r="C780" s="8"/>
      <c r="I780" s="8"/>
      <c r="J780" s="8"/>
    </row>
    <row r="781">
      <c r="C781" s="8"/>
      <c r="I781" s="8"/>
      <c r="J781" s="8"/>
    </row>
    <row r="782">
      <c r="C782" s="8"/>
      <c r="I782" s="8"/>
      <c r="J782" s="8"/>
    </row>
    <row r="783">
      <c r="C783" s="8"/>
      <c r="I783" s="8"/>
      <c r="J783" s="8"/>
    </row>
    <row r="784">
      <c r="C784" s="8"/>
      <c r="I784" s="8"/>
      <c r="J784" s="8"/>
    </row>
    <row r="785">
      <c r="C785" s="8"/>
      <c r="I785" s="8"/>
      <c r="J785" s="8"/>
    </row>
    <row r="786">
      <c r="C786" s="8"/>
      <c r="I786" s="8"/>
      <c r="J786" s="8"/>
    </row>
    <row r="787">
      <c r="C787" s="8"/>
      <c r="I787" s="8"/>
      <c r="J787" s="8"/>
    </row>
    <row r="788">
      <c r="C788" s="8"/>
      <c r="I788" s="8"/>
      <c r="J788" s="8"/>
    </row>
    <row r="789">
      <c r="C789" s="8"/>
      <c r="I789" s="8"/>
      <c r="J789" s="8"/>
    </row>
    <row r="790">
      <c r="C790" s="8"/>
      <c r="I790" s="8"/>
      <c r="J790" s="8"/>
    </row>
    <row r="791">
      <c r="C791" s="8"/>
      <c r="I791" s="8"/>
      <c r="J791" s="8"/>
    </row>
    <row r="792">
      <c r="C792" s="8"/>
      <c r="I792" s="8"/>
      <c r="J792" s="8"/>
    </row>
    <row r="793">
      <c r="C793" s="8"/>
      <c r="I793" s="8"/>
      <c r="J793" s="8"/>
    </row>
    <row r="794">
      <c r="C794" s="8"/>
      <c r="I794" s="8"/>
      <c r="J794" s="8"/>
    </row>
    <row r="795">
      <c r="C795" s="8"/>
      <c r="I795" s="8"/>
      <c r="J795" s="8"/>
    </row>
    <row r="796">
      <c r="C796" s="8"/>
      <c r="I796" s="8"/>
      <c r="J796" s="8"/>
    </row>
    <row r="797">
      <c r="C797" s="8"/>
      <c r="I797" s="8"/>
      <c r="J797" s="8"/>
    </row>
    <row r="798">
      <c r="C798" s="8"/>
      <c r="I798" s="8"/>
      <c r="J798" s="8"/>
    </row>
    <row r="799">
      <c r="C799" s="8"/>
      <c r="I799" s="8"/>
      <c r="J799" s="8"/>
    </row>
    <row r="800">
      <c r="C800" s="8"/>
      <c r="I800" s="8"/>
      <c r="J800" s="8"/>
    </row>
    <row r="801">
      <c r="C801" s="8"/>
      <c r="I801" s="8"/>
      <c r="J801" s="8"/>
    </row>
    <row r="802">
      <c r="C802" s="8"/>
      <c r="I802" s="8"/>
      <c r="J802" s="8"/>
    </row>
    <row r="803">
      <c r="C803" s="8"/>
      <c r="I803" s="8"/>
      <c r="J803" s="8"/>
    </row>
    <row r="804">
      <c r="C804" s="8"/>
      <c r="I804" s="8"/>
      <c r="J804" s="8"/>
    </row>
    <row r="805">
      <c r="C805" s="8"/>
      <c r="I805" s="8"/>
      <c r="J805" s="8"/>
    </row>
    <row r="806">
      <c r="C806" s="8"/>
      <c r="I806" s="8"/>
      <c r="J806" s="8"/>
    </row>
    <row r="807">
      <c r="C807" s="8"/>
      <c r="I807" s="8"/>
      <c r="J807" s="8"/>
    </row>
    <row r="808">
      <c r="C808" s="8"/>
      <c r="I808" s="8"/>
      <c r="J808" s="8"/>
    </row>
    <row r="809">
      <c r="C809" s="8"/>
      <c r="I809" s="8"/>
      <c r="J809" s="8"/>
    </row>
    <row r="810">
      <c r="C810" s="8"/>
      <c r="I810" s="8"/>
      <c r="J810" s="8"/>
    </row>
    <row r="811">
      <c r="C811" s="8"/>
      <c r="I811" s="8"/>
      <c r="J811" s="8"/>
    </row>
    <row r="812">
      <c r="C812" s="8"/>
      <c r="I812" s="8"/>
      <c r="J812" s="8"/>
    </row>
    <row r="813">
      <c r="C813" s="8"/>
      <c r="I813" s="8"/>
      <c r="J813" s="8"/>
    </row>
    <row r="814">
      <c r="C814" s="8"/>
      <c r="I814" s="8"/>
      <c r="J814" s="8"/>
    </row>
    <row r="815">
      <c r="C815" s="8"/>
      <c r="I815" s="8"/>
      <c r="J815" s="8"/>
    </row>
    <row r="816">
      <c r="C816" s="8"/>
      <c r="I816" s="8"/>
      <c r="J816" s="8"/>
    </row>
    <row r="817">
      <c r="C817" s="8"/>
      <c r="I817" s="8"/>
      <c r="J817" s="8"/>
    </row>
    <row r="818">
      <c r="C818" s="8"/>
      <c r="I818" s="8"/>
      <c r="J818" s="8"/>
    </row>
    <row r="819">
      <c r="C819" s="8"/>
      <c r="I819" s="8"/>
      <c r="J819" s="8"/>
    </row>
    <row r="820">
      <c r="C820" s="8"/>
      <c r="I820" s="8"/>
      <c r="J820" s="8"/>
    </row>
    <row r="821">
      <c r="C821" s="8"/>
      <c r="I821" s="8"/>
      <c r="J821" s="8"/>
    </row>
    <row r="822">
      <c r="C822" s="8"/>
      <c r="I822" s="8"/>
      <c r="J822" s="8"/>
    </row>
    <row r="823">
      <c r="C823" s="8"/>
      <c r="I823" s="8"/>
      <c r="J823" s="8"/>
    </row>
    <row r="824">
      <c r="C824" s="8"/>
      <c r="I824" s="8"/>
      <c r="J824" s="8"/>
    </row>
    <row r="825">
      <c r="C825" s="8"/>
      <c r="I825" s="8"/>
      <c r="J825" s="8"/>
    </row>
    <row r="826">
      <c r="C826" s="8"/>
      <c r="I826" s="8"/>
      <c r="J826" s="8"/>
    </row>
    <row r="827">
      <c r="C827" s="8"/>
      <c r="I827" s="8"/>
      <c r="J827" s="8"/>
    </row>
    <row r="828">
      <c r="C828" s="8"/>
      <c r="I828" s="8"/>
      <c r="J828" s="8"/>
    </row>
    <row r="829">
      <c r="C829" s="8"/>
      <c r="I829" s="8"/>
      <c r="J829" s="8"/>
    </row>
    <row r="830">
      <c r="C830" s="8"/>
      <c r="I830" s="8"/>
      <c r="J830" s="8"/>
    </row>
    <row r="831">
      <c r="C831" s="8"/>
      <c r="I831" s="8"/>
      <c r="J831" s="8"/>
    </row>
    <row r="832">
      <c r="C832" s="8"/>
      <c r="I832" s="8"/>
      <c r="J832" s="8"/>
    </row>
    <row r="833">
      <c r="C833" s="8"/>
      <c r="I833" s="8"/>
      <c r="J833" s="8"/>
    </row>
    <row r="834">
      <c r="C834" s="8"/>
      <c r="I834" s="8"/>
      <c r="J834" s="8"/>
    </row>
    <row r="835">
      <c r="C835" s="8"/>
      <c r="I835" s="8"/>
      <c r="J835" s="8"/>
    </row>
    <row r="836">
      <c r="C836" s="8"/>
      <c r="I836" s="8"/>
      <c r="J836" s="8"/>
    </row>
    <row r="837">
      <c r="C837" s="8"/>
      <c r="I837" s="8"/>
      <c r="J837" s="8"/>
    </row>
    <row r="838">
      <c r="C838" s="8"/>
      <c r="I838" s="8"/>
      <c r="J838" s="8"/>
    </row>
    <row r="839">
      <c r="C839" s="8"/>
      <c r="I839" s="8"/>
      <c r="J839" s="8"/>
    </row>
    <row r="840">
      <c r="C840" s="8"/>
      <c r="I840" s="8"/>
      <c r="J840" s="8"/>
    </row>
    <row r="841">
      <c r="C841" s="8"/>
      <c r="I841" s="8"/>
      <c r="J841" s="8"/>
    </row>
    <row r="842">
      <c r="C842" s="8"/>
      <c r="I842" s="8"/>
      <c r="J842" s="8"/>
    </row>
    <row r="843">
      <c r="C843" s="8"/>
      <c r="I843" s="8"/>
      <c r="J843" s="8"/>
    </row>
    <row r="844">
      <c r="C844" s="8"/>
      <c r="I844" s="8"/>
      <c r="J844" s="8"/>
    </row>
    <row r="845">
      <c r="C845" s="8"/>
      <c r="I845" s="8"/>
      <c r="J845" s="8"/>
    </row>
    <row r="846">
      <c r="C846" s="8"/>
      <c r="I846" s="8"/>
      <c r="J846" s="8"/>
    </row>
    <row r="847">
      <c r="C847" s="8"/>
      <c r="I847" s="8"/>
      <c r="J847" s="8"/>
    </row>
    <row r="848">
      <c r="C848" s="8"/>
      <c r="I848" s="8"/>
      <c r="J848" s="8"/>
    </row>
    <row r="849">
      <c r="C849" s="8"/>
      <c r="I849" s="8"/>
      <c r="J849" s="8"/>
    </row>
    <row r="850">
      <c r="C850" s="8"/>
      <c r="I850" s="8"/>
      <c r="J850" s="8"/>
    </row>
    <row r="851">
      <c r="C851" s="8"/>
      <c r="I851" s="8"/>
      <c r="J851" s="8"/>
    </row>
    <row r="852">
      <c r="C852" s="8"/>
      <c r="I852" s="8"/>
      <c r="J852" s="8"/>
    </row>
    <row r="853">
      <c r="C853" s="8"/>
      <c r="I853" s="8"/>
      <c r="J853" s="8"/>
    </row>
    <row r="854">
      <c r="C854" s="8"/>
      <c r="I854" s="8"/>
      <c r="J854" s="8"/>
    </row>
    <row r="855">
      <c r="C855" s="8"/>
      <c r="I855" s="8"/>
      <c r="J855" s="8"/>
    </row>
    <row r="856">
      <c r="C856" s="8"/>
      <c r="I856" s="8"/>
      <c r="J856" s="8"/>
    </row>
    <row r="857">
      <c r="C857" s="8"/>
      <c r="I857" s="8"/>
      <c r="J857" s="8"/>
    </row>
    <row r="858">
      <c r="C858" s="8"/>
      <c r="I858" s="8"/>
      <c r="J858" s="8"/>
    </row>
    <row r="859">
      <c r="C859" s="8"/>
      <c r="I859" s="8"/>
      <c r="J859" s="8"/>
    </row>
    <row r="860">
      <c r="C860" s="8"/>
      <c r="I860" s="8"/>
      <c r="J860" s="8"/>
    </row>
    <row r="861">
      <c r="C861" s="8"/>
      <c r="I861" s="8"/>
      <c r="J861" s="8"/>
    </row>
    <row r="862">
      <c r="C862" s="8"/>
      <c r="I862" s="8"/>
      <c r="J862" s="8"/>
    </row>
    <row r="863">
      <c r="C863" s="8"/>
      <c r="I863" s="8"/>
      <c r="J863" s="8"/>
    </row>
    <row r="864">
      <c r="C864" s="8"/>
      <c r="I864" s="8"/>
      <c r="J864" s="8"/>
    </row>
    <row r="865">
      <c r="C865" s="8"/>
      <c r="I865" s="8"/>
      <c r="J865" s="8"/>
    </row>
    <row r="866">
      <c r="C866" s="8"/>
      <c r="I866" s="8"/>
      <c r="J866" s="8"/>
    </row>
    <row r="867">
      <c r="C867" s="8"/>
      <c r="I867" s="8"/>
      <c r="J867" s="8"/>
    </row>
    <row r="868">
      <c r="C868" s="8"/>
      <c r="I868" s="8"/>
      <c r="J868" s="8"/>
    </row>
    <row r="869">
      <c r="C869" s="8"/>
      <c r="I869" s="8"/>
      <c r="J869" s="8"/>
    </row>
    <row r="870">
      <c r="C870" s="8"/>
      <c r="I870" s="8"/>
      <c r="J870" s="8"/>
    </row>
    <row r="871">
      <c r="C871" s="8"/>
      <c r="I871" s="8"/>
      <c r="J871" s="8"/>
    </row>
    <row r="872">
      <c r="C872" s="8"/>
      <c r="I872" s="8"/>
      <c r="J872" s="8"/>
    </row>
    <row r="873">
      <c r="C873" s="8"/>
      <c r="I873" s="8"/>
      <c r="J873" s="8"/>
    </row>
    <row r="874">
      <c r="C874" s="8"/>
      <c r="I874" s="8"/>
      <c r="J874" s="8"/>
    </row>
    <row r="875">
      <c r="C875" s="8"/>
      <c r="I875" s="8"/>
      <c r="J875" s="8"/>
    </row>
    <row r="876">
      <c r="C876" s="8"/>
      <c r="I876" s="8"/>
      <c r="J876" s="8"/>
    </row>
    <row r="877">
      <c r="C877" s="8"/>
      <c r="I877" s="8"/>
      <c r="J877" s="8"/>
    </row>
    <row r="878">
      <c r="C878" s="8"/>
      <c r="I878" s="8"/>
      <c r="J878" s="8"/>
    </row>
    <row r="879">
      <c r="C879" s="8"/>
      <c r="I879" s="8"/>
      <c r="J879" s="8"/>
    </row>
    <row r="880">
      <c r="C880" s="8"/>
      <c r="I880" s="8"/>
      <c r="J880" s="8"/>
    </row>
    <row r="881">
      <c r="C881" s="8"/>
      <c r="I881" s="8"/>
      <c r="J881" s="8"/>
    </row>
    <row r="882">
      <c r="C882" s="8"/>
      <c r="I882" s="8"/>
      <c r="J882" s="8"/>
    </row>
    <row r="883">
      <c r="C883" s="8"/>
      <c r="I883" s="8"/>
      <c r="J883" s="8"/>
    </row>
    <row r="884">
      <c r="C884" s="8"/>
      <c r="I884" s="8"/>
      <c r="J884" s="8"/>
    </row>
    <row r="885">
      <c r="C885" s="8"/>
      <c r="I885" s="8"/>
      <c r="J885" s="8"/>
    </row>
    <row r="886">
      <c r="C886" s="8"/>
      <c r="I886" s="8"/>
      <c r="J886" s="8"/>
    </row>
    <row r="887">
      <c r="C887" s="8"/>
      <c r="I887" s="8"/>
      <c r="J887" s="8"/>
    </row>
    <row r="888">
      <c r="C888" s="8"/>
      <c r="I888" s="8"/>
      <c r="J888" s="8"/>
    </row>
    <row r="889">
      <c r="C889" s="8"/>
      <c r="I889" s="8"/>
      <c r="J889" s="8"/>
    </row>
    <row r="890">
      <c r="C890" s="8"/>
      <c r="I890" s="8"/>
      <c r="J890" s="8"/>
    </row>
    <row r="891">
      <c r="C891" s="8"/>
      <c r="I891" s="8"/>
      <c r="J891" s="8"/>
    </row>
    <row r="892">
      <c r="C892" s="8"/>
      <c r="I892" s="8"/>
      <c r="J892" s="8"/>
    </row>
    <row r="893">
      <c r="C893" s="8"/>
      <c r="I893" s="8"/>
      <c r="J893" s="8"/>
    </row>
    <row r="894">
      <c r="C894" s="8"/>
      <c r="I894" s="8"/>
      <c r="J894" s="8"/>
    </row>
    <row r="895">
      <c r="C895" s="8"/>
      <c r="I895" s="8"/>
      <c r="J895" s="8"/>
    </row>
    <row r="896">
      <c r="C896" s="8"/>
      <c r="I896" s="8"/>
      <c r="J896" s="8"/>
    </row>
    <row r="897">
      <c r="C897" s="8"/>
      <c r="I897" s="8"/>
      <c r="J897" s="8"/>
    </row>
    <row r="898">
      <c r="C898" s="8"/>
      <c r="I898" s="8"/>
      <c r="J898" s="8"/>
    </row>
    <row r="899">
      <c r="C899" s="8"/>
      <c r="I899" s="8"/>
      <c r="J899" s="8"/>
    </row>
    <row r="900">
      <c r="C900" s="8"/>
      <c r="I900" s="8"/>
      <c r="J900" s="8"/>
    </row>
    <row r="901">
      <c r="C901" s="8"/>
      <c r="I901" s="8"/>
      <c r="J901" s="8"/>
    </row>
    <row r="902">
      <c r="C902" s="8"/>
      <c r="I902" s="8"/>
      <c r="J902" s="8"/>
    </row>
    <row r="903">
      <c r="C903" s="8"/>
      <c r="I903" s="8"/>
      <c r="J903" s="8"/>
    </row>
    <row r="904">
      <c r="C904" s="8"/>
      <c r="I904" s="8"/>
      <c r="J904" s="8"/>
    </row>
    <row r="905">
      <c r="C905" s="8"/>
      <c r="I905" s="8"/>
      <c r="J905" s="8"/>
    </row>
    <row r="906">
      <c r="C906" s="8"/>
      <c r="I906" s="8"/>
      <c r="J906" s="8"/>
    </row>
    <row r="907">
      <c r="C907" s="8"/>
      <c r="I907" s="8"/>
      <c r="J907" s="8"/>
    </row>
    <row r="908">
      <c r="C908" s="8"/>
      <c r="I908" s="8"/>
      <c r="J908" s="8"/>
    </row>
    <row r="909">
      <c r="C909" s="8"/>
      <c r="I909" s="8"/>
      <c r="J909" s="8"/>
    </row>
    <row r="910">
      <c r="C910" s="8"/>
      <c r="I910" s="8"/>
      <c r="J910" s="8"/>
    </row>
    <row r="911">
      <c r="C911" s="8"/>
      <c r="I911" s="8"/>
      <c r="J911" s="8"/>
    </row>
    <row r="912">
      <c r="C912" s="8"/>
      <c r="I912" s="8"/>
      <c r="J912" s="8"/>
    </row>
    <row r="913">
      <c r="C913" s="8"/>
      <c r="I913" s="8"/>
      <c r="J913" s="8"/>
    </row>
    <row r="914">
      <c r="C914" s="8"/>
      <c r="I914" s="8"/>
      <c r="J914" s="8"/>
    </row>
    <row r="915">
      <c r="C915" s="8"/>
      <c r="I915" s="8"/>
      <c r="J915" s="8"/>
    </row>
    <row r="916">
      <c r="C916" s="8"/>
      <c r="I916" s="8"/>
      <c r="J916" s="8"/>
    </row>
    <row r="917">
      <c r="C917" s="8"/>
      <c r="I917" s="8"/>
      <c r="J917" s="8"/>
    </row>
    <row r="918">
      <c r="C918" s="8"/>
      <c r="I918" s="8"/>
      <c r="J918" s="8"/>
    </row>
    <row r="919">
      <c r="C919" s="8"/>
      <c r="I919" s="8"/>
      <c r="J919" s="8"/>
    </row>
    <row r="920">
      <c r="C920" s="8"/>
      <c r="I920" s="8"/>
      <c r="J920" s="8"/>
    </row>
    <row r="921">
      <c r="C921" s="8"/>
      <c r="I921" s="8"/>
      <c r="J921" s="8"/>
    </row>
    <row r="922">
      <c r="C922" s="8"/>
      <c r="I922" s="8"/>
      <c r="J922" s="8"/>
    </row>
    <row r="923">
      <c r="C923" s="8"/>
      <c r="I923" s="8"/>
      <c r="J923" s="8"/>
    </row>
    <row r="924">
      <c r="C924" s="8"/>
      <c r="I924" s="8"/>
      <c r="J924" s="8"/>
    </row>
    <row r="925">
      <c r="C925" s="8"/>
      <c r="I925" s="8"/>
      <c r="J925" s="8"/>
    </row>
    <row r="926">
      <c r="C926" s="8"/>
      <c r="I926" s="8"/>
      <c r="J926" s="8"/>
    </row>
    <row r="927">
      <c r="C927" s="8"/>
      <c r="I927" s="8"/>
      <c r="J927" s="8"/>
    </row>
    <row r="928">
      <c r="C928" s="8"/>
      <c r="I928" s="8"/>
      <c r="J928" s="8"/>
    </row>
    <row r="929">
      <c r="C929" s="8"/>
      <c r="I929" s="8"/>
      <c r="J929" s="8"/>
    </row>
    <row r="930">
      <c r="C930" s="8"/>
      <c r="I930" s="8"/>
      <c r="J930" s="8"/>
    </row>
    <row r="931">
      <c r="C931" s="8"/>
      <c r="I931" s="8"/>
      <c r="J931" s="8"/>
    </row>
    <row r="932">
      <c r="C932" s="8"/>
      <c r="I932" s="8"/>
      <c r="J932" s="8"/>
    </row>
    <row r="933">
      <c r="C933" s="8"/>
      <c r="I933" s="8"/>
      <c r="J933" s="8"/>
    </row>
    <row r="934">
      <c r="C934" s="8"/>
      <c r="I934" s="8"/>
      <c r="J934" s="8"/>
    </row>
    <row r="935">
      <c r="C935" s="8"/>
      <c r="I935" s="8"/>
      <c r="J935" s="8"/>
    </row>
    <row r="936">
      <c r="C936" s="8"/>
      <c r="I936" s="8"/>
      <c r="J936" s="8"/>
    </row>
    <row r="937">
      <c r="C937" s="8"/>
      <c r="I937" s="8"/>
      <c r="J937" s="8"/>
    </row>
    <row r="938">
      <c r="C938" s="8"/>
      <c r="I938" s="8"/>
      <c r="J938" s="8"/>
    </row>
    <row r="939">
      <c r="C939" s="8"/>
      <c r="I939" s="8"/>
      <c r="J939" s="8"/>
    </row>
    <row r="940">
      <c r="C940" s="8"/>
      <c r="I940" s="8"/>
      <c r="J940" s="8"/>
    </row>
    <row r="941">
      <c r="C941" s="8"/>
      <c r="I941" s="8"/>
      <c r="J941" s="8"/>
    </row>
    <row r="942">
      <c r="C942" s="8"/>
      <c r="I942" s="8"/>
      <c r="J942" s="8"/>
    </row>
    <row r="943">
      <c r="C943" s="8"/>
      <c r="I943" s="8"/>
      <c r="J943" s="8"/>
    </row>
    <row r="944">
      <c r="C944" s="8"/>
      <c r="I944" s="8"/>
      <c r="J944" s="8"/>
    </row>
    <row r="945">
      <c r="C945" s="8"/>
      <c r="I945" s="8"/>
      <c r="J945" s="8"/>
    </row>
    <row r="946">
      <c r="C946" s="8"/>
      <c r="I946" s="8"/>
      <c r="J946" s="8"/>
    </row>
    <row r="947">
      <c r="C947" s="8"/>
      <c r="I947" s="8"/>
      <c r="J947" s="8"/>
    </row>
    <row r="948">
      <c r="C948" s="8"/>
      <c r="I948" s="8"/>
      <c r="J948" s="8"/>
    </row>
    <row r="949">
      <c r="C949" s="8"/>
      <c r="I949" s="8"/>
      <c r="J949" s="8"/>
    </row>
    <row r="950">
      <c r="C950" s="8"/>
      <c r="I950" s="8"/>
      <c r="J950" s="8"/>
    </row>
    <row r="951">
      <c r="C951" s="8"/>
      <c r="I951" s="8"/>
      <c r="J951" s="8"/>
    </row>
    <row r="952">
      <c r="C952" s="8"/>
      <c r="I952" s="8"/>
      <c r="J952" s="8"/>
    </row>
    <row r="953">
      <c r="C953" s="8"/>
      <c r="I953" s="8"/>
      <c r="J953" s="8"/>
    </row>
    <row r="954">
      <c r="C954" s="8"/>
      <c r="I954" s="8"/>
      <c r="J954" s="8"/>
    </row>
    <row r="955">
      <c r="C955" s="8"/>
      <c r="I955" s="8"/>
      <c r="J955" s="8"/>
    </row>
    <row r="956">
      <c r="C956" s="8"/>
      <c r="I956" s="8"/>
      <c r="J956" s="8"/>
    </row>
    <row r="957">
      <c r="C957" s="8"/>
      <c r="I957" s="8"/>
      <c r="J957" s="8"/>
    </row>
    <row r="958">
      <c r="C958" s="8"/>
      <c r="I958" s="8"/>
      <c r="J958" s="8"/>
    </row>
    <row r="959">
      <c r="C959" s="8"/>
      <c r="I959" s="8"/>
      <c r="J959" s="8"/>
    </row>
    <row r="960">
      <c r="C960" s="8"/>
      <c r="I960" s="8"/>
      <c r="J960" s="8"/>
    </row>
    <row r="961">
      <c r="C961" s="8"/>
      <c r="I961" s="8"/>
      <c r="J961" s="8"/>
    </row>
    <row r="962">
      <c r="C962" s="8"/>
      <c r="I962" s="8"/>
      <c r="J962" s="8"/>
    </row>
    <row r="963">
      <c r="C963" s="8"/>
      <c r="I963" s="8"/>
      <c r="J963" s="8"/>
    </row>
    <row r="964">
      <c r="C964" s="8"/>
      <c r="I964" s="8"/>
      <c r="J964" s="8"/>
    </row>
    <row r="965">
      <c r="C965" s="8"/>
      <c r="I965" s="8"/>
      <c r="J965" s="8"/>
    </row>
    <row r="966">
      <c r="C966" s="8"/>
      <c r="I966" s="8"/>
      <c r="J966" s="8"/>
    </row>
    <row r="967">
      <c r="C967" s="8"/>
      <c r="I967" s="8"/>
      <c r="J967" s="8"/>
    </row>
    <row r="968">
      <c r="C968" s="8"/>
      <c r="I968" s="8"/>
      <c r="J968" s="8"/>
    </row>
    <row r="969">
      <c r="C969" s="8"/>
      <c r="I969" s="8"/>
      <c r="J969" s="8"/>
    </row>
    <row r="970">
      <c r="C970" s="8"/>
      <c r="I970" s="8"/>
      <c r="J970" s="8"/>
    </row>
    <row r="971">
      <c r="C971" s="8"/>
      <c r="I971" s="8"/>
      <c r="J971" s="8"/>
    </row>
    <row r="972">
      <c r="C972" s="8"/>
      <c r="I972" s="8"/>
      <c r="J972" s="8"/>
    </row>
    <row r="973">
      <c r="C973" s="8"/>
      <c r="I973" s="8"/>
      <c r="J973" s="8"/>
    </row>
    <row r="974">
      <c r="C974" s="8"/>
      <c r="I974" s="8"/>
      <c r="J974" s="8"/>
    </row>
    <row r="975">
      <c r="C975" s="8"/>
      <c r="I975" s="8"/>
      <c r="J975" s="8"/>
    </row>
    <row r="976">
      <c r="C976" s="8"/>
      <c r="I976" s="8"/>
      <c r="J976" s="8"/>
    </row>
    <row r="977">
      <c r="C977" s="8"/>
      <c r="I977" s="8"/>
      <c r="J977" s="8"/>
    </row>
    <row r="978">
      <c r="C978" s="8"/>
      <c r="I978" s="8"/>
      <c r="J978" s="8"/>
    </row>
    <row r="979">
      <c r="C979" s="8"/>
      <c r="I979" s="8"/>
      <c r="J979" s="8"/>
    </row>
    <row r="980">
      <c r="C980" s="8"/>
      <c r="I980" s="8"/>
      <c r="J980" s="8"/>
    </row>
    <row r="981">
      <c r="C981" s="8"/>
      <c r="I981" s="8"/>
      <c r="J981" s="8"/>
    </row>
    <row r="982">
      <c r="C982" s="8"/>
      <c r="I982" s="8"/>
      <c r="J982" s="8"/>
    </row>
    <row r="983">
      <c r="C983" s="8"/>
      <c r="I983" s="8"/>
      <c r="J983" s="8"/>
    </row>
    <row r="984">
      <c r="C984" s="8"/>
      <c r="I984" s="8"/>
      <c r="J984" s="8"/>
    </row>
    <row r="985">
      <c r="C985" s="8"/>
      <c r="I985" s="8"/>
      <c r="J985" s="8"/>
    </row>
    <row r="986">
      <c r="C986" s="8"/>
      <c r="I986" s="8"/>
      <c r="J986" s="8"/>
    </row>
    <row r="987">
      <c r="C987" s="8"/>
      <c r="I987" s="8"/>
      <c r="J987" s="8"/>
    </row>
    <row r="988">
      <c r="C988" s="8"/>
      <c r="I988" s="8"/>
      <c r="J988" s="8"/>
    </row>
    <row r="989">
      <c r="C989" s="8"/>
      <c r="I989" s="8"/>
      <c r="J989" s="8"/>
    </row>
    <row r="990">
      <c r="C990" s="8"/>
      <c r="I990" s="8"/>
      <c r="J990" s="8"/>
    </row>
    <row r="991">
      <c r="C991" s="8"/>
      <c r="I991" s="8"/>
      <c r="J991" s="8"/>
    </row>
    <row r="992">
      <c r="C992" s="8"/>
      <c r="I992" s="8"/>
      <c r="J992" s="8"/>
    </row>
    <row r="993">
      <c r="C993" s="8"/>
      <c r="I993" s="8"/>
      <c r="J993" s="8"/>
    </row>
    <row r="994">
      <c r="C994" s="8"/>
      <c r="I994" s="8"/>
      <c r="J994" s="8"/>
    </row>
    <row r="995">
      <c r="C995" s="8"/>
      <c r="I995" s="8"/>
      <c r="J995" s="8"/>
    </row>
    <row r="996">
      <c r="C996" s="8"/>
      <c r="I996" s="8"/>
      <c r="J996" s="8"/>
    </row>
    <row r="997">
      <c r="C997" s="8"/>
      <c r="I997" s="8"/>
      <c r="J997" s="8"/>
    </row>
    <row r="998">
      <c r="C998" s="8"/>
      <c r="I998" s="8"/>
      <c r="J998" s="8"/>
    </row>
    <row r="999">
      <c r="C999" s="8"/>
      <c r="I999" s="8"/>
      <c r="J999" s="8"/>
    </row>
    <row r="1000">
      <c r="C1000" s="8"/>
      <c r="I1000" s="8"/>
      <c r="J1000" s="8"/>
    </row>
  </sheetData>
  <mergeCells count="1">
    <mergeCell ref="A1:O2"/>
  </mergeCells>
  <dataValidations>
    <dataValidation type="list" allowBlank="1" showErrorMessage="1" sqref="B3:C3">
      <formula1>"Mout,Hop,Gist,Suiker,Fruit,Adjunct"</formula1>
    </dataValidation>
    <dataValidation type="list" allowBlank="1" showErrorMessage="1" sqref="J6:J1000">
      <formula1>Uitleg!$C$2:$C$5</formula1>
    </dataValidation>
    <dataValidation type="list" allowBlank="1" showErrorMessage="1" sqref="I6:I1000">
      <formula1>Uitleg!$B$2:$B$7</formula1>
    </dataValidation>
    <dataValidation type="list" allowBlank="1" showErrorMessage="1" sqref="C6:C1000">
      <formula1>Uitleg!$A$2:$A$3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63"/>
    <col customWidth="1" min="3" max="3" width="14.0"/>
    <col customWidth="1" min="7" max="11" width="13.5"/>
    <col customWidth="1" min="12" max="12" width="3.38"/>
    <col customWidth="1" min="15" max="15" width="13.88"/>
  </cols>
  <sheetData>
    <row r="1">
      <c r="A1" s="1" t="s">
        <v>122</v>
      </c>
    </row>
    <row r="3">
      <c r="A3" s="2" t="s">
        <v>559</v>
      </c>
      <c r="B3" s="2"/>
      <c r="C3" s="2" t="s">
        <v>498</v>
      </c>
      <c r="M3" s="2" t="s">
        <v>560</v>
      </c>
      <c r="N3" s="8">
        <f>SUM(H6:H1000) - SUM(O6:O1000)</f>
        <v>0</v>
      </c>
      <c r="O3" s="2" t="s">
        <v>561</v>
      </c>
    </row>
    <row r="5">
      <c r="A5" s="22" t="s">
        <v>104</v>
      </c>
      <c r="B5" s="22" t="s">
        <v>105</v>
      </c>
      <c r="C5" s="22" t="s">
        <v>106</v>
      </c>
      <c r="D5" s="22" t="s">
        <v>107</v>
      </c>
      <c r="E5" s="22" t="s">
        <v>108</v>
      </c>
      <c r="F5" s="22" t="s">
        <v>111</v>
      </c>
      <c r="G5" s="22" t="s">
        <v>112</v>
      </c>
      <c r="H5" s="22" t="s">
        <v>113</v>
      </c>
      <c r="I5" s="22" t="s">
        <v>115</v>
      </c>
      <c r="J5" s="22" t="s">
        <v>116</v>
      </c>
      <c r="K5" s="22" t="s">
        <v>117</v>
      </c>
      <c r="M5" s="23" t="s">
        <v>118</v>
      </c>
      <c r="N5" s="23" t="s">
        <v>107</v>
      </c>
      <c r="O5" s="23" t="s">
        <v>113</v>
      </c>
      <c r="P5" s="23" t="s">
        <v>111</v>
      </c>
    </row>
    <row r="6">
      <c r="B6" s="2"/>
      <c r="C6" s="2" t="s">
        <v>120</v>
      </c>
      <c r="D6" s="24">
        <v>45009.0</v>
      </c>
      <c r="E6" s="2" t="s">
        <v>121</v>
      </c>
      <c r="F6" s="2" t="s">
        <v>123</v>
      </c>
      <c r="G6" s="25">
        <v>45658.0</v>
      </c>
      <c r="H6" s="2">
        <v>50.0</v>
      </c>
      <c r="I6" s="2"/>
      <c r="J6" s="2"/>
      <c r="K6" s="2"/>
      <c r="M6" s="2" t="s">
        <v>64</v>
      </c>
      <c r="N6" s="24">
        <v>45015.0</v>
      </c>
      <c r="O6" s="2">
        <v>40.0</v>
      </c>
      <c r="P6" s="2" t="s">
        <v>567</v>
      </c>
    </row>
    <row r="7">
      <c r="C7" s="8"/>
      <c r="D7" s="24"/>
      <c r="G7" s="25"/>
      <c r="I7" s="8"/>
      <c r="J7" s="8"/>
      <c r="M7" s="2" t="s">
        <v>65</v>
      </c>
      <c r="N7" s="24">
        <v>45015.0</v>
      </c>
      <c r="O7" s="2">
        <v>10.0</v>
      </c>
      <c r="P7" s="2" t="s">
        <v>567</v>
      </c>
    </row>
    <row r="8">
      <c r="C8" s="28"/>
      <c r="D8" s="24"/>
      <c r="G8" s="25"/>
      <c r="I8" s="8"/>
      <c r="J8" s="8"/>
      <c r="N8" s="28"/>
    </row>
    <row r="9">
      <c r="C9" s="28"/>
      <c r="D9" s="28"/>
      <c r="E9" s="28"/>
      <c r="F9" s="28"/>
      <c r="I9" s="8"/>
      <c r="J9" s="8"/>
      <c r="N9" s="28"/>
    </row>
    <row r="10">
      <c r="C10" s="28"/>
      <c r="D10" s="28"/>
      <c r="E10" s="28"/>
      <c r="F10" s="28"/>
      <c r="I10" s="8"/>
      <c r="J10" s="8"/>
      <c r="N10" s="28"/>
    </row>
    <row r="11">
      <c r="C11" s="28"/>
      <c r="D11" s="28"/>
      <c r="E11" s="28"/>
      <c r="F11" s="28"/>
      <c r="I11" s="8"/>
      <c r="J11" s="8"/>
      <c r="N11" s="28"/>
    </row>
    <row r="12">
      <c r="C12" s="28"/>
      <c r="D12" s="28"/>
      <c r="E12" s="28"/>
      <c r="F12" s="28"/>
      <c r="I12" s="8"/>
      <c r="J12" s="8"/>
      <c r="N12" s="28"/>
    </row>
    <row r="13">
      <c r="C13" s="28"/>
      <c r="D13" s="28"/>
      <c r="E13" s="28"/>
      <c r="F13" s="28"/>
      <c r="I13" s="8"/>
      <c r="J13" s="8"/>
      <c r="N13" s="28"/>
    </row>
    <row r="14">
      <c r="C14" s="28"/>
      <c r="D14" s="28"/>
      <c r="E14" s="28"/>
      <c r="F14" s="28"/>
      <c r="I14" s="8"/>
      <c r="J14" s="8"/>
      <c r="N14" s="28"/>
    </row>
    <row r="15">
      <c r="C15" s="28"/>
      <c r="D15" s="28"/>
      <c r="E15" s="28"/>
      <c r="F15" s="28"/>
      <c r="I15" s="8"/>
      <c r="J15" s="8"/>
      <c r="N15" s="28"/>
    </row>
    <row r="16">
      <c r="C16" s="28"/>
      <c r="D16" s="28"/>
      <c r="E16" s="28"/>
      <c r="F16" s="28"/>
      <c r="I16" s="8"/>
      <c r="J16" s="8"/>
      <c r="N16" s="28"/>
    </row>
    <row r="17">
      <c r="C17" s="28"/>
      <c r="D17" s="28"/>
      <c r="E17" s="28"/>
      <c r="F17" s="28"/>
      <c r="I17" s="8"/>
      <c r="J17" s="8"/>
      <c r="N17" s="28"/>
    </row>
    <row r="18">
      <c r="C18" s="28"/>
      <c r="D18" s="28"/>
      <c r="E18" s="28"/>
      <c r="F18" s="28"/>
      <c r="I18" s="8"/>
      <c r="J18" s="8"/>
      <c r="N18" s="28"/>
    </row>
    <row r="19">
      <c r="C19" s="28"/>
      <c r="D19" s="28"/>
      <c r="E19" s="28"/>
      <c r="F19" s="28"/>
      <c r="I19" s="8"/>
      <c r="J19" s="8"/>
      <c r="N19" s="28"/>
    </row>
    <row r="20">
      <c r="C20" s="28"/>
      <c r="D20" s="28"/>
      <c r="E20" s="28"/>
      <c r="F20" s="28"/>
      <c r="I20" s="8"/>
      <c r="J20" s="8"/>
      <c r="N20" s="28"/>
    </row>
    <row r="21">
      <c r="C21" s="28"/>
      <c r="D21" s="28"/>
      <c r="E21" s="28"/>
      <c r="F21" s="28"/>
      <c r="I21" s="8"/>
      <c r="J21" s="8"/>
      <c r="N21" s="28"/>
    </row>
    <row r="22">
      <c r="C22" s="28"/>
      <c r="D22" s="28"/>
      <c r="E22" s="28"/>
      <c r="F22" s="28"/>
      <c r="I22" s="8"/>
      <c r="J22" s="8"/>
      <c r="N22" s="28"/>
    </row>
    <row r="23">
      <c r="C23" s="28"/>
      <c r="D23" s="28"/>
      <c r="E23" s="28"/>
      <c r="F23" s="28"/>
      <c r="I23" s="8"/>
      <c r="J23" s="8"/>
      <c r="N23" s="28"/>
    </row>
    <row r="24">
      <c r="C24" s="28"/>
      <c r="D24" s="28"/>
      <c r="E24" s="28"/>
      <c r="F24" s="28"/>
      <c r="I24" s="8"/>
      <c r="J24" s="8"/>
      <c r="N24" s="28"/>
    </row>
    <row r="25">
      <c r="C25" s="28"/>
      <c r="D25" s="28"/>
      <c r="E25" s="28"/>
      <c r="F25" s="28"/>
      <c r="I25" s="8"/>
      <c r="J25" s="8"/>
      <c r="N25" s="28"/>
    </row>
    <row r="26">
      <c r="C26" s="28"/>
      <c r="D26" s="28"/>
      <c r="E26" s="28"/>
      <c r="F26" s="28"/>
      <c r="I26" s="8"/>
      <c r="J26" s="8"/>
      <c r="N26" s="28"/>
    </row>
    <row r="27">
      <c r="C27" s="28"/>
      <c r="D27" s="28"/>
      <c r="E27" s="28"/>
      <c r="F27" s="28"/>
      <c r="I27" s="8"/>
      <c r="J27" s="8"/>
      <c r="N27" s="28"/>
    </row>
    <row r="28">
      <c r="C28" s="28"/>
      <c r="D28" s="28"/>
      <c r="E28" s="28"/>
      <c r="F28" s="28"/>
      <c r="I28" s="8"/>
      <c r="J28" s="8"/>
      <c r="N28" s="28"/>
    </row>
    <row r="29">
      <c r="C29" s="28"/>
      <c r="D29" s="28"/>
      <c r="E29" s="28"/>
      <c r="F29" s="28"/>
      <c r="I29" s="8"/>
      <c r="J29" s="8"/>
      <c r="N29" s="28"/>
    </row>
    <row r="30">
      <c r="C30" s="28"/>
      <c r="D30" s="28"/>
      <c r="E30" s="28"/>
      <c r="F30" s="28"/>
      <c r="I30" s="8"/>
      <c r="J30" s="8"/>
      <c r="N30" s="28"/>
    </row>
    <row r="31">
      <c r="C31" s="28"/>
      <c r="D31" s="28"/>
      <c r="E31" s="28"/>
      <c r="F31" s="28"/>
      <c r="I31" s="8"/>
      <c r="J31" s="8"/>
      <c r="N31" s="28"/>
    </row>
    <row r="32">
      <c r="C32" s="28"/>
      <c r="D32" s="28"/>
      <c r="E32" s="28"/>
      <c r="F32" s="28"/>
      <c r="I32" s="8"/>
      <c r="J32" s="8"/>
      <c r="N32" s="28"/>
    </row>
    <row r="33">
      <c r="C33" s="8"/>
      <c r="I33" s="8"/>
      <c r="J33" s="8"/>
      <c r="N33" s="28"/>
    </row>
    <row r="34">
      <c r="C34" s="8"/>
      <c r="I34" s="8"/>
      <c r="J34" s="8"/>
    </row>
    <row r="35">
      <c r="C35" s="8"/>
      <c r="I35" s="8"/>
      <c r="J35" s="8"/>
    </row>
    <row r="36">
      <c r="C36" s="8"/>
      <c r="I36" s="8"/>
      <c r="J36" s="8"/>
    </row>
    <row r="37">
      <c r="C37" s="8"/>
      <c r="I37" s="8"/>
      <c r="J37" s="8"/>
    </row>
    <row r="38">
      <c r="C38" s="8"/>
      <c r="I38" s="8"/>
      <c r="J38" s="8"/>
    </row>
    <row r="39">
      <c r="C39" s="8"/>
      <c r="I39" s="8"/>
      <c r="J39" s="8"/>
    </row>
    <row r="40">
      <c r="C40" s="8"/>
      <c r="I40" s="8"/>
      <c r="J40" s="8"/>
    </row>
    <row r="41">
      <c r="C41" s="8"/>
      <c r="I41" s="8"/>
      <c r="J41" s="8"/>
    </row>
    <row r="42">
      <c r="C42" s="8"/>
      <c r="I42" s="8"/>
      <c r="J42" s="8"/>
    </row>
    <row r="43">
      <c r="C43" s="8"/>
      <c r="I43" s="8"/>
      <c r="J43" s="8"/>
    </row>
    <row r="44">
      <c r="C44" s="8"/>
      <c r="I44" s="8"/>
      <c r="J44" s="8"/>
    </row>
    <row r="45">
      <c r="C45" s="8"/>
      <c r="I45" s="8"/>
      <c r="J45" s="8"/>
    </row>
    <row r="46">
      <c r="C46" s="8"/>
      <c r="I46" s="8"/>
      <c r="J46" s="8"/>
    </row>
    <row r="47">
      <c r="C47" s="8"/>
      <c r="I47" s="8"/>
      <c r="J47" s="8"/>
    </row>
    <row r="48">
      <c r="C48" s="8"/>
      <c r="I48" s="8"/>
      <c r="J48" s="8"/>
    </row>
    <row r="49">
      <c r="C49" s="8"/>
      <c r="I49" s="8"/>
      <c r="J49" s="8"/>
    </row>
    <row r="50">
      <c r="C50" s="8"/>
      <c r="I50" s="8"/>
      <c r="J50" s="8"/>
    </row>
    <row r="51">
      <c r="C51" s="8"/>
      <c r="I51" s="8"/>
      <c r="J51" s="8"/>
    </row>
    <row r="52">
      <c r="C52" s="8"/>
      <c r="I52" s="8"/>
      <c r="J52" s="8"/>
    </row>
    <row r="53">
      <c r="C53" s="8"/>
      <c r="I53" s="8"/>
      <c r="J53" s="8"/>
    </row>
    <row r="54">
      <c r="C54" s="8"/>
      <c r="I54" s="8"/>
      <c r="J54" s="8"/>
    </row>
    <row r="55">
      <c r="C55" s="8"/>
      <c r="I55" s="8"/>
      <c r="J55" s="8"/>
    </row>
    <row r="56">
      <c r="C56" s="8"/>
      <c r="I56" s="8"/>
      <c r="J56" s="8"/>
    </row>
    <row r="57">
      <c r="C57" s="8"/>
      <c r="I57" s="8"/>
      <c r="J57" s="8"/>
    </row>
    <row r="58">
      <c r="C58" s="8"/>
      <c r="I58" s="8"/>
      <c r="J58" s="8"/>
    </row>
    <row r="59">
      <c r="C59" s="8"/>
      <c r="I59" s="8"/>
      <c r="J59" s="8"/>
    </row>
    <row r="60">
      <c r="C60" s="8"/>
      <c r="I60" s="8"/>
      <c r="J60" s="8"/>
    </row>
    <row r="61">
      <c r="C61" s="8"/>
      <c r="I61" s="8"/>
      <c r="J61" s="8"/>
    </row>
    <row r="62">
      <c r="C62" s="8"/>
      <c r="I62" s="8"/>
      <c r="J62" s="8"/>
    </row>
    <row r="63">
      <c r="C63" s="8"/>
      <c r="I63" s="8"/>
      <c r="J63" s="8"/>
    </row>
    <row r="64">
      <c r="C64" s="8"/>
      <c r="I64" s="8"/>
      <c r="J64" s="8"/>
    </row>
    <row r="65">
      <c r="C65" s="8"/>
      <c r="I65" s="8"/>
      <c r="J65" s="8"/>
    </row>
    <row r="66">
      <c r="C66" s="8"/>
      <c r="I66" s="8"/>
      <c r="J66" s="8"/>
    </row>
    <row r="67">
      <c r="C67" s="8"/>
      <c r="I67" s="8"/>
      <c r="J67" s="8"/>
    </row>
    <row r="68">
      <c r="C68" s="8"/>
      <c r="I68" s="8"/>
      <c r="J68" s="8"/>
    </row>
    <row r="69">
      <c r="C69" s="8"/>
      <c r="I69" s="8"/>
      <c r="J69" s="8"/>
    </row>
    <row r="70">
      <c r="C70" s="8"/>
      <c r="I70" s="8"/>
      <c r="J70" s="8"/>
    </row>
    <row r="71">
      <c r="C71" s="8"/>
      <c r="I71" s="8"/>
      <c r="J71" s="8"/>
    </row>
    <row r="72">
      <c r="C72" s="8"/>
      <c r="I72" s="8"/>
      <c r="J72" s="8"/>
    </row>
    <row r="73">
      <c r="C73" s="8"/>
      <c r="I73" s="8"/>
      <c r="J73" s="8"/>
    </row>
    <row r="74">
      <c r="C74" s="8"/>
      <c r="I74" s="8"/>
      <c r="J74" s="8"/>
    </row>
    <row r="75">
      <c r="C75" s="8"/>
      <c r="I75" s="8"/>
      <c r="J75" s="8"/>
    </row>
    <row r="76">
      <c r="C76" s="8"/>
      <c r="I76" s="8"/>
      <c r="J76" s="8"/>
    </row>
    <row r="77">
      <c r="C77" s="8"/>
      <c r="I77" s="8"/>
      <c r="J77" s="8"/>
    </row>
    <row r="78">
      <c r="C78" s="8"/>
      <c r="I78" s="8"/>
      <c r="J78" s="8"/>
    </row>
    <row r="79">
      <c r="C79" s="8"/>
      <c r="I79" s="8"/>
      <c r="J79" s="8"/>
    </row>
    <row r="80">
      <c r="C80" s="8"/>
      <c r="I80" s="8"/>
      <c r="J80" s="8"/>
    </row>
    <row r="81">
      <c r="C81" s="8"/>
      <c r="I81" s="8"/>
      <c r="J81" s="8"/>
    </row>
    <row r="82">
      <c r="C82" s="8"/>
      <c r="I82" s="8"/>
      <c r="J82" s="8"/>
    </row>
    <row r="83">
      <c r="C83" s="8"/>
      <c r="I83" s="8"/>
      <c r="J83" s="8"/>
    </row>
    <row r="84">
      <c r="C84" s="8"/>
      <c r="I84" s="8"/>
      <c r="J84" s="8"/>
    </row>
    <row r="85">
      <c r="C85" s="8"/>
      <c r="I85" s="8"/>
      <c r="J85" s="8"/>
    </row>
    <row r="86">
      <c r="C86" s="8"/>
      <c r="I86" s="8"/>
      <c r="J86" s="8"/>
    </row>
    <row r="87">
      <c r="C87" s="8"/>
      <c r="I87" s="8"/>
      <c r="J87" s="8"/>
    </row>
    <row r="88">
      <c r="C88" s="8"/>
      <c r="I88" s="8"/>
      <c r="J88" s="8"/>
    </row>
    <row r="89">
      <c r="C89" s="8"/>
      <c r="I89" s="8"/>
      <c r="J89" s="8"/>
    </row>
    <row r="90">
      <c r="C90" s="8"/>
      <c r="I90" s="8"/>
      <c r="J90" s="8"/>
    </row>
    <row r="91">
      <c r="C91" s="8"/>
      <c r="I91" s="8"/>
      <c r="J91" s="8"/>
    </row>
    <row r="92">
      <c r="C92" s="8"/>
      <c r="I92" s="8"/>
      <c r="J92" s="8"/>
    </row>
    <row r="93">
      <c r="C93" s="8"/>
      <c r="I93" s="8"/>
      <c r="J93" s="8"/>
    </row>
    <row r="94">
      <c r="C94" s="8"/>
      <c r="I94" s="8"/>
      <c r="J94" s="8"/>
    </row>
    <row r="95">
      <c r="C95" s="8"/>
      <c r="I95" s="8"/>
      <c r="J95" s="8"/>
    </row>
    <row r="96">
      <c r="C96" s="8"/>
      <c r="I96" s="8"/>
      <c r="J96" s="8"/>
    </row>
    <row r="97">
      <c r="C97" s="8"/>
      <c r="I97" s="8"/>
      <c r="J97" s="8"/>
    </row>
    <row r="98">
      <c r="C98" s="8"/>
      <c r="I98" s="8"/>
      <c r="J98" s="8"/>
    </row>
    <row r="99">
      <c r="C99" s="8"/>
      <c r="I99" s="8"/>
      <c r="J99" s="8"/>
    </row>
    <row r="100">
      <c r="C100" s="8"/>
      <c r="I100" s="8"/>
      <c r="J100" s="8"/>
    </row>
    <row r="101">
      <c r="C101" s="8"/>
      <c r="I101" s="8"/>
      <c r="J101" s="8"/>
    </row>
    <row r="102">
      <c r="C102" s="8"/>
      <c r="I102" s="8"/>
      <c r="J102" s="8"/>
    </row>
    <row r="103">
      <c r="C103" s="8"/>
      <c r="I103" s="8"/>
      <c r="J103" s="8"/>
    </row>
    <row r="104">
      <c r="C104" s="8"/>
      <c r="I104" s="8"/>
      <c r="J104" s="8"/>
    </row>
    <row r="105">
      <c r="C105" s="8"/>
      <c r="I105" s="8"/>
      <c r="J105" s="8"/>
    </row>
    <row r="106">
      <c r="C106" s="8"/>
      <c r="I106" s="8"/>
      <c r="J106" s="8"/>
    </row>
    <row r="107">
      <c r="C107" s="8"/>
      <c r="I107" s="8"/>
      <c r="J107" s="8"/>
    </row>
    <row r="108">
      <c r="C108" s="8"/>
      <c r="I108" s="8"/>
      <c r="J108" s="8"/>
    </row>
    <row r="109">
      <c r="C109" s="8"/>
      <c r="I109" s="8"/>
      <c r="J109" s="8"/>
    </row>
    <row r="110">
      <c r="C110" s="8"/>
      <c r="I110" s="8"/>
      <c r="J110" s="8"/>
    </row>
    <row r="111">
      <c r="C111" s="8"/>
      <c r="I111" s="8"/>
      <c r="J111" s="8"/>
    </row>
    <row r="112">
      <c r="C112" s="8"/>
      <c r="I112" s="8"/>
      <c r="J112" s="8"/>
    </row>
    <row r="113">
      <c r="C113" s="8"/>
      <c r="I113" s="8"/>
      <c r="J113" s="8"/>
    </row>
    <row r="114">
      <c r="C114" s="8"/>
      <c r="I114" s="8"/>
      <c r="J114" s="8"/>
    </row>
    <row r="115">
      <c r="C115" s="8"/>
      <c r="I115" s="8"/>
      <c r="J115" s="8"/>
    </row>
    <row r="116">
      <c r="C116" s="8"/>
      <c r="I116" s="8"/>
      <c r="J116" s="8"/>
    </row>
    <row r="117">
      <c r="C117" s="8"/>
      <c r="I117" s="8"/>
      <c r="J117" s="8"/>
    </row>
    <row r="118">
      <c r="C118" s="8"/>
      <c r="I118" s="8"/>
      <c r="J118" s="8"/>
    </row>
    <row r="119">
      <c r="C119" s="8"/>
      <c r="I119" s="8"/>
      <c r="J119" s="8"/>
    </row>
    <row r="120">
      <c r="C120" s="8"/>
      <c r="I120" s="8"/>
      <c r="J120" s="8"/>
    </row>
    <row r="121">
      <c r="C121" s="8"/>
      <c r="I121" s="8"/>
      <c r="J121" s="8"/>
    </row>
    <row r="122">
      <c r="C122" s="8"/>
      <c r="I122" s="8"/>
      <c r="J122" s="8"/>
    </row>
    <row r="123">
      <c r="C123" s="8"/>
      <c r="I123" s="8"/>
      <c r="J123" s="8"/>
    </row>
    <row r="124">
      <c r="C124" s="8"/>
      <c r="I124" s="8"/>
      <c r="J124" s="8"/>
    </row>
    <row r="125">
      <c r="C125" s="8"/>
      <c r="I125" s="8"/>
      <c r="J125" s="8"/>
    </row>
    <row r="126">
      <c r="C126" s="8"/>
      <c r="I126" s="8"/>
      <c r="J126" s="8"/>
    </row>
    <row r="127">
      <c r="C127" s="8"/>
      <c r="I127" s="8"/>
      <c r="J127" s="8"/>
    </row>
    <row r="128">
      <c r="C128" s="8"/>
      <c r="I128" s="8"/>
      <c r="J128" s="8"/>
    </row>
    <row r="129">
      <c r="C129" s="8"/>
      <c r="I129" s="8"/>
      <c r="J129" s="8"/>
    </row>
    <row r="130">
      <c r="C130" s="8"/>
      <c r="I130" s="8"/>
      <c r="J130" s="8"/>
    </row>
    <row r="131">
      <c r="C131" s="8"/>
      <c r="I131" s="8"/>
      <c r="J131" s="8"/>
    </row>
    <row r="132">
      <c r="C132" s="8"/>
      <c r="I132" s="8"/>
      <c r="J132" s="8"/>
    </row>
    <row r="133">
      <c r="C133" s="8"/>
      <c r="I133" s="8"/>
      <c r="J133" s="8"/>
    </row>
    <row r="134">
      <c r="C134" s="8"/>
      <c r="I134" s="8"/>
      <c r="J134" s="8"/>
    </row>
    <row r="135">
      <c r="C135" s="8"/>
      <c r="I135" s="8"/>
      <c r="J135" s="8"/>
    </row>
    <row r="136">
      <c r="C136" s="8"/>
      <c r="I136" s="8"/>
      <c r="J136" s="8"/>
    </row>
    <row r="137">
      <c r="C137" s="8"/>
      <c r="I137" s="8"/>
      <c r="J137" s="8"/>
    </row>
    <row r="138">
      <c r="C138" s="8"/>
      <c r="I138" s="8"/>
      <c r="J138" s="8"/>
    </row>
    <row r="139">
      <c r="C139" s="8"/>
      <c r="I139" s="8"/>
      <c r="J139" s="8"/>
    </row>
    <row r="140">
      <c r="C140" s="8"/>
      <c r="I140" s="8"/>
      <c r="J140" s="8"/>
    </row>
    <row r="141">
      <c r="C141" s="8"/>
      <c r="I141" s="8"/>
      <c r="J141" s="8"/>
    </row>
    <row r="142">
      <c r="C142" s="8"/>
      <c r="I142" s="8"/>
      <c r="J142" s="8"/>
    </row>
    <row r="143">
      <c r="C143" s="8"/>
      <c r="I143" s="8"/>
      <c r="J143" s="8"/>
    </row>
    <row r="144">
      <c r="C144" s="8"/>
      <c r="I144" s="8"/>
      <c r="J144" s="8"/>
    </row>
    <row r="145">
      <c r="C145" s="8"/>
      <c r="I145" s="8"/>
      <c r="J145" s="8"/>
    </row>
    <row r="146">
      <c r="C146" s="8"/>
      <c r="I146" s="8"/>
      <c r="J146" s="8"/>
    </row>
    <row r="147">
      <c r="C147" s="8"/>
      <c r="I147" s="8"/>
      <c r="J147" s="8"/>
    </row>
    <row r="148">
      <c r="C148" s="8"/>
      <c r="I148" s="8"/>
      <c r="J148" s="8"/>
    </row>
    <row r="149">
      <c r="C149" s="8"/>
      <c r="I149" s="8"/>
      <c r="J149" s="8"/>
    </row>
    <row r="150">
      <c r="C150" s="8"/>
      <c r="I150" s="8"/>
      <c r="J150" s="8"/>
    </row>
    <row r="151">
      <c r="C151" s="8"/>
      <c r="I151" s="8"/>
      <c r="J151" s="8"/>
    </row>
    <row r="152">
      <c r="C152" s="8"/>
      <c r="I152" s="8"/>
      <c r="J152" s="8"/>
    </row>
    <row r="153">
      <c r="C153" s="8"/>
      <c r="I153" s="8"/>
      <c r="J153" s="8"/>
    </row>
    <row r="154">
      <c r="C154" s="8"/>
      <c r="I154" s="8"/>
      <c r="J154" s="8"/>
    </row>
    <row r="155">
      <c r="C155" s="8"/>
      <c r="I155" s="8"/>
      <c r="J155" s="8"/>
    </row>
    <row r="156">
      <c r="C156" s="8"/>
      <c r="I156" s="8"/>
      <c r="J156" s="8"/>
    </row>
    <row r="157">
      <c r="C157" s="8"/>
      <c r="I157" s="8"/>
      <c r="J157" s="8"/>
    </row>
    <row r="158">
      <c r="C158" s="8"/>
      <c r="I158" s="8"/>
      <c r="J158" s="8"/>
    </row>
    <row r="159">
      <c r="C159" s="8"/>
      <c r="I159" s="8"/>
      <c r="J159" s="8"/>
    </row>
    <row r="160">
      <c r="C160" s="8"/>
      <c r="I160" s="8"/>
      <c r="J160" s="8"/>
    </row>
    <row r="161">
      <c r="C161" s="8"/>
      <c r="I161" s="8"/>
      <c r="J161" s="8"/>
    </row>
    <row r="162">
      <c r="C162" s="8"/>
      <c r="I162" s="8"/>
      <c r="J162" s="8"/>
    </row>
    <row r="163">
      <c r="C163" s="8"/>
      <c r="I163" s="8"/>
      <c r="J163" s="8"/>
    </row>
    <row r="164">
      <c r="C164" s="8"/>
      <c r="I164" s="8"/>
      <c r="J164" s="8"/>
    </row>
    <row r="165">
      <c r="C165" s="8"/>
      <c r="I165" s="8"/>
      <c r="J165" s="8"/>
    </row>
    <row r="166">
      <c r="C166" s="8"/>
      <c r="I166" s="8"/>
      <c r="J166" s="8"/>
    </row>
    <row r="167">
      <c r="C167" s="8"/>
      <c r="I167" s="8"/>
      <c r="J167" s="8"/>
    </row>
    <row r="168">
      <c r="C168" s="8"/>
      <c r="I168" s="8"/>
      <c r="J168" s="8"/>
    </row>
    <row r="169">
      <c r="C169" s="8"/>
      <c r="I169" s="8"/>
      <c r="J169" s="8"/>
    </row>
    <row r="170">
      <c r="C170" s="8"/>
      <c r="I170" s="8"/>
      <c r="J170" s="8"/>
    </row>
    <row r="171">
      <c r="C171" s="8"/>
      <c r="I171" s="8"/>
      <c r="J171" s="8"/>
    </row>
    <row r="172">
      <c r="C172" s="8"/>
      <c r="I172" s="8"/>
      <c r="J172" s="8"/>
    </row>
    <row r="173">
      <c r="C173" s="8"/>
      <c r="I173" s="8"/>
      <c r="J173" s="8"/>
    </row>
    <row r="174">
      <c r="C174" s="8"/>
      <c r="I174" s="8"/>
      <c r="J174" s="8"/>
    </row>
    <row r="175">
      <c r="C175" s="8"/>
      <c r="I175" s="8"/>
      <c r="J175" s="8"/>
    </row>
    <row r="176">
      <c r="C176" s="8"/>
      <c r="I176" s="8"/>
      <c r="J176" s="8"/>
    </row>
    <row r="177">
      <c r="C177" s="8"/>
      <c r="I177" s="8"/>
      <c r="J177" s="8"/>
    </row>
    <row r="178">
      <c r="C178" s="8"/>
      <c r="I178" s="8"/>
      <c r="J178" s="8"/>
    </row>
    <row r="179">
      <c r="C179" s="8"/>
      <c r="I179" s="8"/>
      <c r="J179" s="8"/>
    </row>
    <row r="180">
      <c r="C180" s="8"/>
      <c r="I180" s="8"/>
      <c r="J180" s="8"/>
    </row>
    <row r="181">
      <c r="C181" s="8"/>
      <c r="I181" s="8"/>
      <c r="J181" s="8"/>
    </row>
    <row r="182">
      <c r="C182" s="8"/>
      <c r="I182" s="8"/>
      <c r="J182" s="8"/>
    </row>
    <row r="183">
      <c r="C183" s="8"/>
      <c r="I183" s="8"/>
      <c r="J183" s="8"/>
    </row>
    <row r="184">
      <c r="C184" s="8"/>
      <c r="I184" s="8"/>
      <c r="J184" s="8"/>
    </row>
    <row r="185">
      <c r="C185" s="8"/>
      <c r="I185" s="8"/>
      <c r="J185" s="8"/>
    </row>
    <row r="186">
      <c r="C186" s="8"/>
      <c r="I186" s="8"/>
      <c r="J186" s="8"/>
    </row>
    <row r="187">
      <c r="C187" s="8"/>
      <c r="I187" s="8"/>
      <c r="J187" s="8"/>
    </row>
    <row r="188">
      <c r="C188" s="8"/>
      <c r="I188" s="8"/>
      <c r="J188" s="8"/>
    </row>
    <row r="189">
      <c r="C189" s="8"/>
      <c r="I189" s="8"/>
      <c r="J189" s="8"/>
    </row>
    <row r="190">
      <c r="C190" s="8"/>
      <c r="I190" s="8"/>
      <c r="J190" s="8"/>
    </row>
    <row r="191">
      <c r="C191" s="8"/>
      <c r="I191" s="8"/>
      <c r="J191" s="8"/>
    </row>
    <row r="192">
      <c r="C192" s="8"/>
      <c r="I192" s="8"/>
      <c r="J192" s="8"/>
    </row>
    <row r="193">
      <c r="C193" s="8"/>
      <c r="I193" s="8"/>
      <c r="J193" s="8"/>
    </row>
    <row r="194">
      <c r="C194" s="8"/>
      <c r="I194" s="8"/>
      <c r="J194" s="8"/>
    </row>
    <row r="195">
      <c r="C195" s="8"/>
      <c r="I195" s="8"/>
      <c r="J195" s="8"/>
    </row>
    <row r="196">
      <c r="C196" s="8"/>
      <c r="I196" s="8"/>
      <c r="J196" s="8"/>
    </row>
    <row r="197">
      <c r="C197" s="8"/>
      <c r="I197" s="8"/>
      <c r="J197" s="8"/>
    </row>
    <row r="198">
      <c r="C198" s="8"/>
      <c r="I198" s="8"/>
      <c r="J198" s="8"/>
    </row>
    <row r="199">
      <c r="C199" s="8"/>
      <c r="I199" s="8"/>
      <c r="J199" s="8"/>
    </row>
    <row r="200">
      <c r="C200" s="8"/>
      <c r="I200" s="8"/>
      <c r="J200" s="8"/>
    </row>
    <row r="201">
      <c r="C201" s="8"/>
      <c r="I201" s="8"/>
      <c r="J201" s="8"/>
    </row>
    <row r="202">
      <c r="C202" s="8"/>
      <c r="I202" s="8"/>
      <c r="J202" s="8"/>
    </row>
    <row r="203">
      <c r="C203" s="8"/>
      <c r="I203" s="8"/>
      <c r="J203" s="8"/>
    </row>
    <row r="204">
      <c r="C204" s="8"/>
      <c r="I204" s="8"/>
      <c r="J204" s="8"/>
    </row>
    <row r="205">
      <c r="C205" s="8"/>
      <c r="I205" s="8"/>
      <c r="J205" s="8"/>
    </row>
    <row r="206">
      <c r="C206" s="8"/>
      <c r="I206" s="8"/>
      <c r="J206" s="8"/>
    </row>
    <row r="207">
      <c r="C207" s="8"/>
      <c r="I207" s="8"/>
      <c r="J207" s="8"/>
    </row>
    <row r="208">
      <c r="C208" s="8"/>
      <c r="I208" s="8"/>
      <c r="J208" s="8"/>
    </row>
    <row r="209">
      <c r="C209" s="8"/>
      <c r="I209" s="8"/>
      <c r="J209" s="8"/>
    </row>
    <row r="210">
      <c r="C210" s="8"/>
      <c r="I210" s="8"/>
      <c r="J210" s="8"/>
    </row>
    <row r="211">
      <c r="C211" s="8"/>
      <c r="I211" s="8"/>
      <c r="J211" s="8"/>
    </row>
    <row r="212">
      <c r="C212" s="8"/>
      <c r="I212" s="8"/>
      <c r="J212" s="8"/>
    </row>
    <row r="213">
      <c r="C213" s="8"/>
      <c r="I213" s="8"/>
      <c r="J213" s="8"/>
    </row>
    <row r="214">
      <c r="C214" s="8"/>
      <c r="I214" s="8"/>
      <c r="J214" s="8"/>
    </row>
    <row r="215">
      <c r="C215" s="8"/>
      <c r="I215" s="8"/>
      <c r="J215" s="8"/>
    </row>
    <row r="216">
      <c r="C216" s="8"/>
      <c r="I216" s="8"/>
      <c r="J216" s="8"/>
    </row>
    <row r="217">
      <c r="C217" s="8"/>
      <c r="I217" s="8"/>
      <c r="J217" s="8"/>
    </row>
    <row r="218">
      <c r="C218" s="8"/>
      <c r="I218" s="8"/>
      <c r="J218" s="8"/>
    </row>
    <row r="219">
      <c r="C219" s="8"/>
      <c r="I219" s="8"/>
      <c r="J219" s="8"/>
    </row>
    <row r="220">
      <c r="C220" s="8"/>
      <c r="I220" s="8"/>
      <c r="J220" s="8"/>
    </row>
    <row r="221">
      <c r="C221" s="8"/>
      <c r="I221" s="8"/>
      <c r="J221" s="8"/>
    </row>
    <row r="222">
      <c r="C222" s="8"/>
      <c r="I222" s="8"/>
      <c r="J222" s="8"/>
    </row>
    <row r="223">
      <c r="C223" s="8"/>
      <c r="I223" s="8"/>
      <c r="J223" s="8"/>
    </row>
    <row r="224">
      <c r="C224" s="8"/>
      <c r="I224" s="8"/>
      <c r="J224" s="8"/>
    </row>
    <row r="225">
      <c r="C225" s="8"/>
      <c r="I225" s="8"/>
      <c r="J225" s="8"/>
    </row>
    <row r="226">
      <c r="C226" s="8"/>
      <c r="I226" s="8"/>
      <c r="J226" s="8"/>
    </row>
    <row r="227">
      <c r="C227" s="8"/>
      <c r="I227" s="8"/>
      <c r="J227" s="8"/>
    </row>
    <row r="228">
      <c r="C228" s="8"/>
      <c r="I228" s="8"/>
      <c r="J228" s="8"/>
    </row>
    <row r="229">
      <c r="C229" s="8"/>
      <c r="I229" s="8"/>
      <c r="J229" s="8"/>
    </row>
    <row r="230">
      <c r="C230" s="8"/>
      <c r="I230" s="8"/>
      <c r="J230" s="8"/>
    </row>
    <row r="231">
      <c r="C231" s="8"/>
      <c r="I231" s="8"/>
      <c r="J231" s="8"/>
    </row>
    <row r="232">
      <c r="C232" s="8"/>
      <c r="I232" s="8"/>
      <c r="J232" s="8"/>
    </row>
    <row r="233">
      <c r="C233" s="8"/>
      <c r="I233" s="8"/>
      <c r="J233" s="8"/>
    </row>
    <row r="234">
      <c r="C234" s="8"/>
      <c r="I234" s="8"/>
      <c r="J234" s="8"/>
    </row>
    <row r="235">
      <c r="C235" s="8"/>
      <c r="I235" s="8"/>
      <c r="J235" s="8"/>
    </row>
    <row r="236">
      <c r="C236" s="8"/>
      <c r="I236" s="8"/>
      <c r="J236" s="8"/>
    </row>
    <row r="237">
      <c r="C237" s="8"/>
      <c r="I237" s="8"/>
      <c r="J237" s="8"/>
    </row>
    <row r="238">
      <c r="C238" s="8"/>
      <c r="I238" s="8"/>
      <c r="J238" s="8"/>
    </row>
    <row r="239">
      <c r="C239" s="8"/>
      <c r="I239" s="8"/>
      <c r="J239" s="8"/>
    </row>
    <row r="240">
      <c r="C240" s="8"/>
      <c r="I240" s="8"/>
      <c r="J240" s="8"/>
    </row>
    <row r="241">
      <c r="C241" s="8"/>
      <c r="I241" s="8"/>
      <c r="J241" s="8"/>
    </row>
    <row r="242">
      <c r="C242" s="8"/>
      <c r="I242" s="8"/>
      <c r="J242" s="8"/>
    </row>
    <row r="243">
      <c r="C243" s="8"/>
      <c r="I243" s="8"/>
      <c r="J243" s="8"/>
    </row>
    <row r="244">
      <c r="C244" s="8"/>
      <c r="I244" s="8"/>
      <c r="J244" s="8"/>
    </row>
    <row r="245">
      <c r="C245" s="8"/>
      <c r="I245" s="8"/>
      <c r="J245" s="8"/>
    </row>
    <row r="246">
      <c r="C246" s="8"/>
      <c r="I246" s="8"/>
      <c r="J246" s="8"/>
    </row>
    <row r="247">
      <c r="C247" s="8"/>
      <c r="I247" s="8"/>
      <c r="J247" s="8"/>
    </row>
    <row r="248">
      <c r="C248" s="8"/>
      <c r="I248" s="8"/>
      <c r="J248" s="8"/>
    </row>
    <row r="249">
      <c r="C249" s="8"/>
      <c r="I249" s="8"/>
      <c r="J249" s="8"/>
    </row>
    <row r="250">
      <c r="C250" s="8"/>
      <c r="I250" s="8"/>
      <c r="J250" s="8"/>
    </row>
    <row r="251">
      <c r="C251" s="8"/>
      <c r="I251" s="8"/>
      <c r="J251" s="8"/>
    </row>
    <row r="252">
      <c r="C252" s="8"/>
      <c r="I252" s="8"/>
      <c r="J252" s="8"/>
    </row>
    <row r="253">
      <c r="C253" s="8"/>
      <c r="I253" s="8"/>
      <c r="J253" s="8"/>
    </row>
    <row r="254">
      <c r="C254" s="8"/>
      <c r="I254" s="8"/>
      <c r="J254" s="8"/>
    </row>
    <row r="255">
      <c r="C255" s="8"/>
      <c r="I255" s="8"/>
      <c r="J255" s="8"/>
    </row>
    <row r="256">
      <c r="C256" s="8"/>
      <c r="I256" s="8"/>
      <c r="J256" s="8"/>
    </row>
    <row r="257">
      <c r="C257" s="8"/>
      <c r="I257" s="8"/>
      <c r="J257" s="8"/>
    </row>
    <row r="258">
      <c r="C258" s="8"/>
      <c r="I258" s="8"/>
      <c r="J258" s="8"/>
    </row>
    <row r="259">
      <c r="C259" s="8"/>
      <c r="I259" s="8"/>
      <c r="J259" s="8"/>
    </row>
    <row r="260">
      <c r="C260" s="8"/>
      <c r="I260" s="8"/>
      <c r="J260" s="8"/>
    </row>
    <row r="261">
      <c r="C261" s="8"/>
      <c r="I261" s="8"/>
      <c r="J261" s="8"/>
    </row>
    <row r="262">
      <c r="C262" s="8"/>
      <c r="I262" s="8"/>
      <c r="J262" s="8"/>
    </row>
    <row r="263">
      <c r="C263" s="8"/>
      <c r="I263" s="8"/>
      <c r="J263" s="8"/>
    </row>
    <row r="264">
      <c r="C264" s="8"/>
      <c r="I264" s="8"/>
      <c r="J264" s="8"/>
    </row>
    <row r="265">
      <c r="C265" s="8"/>
      <c r="I265" s="8"/>
      <c r="J265" s="8"/>
    </row>
    <row r="266">
      <c r="C266" s="8"/>
      <c r="I266" s="8"/>
      <c r="J266" s="8"/>
    </row>
    <row r="267">
      <c r="C267" s="8"/>
      <c r="I267" s="8"/>
      <c r="J267" s="8"/>
    </row>
    <row r="268">
      <c r="C268" s="8"/>
      <c r="I268" s="8"/>
      <c r="J268" s="8"/>
    </row>
    <row r="269">
      <c r="C269" s="8"/>
      <c r="I269" s="8"/>
      <c r="J269" s="8"/>
    </row>
    <row r="270">
      <c r="C270" s="8"/>
      <c r="I270" s="8"/>
      <c r="J270" s="8"/>
    </row>
    <row r="271">
      <c r="C271" s="8"/>
      <c r="I271" s="8"/>
      <c r="J271" s="8"/>
    </row>
    <row r="272">
      <c r="C272" s="8"/>
      <c r="I272" s="8"/>
      <c r="J272" s="8"/>
    </row>
    <row r="273">
      <c r="C273" s="8"/>
      <c r="I273" s="8"/>
      <c r="J273" s="8"/>
    </row>
    <row r="274">
      <c r="C274" s="8"/>
      <c r="I274" s="8"/>
      <c r="J274" s="8"/>
    </row>
    <row r="275">
      <c r="C275" s="8"/>
      <c r="I275" s="8"/>
      <c r="J275" s="8"/>
    </row>
    <row r="276">
      <c r="C276" s="8"/>
      <c r="I276" s="8"/>
      <c r="J276" s="8"/>
    </row>
    <row r="277">
      <c r="C277" s="8"/>
      <c r="I277" s="8"/>
      <c r="J277" s="8"/>
    </row>
    <row r="278">
      <c r="C278" s="8"/>
      <c r="I278" s="8"/>
      <c r="J278" s="8"/>
    </row>
    <row r="279">
      <c r="C279" s="8"/>
      <c r="I279" s="8"/>
      <c r="J279" s="8"/>
    </row>
    <row r="280">
      <c r="C280" s="8"/>
      <c r="I280" s="8"/>
      <c r="J280" s="8"/>
    </row>
    <row r="281">
      <c r="C281" s="8"/>
      <c r="I281" s="8"/>
      <c r="J281" s="8"/>
    </row>
    <row r="282">
      <c r="C282" s="8"/>
      <c r="I282" s="8"/>
      <c r="J282" s="8"/>
    </row>
    <row r="283">
      <c r="C283" s="8"/>
      <c r="I283" s="8"/>
      <c r="J283" s="8"/>
    </row>
    <row r="284">
      <c r="C284" s="8"/>
      <c r="I284" s="8"/>
      <c r="J284" s="8"/>
    </row>
    <row r="285">
      <c r="C285" s="8"/>
      <c r="I285" s="8"/>
      <c r="J285" s="8"/>
    </row>
    <row r="286">
      <c r="C286" s="8"/>
      <c r="I286" s="8"/>
      <c r="J286" s="8"/>
    </row>
    <row r="287">
      <c r="C287" s="8"/>
      <c r="I287" s="8"/>
      <c r="J287" s="8"/>
    </row>
    <row r="288">
      <c r="C288" s="8"/>
      <c r="I288" s="8"/>
      <c r="J288" s="8"/>
    </row>
    <row r="289">
      <c r="C289" s="8"/>
      <c r="I289" s="8"/>
      <c r="J289" s="8"/>
    </row>
    <row r="290">
      <c r="C290" s="8"/>
      <c r="I290" s="8"/>
      <c r="J290" s="8"/>
    </row>
    <row r="291">
      <c r="C291" s="8"/>
      <c r="I291" s="8"/>
      <c r="J291" s="8"/>
    </row>
    <row r="292">
      <c r="C292" s="8"/>
      <c r="I292" s="8"/>
      <c r="J292" s="8"/>
    </row>
    <row r="293">
      <c r="C293" s="8"/>
      <c r="I293" s="8"/>
      <c r="J293" s="8"/>
    </row>
    <row r="294">
      <c r="C294" s="8"/>
      <c r="I294" s="8"/>
      <c r="J294" s="8"/>
    </row>
    <row r="295">
      <c r="C295" s="8"/>
      <c r="I295" s="8"/>
      <c r="J295" s="8"/>
    </row>
    <row r="296">
      <c r="C296" s="8"/>
      <c r="I296" s="8"/>
      <c r="J296" s="8"/>
    </row>
    <row r="297">
      <c r="C297" s="8"/>
      <c r="I297" s="8"/>
      <c r="J297" s="8"/>
    </row>
    <row r="298">
      <c r="C298" s="8"/>
      <c r="I298" s="8"/>
      <c r="J298" s="8"/>
    </row>
    <row r="299">
      <c r="C299" s="8"/>
      <c r="I299" s="8"/>
      <c r="J299" s="8"/>
    </row>
    <row r="300">
      <c r="C300" s="8"/>
      <c r="I300" s="8"/>
      <c r="J300" s="8"/>
    </row>
    <row r="301">
      <c r="C301" s="8"/>
      <c r="I301" s="8"/>
      <c r="J301" s="8"/>
    </row>
    <row r="302">
      <c r="C302" s="8"/>
      <c r="I302" s="8"/>
      <c r="J302" s="8"/>
    </row>
    <row r="303">
      <c r="C303" s="8"/>
      <c r="I303" s="8"/>
      <c r="J303" s="8"/>
    </row>
    <row r="304">
      <c r="C304" s="8"/>
      <c r="I304" s="8"/>
      <c r="J304" s="8"/>
    </row>
    <row r="305">
      <c r="C305" s="8"/>
      <c r="I305" s="8"/>
      <c r="J305" s="8"/>
    </row>
    <row r="306">
      <c r="C306" s="8"/>
      <c r="I306" s="8"/>
      <c r="J306" s="8"/>
    </row>
    <row r="307">
      <c r="C307" s="8"/>
      <c r="I307" s="8"/>
      <c r="J307" s="8"/>
    </row>
    <row r="308">
      <c r="C308" s="8"/>
      <c r="I308" s="8"/>
      <c r="J308" s="8"/>
    </row>
    <row r="309">
      <c r="C309" s="8"/>
      <c r="I309" s="8"/>
      <c r="J309" s="8"/>
    </row>
    <row r="310">
      <c r="C310" s="8"/>
      <c r="I310" s="8"/>
      <c r="J310" s="8"/>
    </row>
    <row r="311">
      <c r="C311" s="8"/>
      <c r="I311" s="8"/>
      <c r="J311" s="8"/>
    </row>
    <row r="312">
      <c r="C312" s="8"/>
      <c r="I312" s="8"/>
      <c r="J312" s="8"/>
    </row>
    <row r="313">
      <c r="C313" s="8"/>
      <c r="I313" s="8"/>
      <c r="J313" s="8"/>
    </row>
    <row r="314">
      <c r="C314" s="8"/>
      <c r="I314" s="8"/>
      <c r="J314" s="8"/>
    </row>
    <row r="315">
      <c r="C315" s="8"/>
      <c r="I315" s="8"/>
      <c r="J315" s="8"/>
    </row>
    <row r="316">
      <c r="C316" s="8"/>
      <c r="I316" s="8"/>
      <c r="J316" s="8"/>
    </row>
    <row r="317">
      <c r="C317" s="8"/>
      <c r="I317" s="8"/>
      <c r="J317" s="8"/>
    </row>
    <row r="318">
      <c r="C318" s="8"/>
      <c r="I318" s="8"/>
      <c r="J318" s="8"/>
    </row>
    <row r="319">
      <c r="C319" s="8"/>
      <c r="I319" s="8"/>
      <c r="J319" s="8"/>
    </row>
    <row r="320">
      <c r="C320" s="8"/>
      <c r="I320" s="8"/>
      <c r="J320" s="8"/>
    </row>
    <row r="321">
      <c r="C321" s="8"/>
      <c r="I321" s="8"/>
      <c r="J321" s="8"/>
    </row>
    <row r="322">
      <c r="C322" s="8"/>
      <c r="I322" s="8"/>
      <c r="J322" s="8"/>
    </row>
    <row r="323">
      <c r="C323" s="8"/>
      <c r="I323" s="8"/>
      <c r="J323" s="8"/>
    </row>
    <row r="324">
      <c r="C324" s="8"/>
      <c r="I324" s="8"/>
      <c r="J324" s="8"/>
    </row>
    <row r="325">
      <c r="C325" s="8"/>
      <c r="I325" s="8"/>
      <c r="J325" s="8"/>
    </row>
    <row r="326">
      <c r="C326" s="8"/>
      <c r="I326" s="8"/>
      <c r="J326" s="8"/>
    </row>
    <row r="327">
      <c r="C327" s="8"/>
      <c r="I327" s="8"/>
      <c r="J327" s="8"/>
    </row>
    <row r="328">
      <c r="C328" s="8"/>
      <c r="I328" s="8"/>
      <c r="J328" s="8"/>
    </row>
    <row r="329">
      <c r="C329" s="8"/>
      <c r="I329" s="8"/>
      <c r="J329" s="8"/>
    </row>
    <row r="330">
      <c r="C330" s="8"/>
      <c r="I330" s="8"/>
      <c r="J330" s="8"/>
    </row>
    <row r="331">
      <c r="C331" s="8"/>
      <c r="I331" s="8"/>
      <c r="J331" s="8"/>
    </row>
    <row r="332">
      <c r="C332" s="8"/>
      <c r="I332" s="8"/>
      <c r="J332" s="8"/>
    </row>
    <row r="333">
      <c r="C333" s="8"/>
      <c r="I333" s="8"/>
      <c r="J333" s="8"/>
    </row>
    <row r="334">
      <c r="C334" s="8"/>
      <c r="I334" s="8"/>
      <c r="J334" s="8"/>
    </row>
    <row r="335">
      <c r="C335" s="8"/>
      <c r="I335" s="8"/>
      <c r="J335" s="8"/>
    </row>
    <row r="336">
      <c r="C336" s="8"/>
      <c r="I336" s="8"/>
      <c r="J336" s="8"/>
    </row>
    <row r="337">
      <c r="C337" s="8"/>
      <c r="I337" s="8"/>
      <c r="J337" s="8"/>
    </row>
    <row r="338">
      <c r="C338" s="8"/>
      <c r="I338" s="8"/>
      <c r="J338" s="8"/>
    </row>
    <row r="339">
      <c r="C339" s="8"/>
      <c r="I339" s="8"/>
      <c r="J339" s="8"/>
    </row>
    <row r="340">
      <c r="C340" s="8"/>
      <c r="I340" s="8"/>
      <c r="J340" s="8"/>
    </row>
    <row r="341">
      <c r="C341" s="8"/>
      <c r="I341" s="8"/>
      <c r="J341" s="8"/>
    </row>
    <row r="342">
      <c r="C342" s="8"/>
      <c r="I342" s="8"/>
      <c r="J342" s="8"/>
    </row>
    <row r="343">
      <c r="C343" s="8"/>
      <c r="I343" s="8"/>
      <c r="J343" s="8"/>
    </row>
    <row r="344">
      <c r="C344" s="8"/>
      <c r="I344" s="8"/>
      <c r="J344" s="8"/>
    </row>
    <row r="345">
      <c r="C345" s="8"/>
      <c r="I345" s="8"/>
      <c r="J345" s="8"/>
    </row>
    <row r="346">
      <c r="C346" s="8"/>
      <c r="I346" s="8"/>
      <c r="J346" s="8"/>
    </row>
    <row r="347">
      <c r="C347" s="8"/>
      <c r="I347" s="8"/>
      <c r="J347" s="8"/>
    </row>
    <row r="348">
      <c r="C348" s="8"/>
      <c r="I348" s="8"/>
      <c r="J348" s="8"/>
    </row>
    <row r="349">
      <c r="C349" s="8"/>
      <c r="I349" s="8"/>
      <c r="J349" s="8"/>
    </row>
    <row r="350">
      <c r="C350" s="8"/>
      <c r="I350" s="8"/>
      <c r="J350" s="8"/>
    </row>
    <row r="351">
      <c r="C351" s="8"/>
      <c r="I351" s="8"/>
      <c r="J351" s="8"/>
    </row>
    <row r="352">
      <c r="C352" s="8"/>
      <c r="I352" s="8"/>
      <c r="J352" s="8"/>
    </row>
    <row r="353">
      <c r="C353" s="8"/>
      <c r="I353" s="8"/>
      <c r="J353" s="8"/>
    </row>
    <row r="354">
      <c r="C354" s="8"/>
      <c r="I354" s="8"/>
      <c r="J354" s="8"/>
    </row>
    <row r="355">
      <c r="C355" s="8"/>
      <c r="I355" s="8"/>
      <c r="J355" s="8"/>
    </row>
    <row r="356">
      <c r="C356" s="8"/>
      <c r="I356" s="8"/>
      <c r="J356" s="8"/>
    </row>
    <row r="357">
      <c r="C357" s="8"/>
      <c r="I357" s="8"/>
      <c r="J357" s="8"/>
    </row>
    <row r="358">
      <c r="C358" s="8"/>
      <c r="I358" s="8"/>
      <c r="J358" s="8"/>
    </row>
    <row r="359">
      <c r="C359" s="8"/>
      <c r="I359" s="8"/>
      <c r="J359" s="8"/>
    </row>
    <row r="360">
      <c r="C360" s="8"/>
      <c r="I360" s="8"/>
      <c r="J360" s="8"/>
    </row>
    <row r="361">
      <c r="C361" s="8"/>
      <c r="I361" s="8"/>
      <c r="J361" s="8"/>
    </row>
    <row r="362">
      <c r="C362" s="8"/>
      <c r="I362" s="8"/>
      <c r="J362" s="8"/>
    </row>
    <row r="363">
      <c r="C363" s="8"/>
      <c r="I363" s="8"/>
      <c r="J363" s="8"/>
    </row>
    <row r="364">
      <c r="C364" s="8"/>
      <c r="I364" s="8"/>
      <c r="J364" s="8"/>
    </row>
    <row r="365">
      <c r="C365" s="8"/>
      <c r="I365" s="8"/>
      <c r="J365" s="8"/>
    </row>
    <row r="366">
      <c r="C366" s="8"/>
      <c r="I366" s="8"/>
      <c r="J366" s="8"/>
    </row>
    <row r="367">
      <c r="C367" s="8"/>
      <c r="I367" s="8"/>
      <c r="J367" s="8"/>
    </row>
    <row r="368">
      <c r="C368" s="8"/>
      <c r="I368" s="8"/>
      <c r="J368" s="8"/>
    </row>
    <row r="369">
      <c r="C369" s="8"/>
      <c r="I369" s="8"/>
      <c r="J369" s="8"/>
    </row>
    <row r="370">
      <c r="C370" s="8"/>
      <c r="I370" s="8"/>
      <c r="J370" s="8"/>
    </row>
    <row r="371">
      <c r="C371" s="8"/>
      <c r="I371" s="8"/>
      <c r="J371" s="8"/>
    </row>
    <row r="372">
      <c r="C372" s="8"/>
      <c r="I372" s="8"/>
      <c r="J372" s="8"/>
    </row>
    <row r="373">
      <c r="C373" s="8"/>
      <c r="I373" s="8"/>
      <c r="J373" s="8"/>
    </row>
    <row r="374">
      <c r="C374" s="8"/>
      <c r="I374" s="8"/>
      <c r="J374" s="8"/>
    </row>
    <row r="375">
      <c r="C375" s="8"/>
      <c r="I375" s="8"/>
      <c r="J375" s="8"/>
    </row>
    <row r="376">
      <c r="C376" s="8"/>
      <c r="I376" s="8"/>
      <c r="J376" s="8"/>
    </row>
    <row r="377">
      <c r="C377" s="8"/>
      <c r="I377" s="8"/>
      <c r="J377" s="8"/>
    </row>
    <row r="378">
      <c r="C378" s="8"/>
      <c r="I378" s="8"/>
      <c r="J378" s="8"/>
    </row>
    <row r="379">
      <c r="C379" s="8"/>
      <c r="I379" s="8"/>
      <c r="J379" s="8"/>
    </row>
    <row r="380">
      <c r="C380" s="8"/>
      <c r="I380" s="8"/>
      <c r="J380" s="8"/>
    </row>
    <row r="381">
      <c r="C381" s="8"/>
      <c r="I381" s="8"/>
      <c r="J381" s="8"/>
    </row>
    <row r="382">
      <c r="C382" s="8"/>
      <c r="I382" s="8"/>
      <c r="J382" s="8"/>
    </row>
    <row r="383">
      <c r="C383" s="8"/>
      <c r="I383" s="8"/>
      <c r="J383" s="8"/>
    </row>
    <row r="384">
      <c r="C384" s="8"/>
      <c r="I384" s="8"/>
      <c r="J384" s="8"/>
    </row>
    <row r="385">
      <c r="C385" s="8"/>
      <c r="I385" s="8"/>
      <c r="J385" s="8"/>
    </row>
    <row r="386">
      <c r="C386" s="8"/>
      <c r="I386" s="8"/>
      <c r="J386" s="8"/>
    </row>
    <row r="387">
      <c r="C387" s="8"/>
      <c r="I387" s="8"/>
      <c r="J387" s="8"/>
    </row>
    <row r="388">
      <c r="C388" s="8"/>
      <c r="I388" s="8"/>
      <c r="J388" s="8"/>
    </row>
    <row r="389">
      <c r="C389" s="8"/>
      <c r="I389" s="8"/>
      <c r="J389" s="8"/>
    </row>
    <row r="390">
      <c r="C390" s="8"/>
      <c r="I390" s="8"/>
      <c r="J390" s="8"/>
    </row>
    <row r="391">
      <c r="C391" s="8"/>
      <c r="I391" s="8"/>
      <c r="J391" s="8"/>
    </row>
    <row r="392">
      <c r="C392" s="8"/>
      <c r="I392" s="8"/>
      <c r="J392" s="8"/>
    </row>
    <row r="393">
      <c r="C393" s="8"/>
      <c r="I393" s="8"/>
      <c r="J393" s="8"/>
    </row>
    <row r="394">
      <c r="C394" s="8"/>
      <c r="I394" s="8"/>
      <c r="J394" s="8"/>
    </row>
    <row r="395">
      <c r="C395" s="8"/>
      <c r="I395" s="8"/>
      <c r="J395" s="8"/>
    </row>
    <row r="396">
      <c r="C396" s="8"/>
      <c r="I396" s="8"/>
      <c r="J396" s="8"/>
    </row>
    <row r="397">
      <c r="C397" s="8"/>
      <c r="I397" s="8"/>
      <c r="J397" s="8"/>
    </row>
    <row r="398">
      <c r="C398" s="8"/>
      <c r="I398" s="8"/>
      <c r="J398" s="8"/>
    </row>
    <row r="399">
      <c r="C399" s="8"/>
      <c r="I399" s="8"/>
      <c r="J399" s="8"/>
    </row>
    <row r="400">
      <c r="C400" s="8"/>
      <c r="I400" s="8"/>
      <c r="J400" s="8"/>
    </row>
    <row r="401">
      <c r="C401" s="8"/>
      <c r="I401" s="8"/>
      <c r="J401" s="8"/>
    </row>
    <row r="402">
      <c r="C402" s="8"/>
      <c r="I402" s="8"/>
      <c r="J402" s="8"/>
    </row>
    <row r="403">
      <c r="C403" s="8"/>
      <c r="I403" s="8"/>
      <c r="J403" s="8"/>
    </row>
    <row r="404">
      <c r="C404" s="8"/>
      <c r="I404" s="8"/>
      <c r="J404" s="8"/>
    </row>
    <row r="405">
      <c r="C405" s="8"/>
      <c r="I405" s="8"/>
      <c r="J405" s="8"/>
    </row>
    <row r="406">
      <c r="C406" s="8"/>
      <c r="I406" s="8"/>
      <c r="J406" s="8"/>
    </row>
    <row r="407">
      <c r="C407" s="8"/>
      <c r="I407" s="8"/>
      <c r="J407" s="8"/>
    </row>
    <row r="408">
      <c r="C408" s="8"/>
      <c r="I408" s="8"/>
      <c r="J408" s="8"/>
    </row>
    <row r="409">
      <c r="C409" s="8"/>
      <c r="I409" s="8"/>
      <c r="J409" s="8"/>
    </row>
    <row r="410">
      <c r="C410" s="8"/>
      <c r="I410" s="8"/>
      <c r="J410" s="8"/>
    </row>
    <row r="411">
      <c r="C411" s="8"/>
      <c r="I411" s="8"/>
      <c r="J411" s="8"/>
    </row>
    <row r="412">
      <c r="C412" s="8"/>
      <c r="I412" s="8"/>
      <c r="J412" s="8"/>
    </row>
    <row r="413">
      <c r="C413" s="8"/>
      <c r="I413" s="8"/>
      <c r="J413" s="8"/>
    </row>
    <row r="414">
      <c r="C414" s="8"/>
      <c r="I414" s="8"/>
      <c r="J414" s="8"/>
    </row>
    <row r="415">
      <c r="C415" s="8"/>
      <c r="I415" s="8"/>
      <c r="J415" s="8"/>
    </row>
    <row r="416">
      <c r="C416" s="8"/>
      <c r="I416" s="8"/>
      <c r="J416" s="8"/>
    </row>
    <row r="417">
      <c r="C417" s="8"/>
      <c r="I417" s="8"/>
      <c r="J417" s="8"/>
    </row>
    <row r="418">
      <c r="C418" s="8"/>
      <c r="I418" s="8"/>
      <c r="J418" s="8"/>
    </row>
    <row r="419">
      <c r="C419" s="8"/>
      <c r="I419" s="8"/>
      <c r="J419" s="8"/>
    </row>
    <row r="420">
      <c r="C420" s="8"/>
      <c r="I420" s="8"/>
      <c r="J420" s="8"/>
    </row>
    <row r="421">
      <c r="C421" s="8"/>
      <c r="I421" s="8"/>
      <c r="J421" s="8"/>
    </row>
    <row r="422">
      <c r="C422" s="8"/>
      <c r="I422" s="8"/>
      <c r="J422" s="8"/>
    </row>
    <row r="423">
      <c r="C423" s="8"/>
      <c r="I423" s="8"/>
      <c r="J423" s="8"/>
    </row>
    <row r="424">
      <c r="C424" s="8"/>
      <c r="I424" s="8"/>
      <c r="J424" s="8"/>
    </row>
    <row r="425">
      <c r="C425" s="8"/>
      <c r="I425" s="8"/>
      <c r="J425" s="8"/>
    </row>
    <row r="426">
      <c r="C426" s="8"/>
      <c r="I426" s="8"/>
      <c r="J426" s="8"/>
    </row>
    <row r="427">
      <c r="C427" s="8"/>
      <c r="I427" s="8"/>
      <c r="J427" s="8"/>
    </row>
    <row r="428">
      <c r="C428" s="8"/>
      <c r="I428" s="8"/>
      <c r="J428" s="8"/>
    </row>
    <row r="429">
      <c r="C429" s="8"/>
      <c r="I429" s="8"/>
      <c r="J429" s="8"/>
    </row>
    <row r="430">
      <c r="C430" s="8"/>
      <c r="I430" s="8"/>
      <c r="J430" s="8"/>
    </row>
    <row r="431">
      <c r="C431" s="8"/>
      <c r="I431" s="8"/>
      <c r="J431" s="8"/>
    </row>
    <row r="432">
      <c r="C432" s="8"/>
      <c r="I432" s="8"/>
      <c r="J432" s="8"/>
    </row>
    <row r="433">
      <c r="C433" s="8"/>
      <c r="I433" s="8"/>
      <c r="J433" s="8"/>
    </row>
    <row r="434">
      <c r="C434" s="8"/>
      <c r="I434" s="8"/>
      <c r="J434" s="8"/>
    </row>
    <row r="435">
      <c r="C435" s="8"/>
      <c r="I435" s="8"/>
      <c r="J435" s="8"/>
    </row>
    <row r="436">
      <c r="C436" s="8"/>
      <c r="I436" s="8"/>
      <c r="J436" s="8"/>
    </row>
    <row r="437">
      <c r="C437" s="8"/>
      <c r="I437" s="8"/>
      <c r="J437" s="8"/>
    </row>
    <row r="438">
      <c r="C438" s="8"/>
      <c r="I438" s="8"/>
      <c r="J438" s="8"/>
    </row>
    <row r="439">
      <c r="C439" s="8"/>
      <c r="I439" s="8"/>
      <c r="J439" s="8"/>
    </row>
    <row r="440">
      <c r="C440" s="8"/>
      <c r="I440" s="8"/>
      <c r="J440" s="8"/>
    </row>
    <row r="441">
      <c r="C441" s="8"/>
      <c r="I441" s="8"/>
      <c r="J441" s="8"/>
    </row>
    <row r="442">
      <c r="C442" s="8"/>
      <c r="I442" s="8"/>
      <c r="J442" s="8"/>
    </row>
    <row r="443">
      <c r="C443" s="8"/>
      <c r="I443" s="8"/>
      <c r="J443" s="8"/>
    </row>
    <row r="444">
      <c r="C444" s="8"/>
      <c r="I444" s="8"/>
      <c r="J444" s="8"/>
    </row>
    <row r="445">
      <c r="C445" s="8"/>
      <c r="I445" s="8"/>
      <c r="J445" s="8"/>
    </row>
    <row r="446">
      <c r="C446" s="8"/>
      <c r="I446" s="8"/>
      <c r="J446" s="8"/>
    </row>
    <row r="447">
      <c r="C447" s="8"/>
      <c r="I447" s="8"/>
      <c r="J447" s="8"/>
    </row>
    <row r="448">
      <c r="C448" s="8"/>
      <c r="I448" s="8"/>
      <c r="J448" s="8"/>
    </row>
    <row r="449">
      <c r="C449" s="8"/>
      <c r="I449" s="8"/>
      <c r="J449" s="8"/>
    </row>
    <row r="450">
      <c r="C450" s="8"/>
      <c r="I450" s="8"/>
      <c r="J450" s="8"/>
    </row>
    <row r="451">
      <c r="C451" s="8"/>
      <c r="I451" s="8"/>
      <c r="J451" s="8"/>
    </row>
    <row r="452">
      <c r="C452" s="8"/>
      <c r="I452" s="8"/>
      <c r="J452" s="8"/>
    </row>
    <row r="453">
      <c r="C453" s="8"/>
      <c r="I453" s="8"/>
      <c r="J453" s="8"/>
    </row>
    <row r="454">
      <c r="C454" s="8"/>
      <c r="I454" s="8"/>
      <c r="J454" s="8"/>
    </row>
    <row r="455">
      <c r="C455" s="8"/>
      <c r="I455" s="8"/>
      <c r="J455" s="8"/>
    </row>
    <row r="456">
      <c r="C456" s="8"/>
      <c r="I456" s="8"/>
      <c r="J456" s="8"/>
    </row>
    <row r="457">
      <c r="C457" s="8"/>
      <c r="I457" s="8"/>
      <c r="J457" s="8"/>
    </row>
    <row r="458">
      <c r="C458" s="8"/>
      <c r="I458" s="8"/>
      <c r="J458" s="8"/>
    </row>
    <row r="459">
      <c r="C459" s="8"/>
      <c r="I459" s="8"/>
      <c r="J459" s="8"/>
    </row>
    <row r="460">
      <c r="C460" s="8"/>
      <c r="I460" s="8"/>
      <c r="J460" s="8"/>
    </row>
    <row r="461">
      <c r="C461" s="8"/>
      <c r="I461" s="8"/>
      <c r="J461" s="8"/>
    </row>
    <row r="462">
      <c r="C462" s="8"/>
      <c r="I462" s="8"/>
      <c r="J462" s="8"/>
    </row>
    <row r="463">
      <c r="C463" s="8"/>
      <c r="I463" s="8"/>
      <c r="J463" s="8"/>
    </row>
    <row r="464">
      <c r="C464" s="8"/>
      <c r="I464" s="8"/>
      <c r="J464" s="8"/>
    </row>
    <row r="465">
      <c r="C465" s="8"/>
      <c r="I465" s="8"/>
      <c r="J465" s="8"/>
    </row>
    <row r="466">
      <c r="C466" s="8"/>
      <c r="I466" s="8"/>
      <c r="J466" s="8"/>
    </row>
    <row r="467">
      <c r="C467" s="8"/>
      <c r="I467" s="8"/>
      <c r="J467" s="8"/>
    </row>
    <row r="468">
      <c r="C468" s="8"/>
      <c r="I468" s="8"/>
      <c r="J468" s="8"/>
    </row>
    <row r="469">
      <c r="C469" s="8"/>
      <c r="I469" s="8"/>
      <c r="J469" s="8"/>
    </row>
    <row r="470">
      <c r="C470" s="8"/>
      <c r="I470" s="8"/>
      <c r="J470" s="8"/>
    </row>
    <row r="471">
      <c r="C471" s="8"/>
      <c r="I471" s="8"/>
      <c r="J471" s="8"/>
    </row>
    <row r="472">
      <c r="C472" s="8"/>
      <c r="I472" s="8"/>
      <c r="J472" s="8"/>
    </row>
    <row r="473">
      <c r="C473" s="8"/>
      <c r="I473" s="8"/>
      <c r="J473" s="8"/>
    </row>
    <row r="474">
      <c r="C474" s="8"/>
      <c r="I474" s="8"/>
      <c r="J474" s="8"/>
    </row>
    <row r="475">
      <c r="C475" s="8"/>
      <c r="I475" s="8"/>
      <c r="J475" s="8"/>
    </row>
    <row r="476">
      <c r="C476" s="8"/>
      <c r="I476" s="8"/>
      <c r="J476" s="8"/>
    </row>
    <row r="477">
      <c r="C477" s="8"/>
      <c r="I477" s="8"/>
      <c r="J477" s="8"/>
    </row>
    <row r="478">
      <c r="C478" s="8"/>
      <c r="I478" s="8"/>
      <c r="J478" s="8"/>
    </row>
    <row r="479">
      <c r="C479" s="8"/>
      <c r="I479" s="8"/>
      <c r="J479" s="8"/>
    </row>
    <row r="480">
      <c r="C480" s="8"/>
      <c r="I480" s="8"/>
      <c r="J480" s="8"/>
    </row>
    <row r="481">
      <c r="C481" s="8"/>
      <c r="I481" s="8"/>
      <c r="J481" s="8"/>
    </row>
    <row r="482">
      <c r="C482" s="8"/>
      <c r="I482" s="8"/>
      <c r="J482" s="8"/>
    </row>
    <row r="483">
      <c r="C483" s="8"/>
      <c r="I483" s="8"/>
      <c r="J483" s="8"/>
    </row>
    <row r="484">
      <c r="C484" s="8"/>
      <c r="I484" s="8"/>
      <c r="J484" s="8"/>
    </row>
    <row r="485">
      <c r="C485" s="8"/>
      <c r="I485" s="8"/>
      <c r="J485" s="8"/>
    </row>
    <row r="486">
      <c r="C486" s="8"/>
      <c r="I486" s="8"/>
      <c r="J486" s="8"/>
    </row>
    <row r="487">
      <c r="C487" s="8"/>
      <c r="I487" s="8"/>
      <c r="J487" s="8"/>
    </row>
    <row r="488">
      <c r="C488" s="8"/>
      <c r="I488" s="8"/>
      <c r="J488" s="8"/>
    </row>
    <row r="489">
      <c r="C489" s="8"/>
      <c r="I489" s="8"/>
      <c r="J489" s="8"/>
    </row>
    <row r="490">
      <c r="C490" s="8"/>
      <c r="I490" s="8"/>
      <c r="J490" s="8"/>
    </row>
    <row r="491">
      <c r="C491" s="8"/>
      <c r="I491" s="8"/>
      <c r="J491" s="8"/>
    </row>
    <row r="492">
      <c r="C492" s="8"/>
      <c r="I492" s="8"/>
      <c r="J492" s="8"/>
    </row>
    <row r="493">
      <c r="C493" s="8"/>
      <c r="I493" s="8"/>
      <c r="J493" s="8"/>
    </row>
    <row r="494">
      <c r="C494" s="8"/>
      <c r="I494" s="8"/>
      <c r="J494" s="8"/>
    </row>
    <row r="495">
      <c r="C495" s="8"/>
      <c r="I495" s="8"/>
      <c r="J495" s="8"/>
    </row>
    <row r="496">
      <c r="C496" s="8"/>
      <c r="I496" s="8"/>
      <c r="J496" s="8"/>
    </row>
    <row r="497">
      <c r="C497" s="8"/>
      <c r="I497" s="8"/>
      <c r="J497" s="8"/>
    </row>
    <row r="498">
      <c r="C498" s="8"/>
      <c r="I498" s="8"/>
      <c r="J498" s="8"/>
    </row>
    <row r="499">
      <c r="C499" s="8"/>
      <c r="I499" s="8"/>
      <c r="J499" s="8"/>
    </row>
    <row r="500">
      <c r="C500" s="8"/>
      <c r="I500" s="8"/>
      <c r="J500" s="8"/>
    </row>
    <row r="501">
      <c r="C501" s="8"/>
      <c r="I501" s="8"/>
      <c r="J501" s="8"/>
    </row>
    <row r="502">
      <c r="C502" s="8"/>
      <c r="I502" s="8"/>
      <c r="J502" s="8"/>
    </row>
    <row r="503">
      <c r="C503" s="8"/>
      <c r="I503" s="8"/>
      <c r="J503" s="8"/>
    </row>
    <row r="504">
      <c r="C504" s="8"/>
      <c r="I504" s="8"/>
      <c r="J504" s="8"/>
    </row>
    <row r="505">
      <c r="C505" s="8"/>
      <c r="I505" s="8"/>
      <c r="J505" s="8"/>
    </row>
    <row r="506">
      <c r="C506" s="8"/>
      <c r="I506" s="8"/>
      <c r="J506" s="8"/>
    </row>
    <row r="507">
      <c r="C507" s="8"/>
      <c r="I507" s="8"/>
      <c r="J507" s="8"/>
    </row>
    <row r="508">
      <c r="C508" s="8"/>
      <c r="I508" s="8"/>
      <c r="J508" s="8"/>
    </row>
    <row r="509">
      <c r="C509" s="8"/>
      <c r="I509" s="8"/>
      <c r="J509" s="8"/>
    </row>
    <row r="510">
      <c r="C510" s="8"/>
      <c r="I510" s="8"/>
      <c r="J510" s="8"/>
    </row>
    <row r="511">
      <c r="C511" s="8"/>
      <c r="I511" s="8"/>
      <c r="J511" s="8"/>
    </row>
    <row r="512">
      <c r="C512" s="8"/>
      <c r="I512" s="8"/>
      <c r="J512" s="8"/>
    </row>
    <row r="513">
      <c r="C513" s="8"/>
      <c r="I513" s="8"/>
      <c r="J513" s="8"/>
    </row>
    <row r="514">
      <c r="C514" s="8"/>
      <c r="I514" s="8"/>
      <c r="J514" s="8"/>
    </row>
    <row r="515">
      <c r="C515" s="8"/>
      <c r="I515" s="8"/>
      <c r="J515" s="8"/>
    </row>
    <row r="516">
      <c r="C516" s="8"/>
      <c r="I516" s="8"/>
      <c r="J516" s="8"/>
    </row>
    <row r="517">
      <c r="C517" s="8"/>
      <c r="I517" s="8"/>
      <c r="J517" s="8"/>
    </row>
    <row r="518">
      <c r="C518" s="8"/>
      <c r="I518" s="8"/>
      <c r="J518" s="8"/>
    </row>
    <row r="519">
      <c r="C519" s="8"/>
      <c r="I519" s="8"/>
      <c r="J519" s="8"/>
    </row>
    <row r="520">
      <c r="C520" s="8"/>
      <c r="I520" s="8"/>
      <c r="J520" s="8"/>
    </row>
    <row r="521">
      <c r="C521" s="8"/>
      <c r="I521" s="8"/>
      <c r="J521" s="8"/>
    </row>
    <row r="522">
      <c r="C522" s="8"/>
      <c r="I522" s="8"/>
      <c r="J522" s="8"/>
    </row>
    <row r="523">
      <c r="C523" s="8"/>
      <c r="I523" s="8"/>
      <c r="J523" s="8"/>
    </row>
    <row r="524">
      <c r="C524" s="8"/>
      <c r="I524" s="8"/>
      <c r="J524" s="8"/>
    </row>
    <row r="525">
      <c r="C525" s="8"/>
      <c r="I525" s="8"/>
      <c r="J525" s="8"/>
    </row>
    <row r="526">
      <c r="C526" s="8"/>
      <c r="I526" s="8"/>
      <c r="J526" s="8"/>
    </row>
    <row r="527">
      <c r="C527" s="8"/>
      <c r="I527" s="8"/>
      <c r="J527" s="8"/>
    </row>
    <row r="528">
      <c r="C528" s="8"/>
      <c r="I528" s="8"/>
      <c r="J528" s="8"/>
    </row>
    <row r="529">
      <c r="C529" s="8"/>
      <c r="I529" s="8"/>
      <c r="J529" s="8"/>
    </row>
    <row r="530">
      <c r="C530" s="8"/>
      <c r="I530" s="8"/>
      <c r="J530" s="8"/>
    </row>
    <row r="531">
      <c r="C531" s="8"/>
      <c r="I531" s="8"/>
      <c r="J531" s="8"/>
    </row>
    <row r="532">
      <c r="C532" s="8"/>
      <c r="I532" s="8"/>
      <c r="J532" s="8"/>
    </row>
    <row r="533">
      <c r="C533" s="8"/>
      <c r="I533" s="8"/>
      <c r="J533" s="8"/>
    </row>
    <row r="534">
      <c r="C534" s="8"/>
      <c r="I534" s="8"/>
      <c r="J534" s="8"/>
    </row>
    <row r="535">
      <c r="C535" s="8"/>
      <c r="I535" s="8"/>
      <c r="J535" s="8"/>
    </row>
    <row r="536">
      <c r="C536" s="8"/>
      <c r="I536" s="8"/>
      <c r="J536" s="8"/>
    </row>
    <row r="537">
      <c r="C537" s="8"/>
      <c r="I537" s="8"/>
      <c r="J537" s="8"/>
    </row>
    <row r="538">
      <c r="C538" s="8"/>
      <c r="I538" s="8"/>
      <c r="J538" s="8"/>
    </row>
    <row r="539">
      <c r="C539" s="8"/>
      <c r="I539" s="8"/>
      <c r="J539" s="8"/>
    </row>
    <row r="540">
      <c r="C540" s="8"/>
      <c r="I540" s="8"/>
      <c r="J540" s="8"/>
    </row>
    <row r="541">
      <c r="C541" s="8"/>
      <c r="I541" s="8"/>
      <c r="J541" s="8"/>
    </row>
    <row r="542">
      <c r="C542" s="8"/>
      <c r="I542" s="8"/>
      <c r="J542" s="8"/>
    </row>
    <row r="543">
      <c r="C543" s="8"/>
      <c r="I543" s="8"/>
      <c r="J543" s="8"/>
    </row>
    <row r="544">
      <c r="C544" s="8"/>
      <c r="I544" s="8"/>
      <c r="J544" s="8"/>
    </row>
    <row r="545">
      <c r="C545" s="8"/>
      <c r="I545" s="8"/>
      <c r="J545" s="8"/>
    </row>
    <row r="546">
      <c r="C546" s="8"/>
      <c r="I546" s="8"/>
      <c r="J546" s="8"/>
    </row>
    <row r="547">
      <c r="C547" s="8"/>
      <c r="I547" s="8"/>
      <c r="J547" s="8"/>
    </row>
    <row r="548">
      <c r="C548" s="8"/>
      <c r="I548" s="8"/>
      <c r="J548" s="8"/>
    </row>
    <row r="549">
      <c r="C549" s="8"/>
      <c r="I549" s="8"/>
      <c r="J549" s="8"/>
    </row>
    <row r="550">
      <c r="C550" s="8"/>
      <c r="I550" s="8"/>
      <c r="J550" s="8"/>
    </row>
    <row r="551">
      <c r="C551" s="8"/>
      <c r="I551" s="8"/>
      <c r="J551" s="8"/>
    </row>
    <row r="552">
      <c r="C552" s="8"/>
      <c r="I552" s="8"/>
      <c r="J552" s="8"/>
    </row>
    <row r="553">
      <c r="C553" s="8"/>
      <c r="I553" s="8"/>
      <c r="J553" s="8"/>
    </row>
    <row r="554">
      <c r="C554" s="8"/>
      <c r="I554" s="8"/>
      <c r="J554" s="8"/>
    </row>
    <row r="555">
      <c r="C555" s="8"/>
      <c r="I555" s="8"/>
      <c r="J555" s="8"/>
    </row>
    <row r="556">
      <c r="C556" s="8"/>
      <c r="I556" s="8"/>
      <c r="J556" s="8"/>
    </row>
    <row r="557">
      <c r="C557" s="8"/>
      <c r="I557" s="8"/>
      <c r="J557" s="8"/>
    </row>
    <row r="558">
      <c r="C558" s="8"/>
      <c r="I558" s="8"/>
      <c r="J558" s="8"/>
    </row>
    <row r="559">
      <c r="C559" s="8"/>
      <c r="I559" s="8"/>
      <c r="J559" s="8"/>
    </row>
    <row r="560">
      <c r="C560" s="8"/>
      <c r="I560" s="8"/>
      <c r="J560" s="8"/>
    </row>
    <row r="561">
      <c r="C561" s="8"/>
      <c r="I561" s="8"/>
      <c r="J561" s="8"/>
    </row>
    <row r="562">
      <c r="C562" s="8"/>
      <c r="I562" s="8"/>
      <c r="J562" s="8"/>
    </row>
    <row r="563">
      <c r="C563" s="8"/>
      <c r="I563" s="8"/>
      <c r="J563" s="8"/>
    </row>
    <row r="564">
      <c r="C564" s="8"/>
      <c r="I564" s="8"/>
      <c r="J564" s="8"/>
    </row>
    <row r="565">
      <c r="C565" s="8"/>
      <c r="I565" s="8"/>
      <c r="J565" s="8"/>
    </row>
    <row r="566">
      <c r="C566" s="8"/>
      <c r="I566" s="8"/>
      <c r="J566" s="8"/>
    </row>
    <row r="567">
      <c r="C567" s="8"/>
      <c r="I567" s="8"/>
      <c r="J567" s="8"/>
    </row>
    <row r="568">
      <c r="C568" s="8"/>
      <c r="I568" s="8"/>
      <c r="J568" s="8"/>
    </row>
    <row r="569">
      <c r="C569" s="8"/>
      <c r="I569" s="8"/>
      <c r="J569" s="8"/>
    </row>
    <row r="570">
      <c r="C570" s="8"/>
      <c r="I570" s="8"/>
      <c r="J570" s="8"/>
    </row>
    <row r="571">
      <c r="C571" s="8"/>
      <c r="I571" s="8"/>
      <c r="J571" s="8"/>
    </row>
    <row r="572">
      <c r="C572" s="8"/>
      <c r="I572" s="8"/>
      <c r="J572" s="8"/>
    </row>
    <row r="573">
      <c r="C573" s="8"/>
      <c r="I573" s="8"/>
      <c r="J573" s="8"/>
    </row>
    <row r="574">
      <c r="C574" s="8"/>
      <c r="I574" s="8"/>
      <c r="J574" s="8"/>
    </row>
    <row r="575">
      <c r="C575" s="8"/>
      <c r="I575" s="8"/>
      <c r="J575" s="8"/>
    </row>
    <row r="576">
      <c r="C576" s="8"/>
      <c r="I576" s="8"/>
      <c r="J576" s="8"/>
    </row>
    <row r="577">
      <c r="C577" s="8"/>
      <c r="I577" s="8"/>
      <c r="J577" s="8"/>
    </row>
    <row r="578">
      <c r="C578" s="8"/>
      <c r="I578" s="8"/>
      <c r="J578" s="8"/>
    </row>
    <row r="579">
      <c r="C579" s="8"/>
      <c r="I579" s="8"/>
      <c r="J579" s="8"/>
    </row>
    <row r="580">
      <c r="C580" s="8"/>
      <c r="I580" s="8"/>
      <c r="J580" s="8"/>
    </row>
    <row r="581">
      <c r="C581" s="8"/>
      <c r="I581" s="8"/>
      <c r="J581" s="8"/>
    </row>
    <row r="582">
      <c r="C582" s="8"/>
      <c r="I582" s="8"/>
      <c r="J582" s="8"/>
    </row>
    <row r="583">
      <c r="C583" s="8"/>
      <c r="I583" s="8"/>
      <c r="J583" s="8"/>
    </row>
    <row r="584">
      <c r="C584" s="8"/>
      <c r="I584" s="8"/>
      <c r="J584" s="8"/>
    </row>
    <row r="585">
      <c r="C585" s="8"/>
      <c r="I585" s="8"/>
      <c r="J585" s="8"/>
    </row>
    <row r="586">
      <c r="C586" s="8"/>
      <c r="I586" s="8"/>
      <c r="J586" s="8"/>
    </row>
    <row r="587">
      <c r="C587" s="8"/>
      <c r="I587" s="8"/>
      <c r="J587" s="8"/>
    </row>
    <row r="588">
      <c r="C588" s="8"/>
      <c r="I588" s="8"/>
      <c r="J588" s="8"/>
    </row>
    <row r="589">
      <c r="C589" s="8"/>
      <c r="I589" s="8"/>
      <c r="J589" s="8"/>
    </row>
    <row r="590">
      <c r="C590" s="8"/>
      <c r="I590" s="8"/>
      <c r="J590" s="8"/>
    </row>
    <row r="591">
      <c r="C591" s="8"/>
      <c r="I591" s="8"/>
      <c r="J591" s="8"/>
    </row>
    <row r="592">
      <c r="C592" s="8"/>
      <c r="I592" s="8"/>
      <c r="J592" s="8"/>
    </row>
    <row r="593">
      <c r="C593" s="8"/>
      <c r="I593" s="8"/>
      <c r="J593" s="8"/>
    </row>
    <row r="594">
      <c r="C594" s="8"/>
      <c r="I594" s="8"/>
      <c r="J594" s="8"/>
    </row>
    <row r="595">
      <c r="C595" s="8"/>
      <c r="I595" s="8"/>
      <c r="J595" s="8"/>
    </row>
    <row r="596">
      <c r="C596" s="8"/>
      <c r="I596" s="8"/>
      <c r="J596" s="8"/>
    </row>
    <row r="597">
      <c r="C597" s="8"/>
      <c r="I597" s="8"/>
      <c r="J597" s="8"/>
    </row>
    <row r="598">
      <c r="C598" s="8"/>
      <c r="I598" s="8"/>
      <c r="J598" s="8"/>
    </row>
    <row r="599">
      <c r="C599" s="8"/>
      <c r="I599" s="8"/>
      <c r="J599" s="8"/>
    </row>
    <row r="600">
      <c r="C600" s="8"/>
      <c r="I600" s="8"/>
      <c r="J600" s="8"/>
    </row>
    <row r="601">
      <c r="C601" s="8"/>
      <c r="I601" s="8"/>
      <c r="J601" s="8"/>
    </row>
    <row r="602">
      <c r="C602" s="8"/>
      <c r="I602" s="8"/>
      <c r="J602" s="8"/>
    </row>
    <row r="603">
      <c r="C603" s="8"/>
      <c r="I603" s="8"/>
      <c r="J603" s="8"/>
    </row>
    <row r="604">
      <c r="C604" s="8"/>
      <c r="I604" s="8"/>
      <c r="J604" s="8"/>
    </row>
    <row r="605">
      <c r="C605" s="8"/>
      <c r="I605" s="8"/>
      <c r="J605" s="8"/>
    </row>
    <row r="606">
      <c r="C606" s="8"/>
      <c r="I606" s="8"/>
      <c r="J606" s="8"/>
    </row>
    <row r="607">
      <c r="C607" s="8"/>
      <c r="I607" s="8"/>
      <c r="J607" s="8"/>
    </row>
    <row r="608">
      <c r="C608" s="8"/>
      <c r="I608" s="8"/>
      <c r="J608" s="8"/>
    </row>
    <row r="609">
      <c r="C609" s="8"/>
      <c r="I609" s="8"/>
      <c r="J609" s="8"/>
    </row>
    <row r="610">
      <c r="C610" s="8"/>
      <c r="I610" s="8"/>
      <c r="J610" s="8"/>
    </row>
    <row r="611">
      <c r="C611" s="8"/>
      <c r="I611" s="8"/>
      <c r="J611" s="8"/>
    </row>
    <row r="612">
      <c r="C612" s="8"/>
      <c r="I612" s="8"/>
      <c r="J612" s="8"/>
    </row>
    <row r="613">
      <c r="C613" s="8"/>
      <c r="I613" s="8"/>
      <c r="J613" s="8"/>
    </row>
    <row r="614">
      <c r="C614" s="8"/>
      <c r="I614" s="8"/>
      <c r="J614" s="8"/>
    </row>
    <row r="615">
      <c r="C615" s="8"/>
      <c r="I615" s="8"/>
      <c r="J615" s="8"/>
    </row>
    <row r="616">
      <c r="C616" s="8"/>
      <c r="I616" s="8"/>
      <c r="J616" s="8"/>
    </row>
    <row r="617">
      <c r="C617" s="8"/>
      <c r="I617" s="8"/>
      <c r="J617" s="8"/>
    </row>
    <row r="618">
      <c r="C618" s="8"/>
      <c r="I618" s="8"/>
      <c r="J618" s="8"/>
    </row>
    <row r="619">
      <c r="C619" s="8"/>
      <c r="I619" s="8"/>
      <c r="J619" s="8"/>
    </row>
    <row r="620">
      <c r="C620" s="8"/>
      <c r="I620" s="8"/>
      <c r="J620" s="8"/>
    </row>
    <row r="621">
      <c r="C621" s="8"/>
      <c r="I621" s="8"/>
      <c r="J621" s="8"/>
    </row>
    <row r="622">
      <c r="C622" s="8"/>
      <c r="I622" s="8"/>
      <c r="J622" s="8"/>
    </row>
    <row r="623">
      <c r="C623" s="8"/>
      <c r="I623" s="8"/>
      <c r="J623" s="8"/>
    </row>
    <row r="624">
      <c r="C624" s="8"/>
      <c r="I624" s="8"/>
      <c r="J624" s="8"/>
    </row>
    <row r="625">
      <c r="C625" s="8"/>
      <c r="I625" s="8"/>
      <c r="J625" s="8"/>
    </row>
    <row r="626">
      <c r="C626" s="8"/>
      <c r="I626" s="8"/>
      <c r="J626" s="8"/>
    </row>
    <row r="627">
      <c r="C627" s="8"/>
      <c r="I627" s="8"/>
      <c r="J627" s="8"/>
    </row>
    <row r="628">
      <c r="C628" s="8"/>
      <c r="I628" s="8"/>
      <c r="J628" s="8"/>
    </row>
    <row r="629">
      <c r="C629" s="8"/>
      <c r="I629" s="8"/>
      <c r="J629" s="8"/>
    </row>
    <row r="630">
      <c r="C630" s="8"/>
      <c r="I630" s="8"/>
      <c r="J630" s="8"/>
    </row>
    <row r="631">
      <c r="C631" s="8"/>
      <c r="I631" s="8"/>
      <c r="J631" s="8"/>
    </row>
    <row r="632">
      <c r="C632" s="8"/>
      <c r="I632" s="8"/>
      <c r="J632" s="8"/>
    </row>
    <row r="633">
      <c r="C633" s="8"/>
      <c r="I633" s="8"/>
      <c r="J633" s="8"/>
    </row>
    <row r="634">
      <c r="C634" s="8"/>
      <c r="I634" s="8"/>
      <c r="J634" s="8"/>
    </row>
    <row r="635">
      <c r="C635" s="8"/>
      <c r="I635" s="8"/>
      <c r="J635" s="8"/>
    </row>
    <row r="636">
      <c r="C636" s="8"/>
      <c r="I636" s="8"/>
      <c r="J636" s="8"/>
    </row>
    <row r="637">
      <c r="C637" s="8"/>
      <c r="I637" s="8"/>
      <c r="J637" s="8"/>
    </row>
    <row r="638">
      <c r="C638" s="8"/>
      <c r="I638" s="8"/>
      <c r="J638" s="8"/>
    </row>
    <row r="639">
      <c r="C639" s="8"/>
      <c r="I639" s="8"/>
      <c r="J639" s="8"/>
    </row>
    <row r="640">
      <c r="C640" s="8"/>
      <c r="I640" s="8"/>
      <c r="J640" s="8"/>
    </row>
    <row r="641">
      <c r="C641" s="8"/>
      <c r="I641" s="8"/>
      <c r="J641" s="8"/>
    </row>
    <row r="642">
      <c r="C642" s="8"/>
      <c r="I642" s="8"/>
      <c r="J642" s="8"/>
    </row>
    <row r="643">
      <c r="C643" s="8"/>
      <c r="I643" s="8"/>
      <c r="J643" s="8"/>
    </row>
    <row r="644">
      <c r="C644" s="8"/>
      <c r="I644" s="8"/>
      <c r="J644" s="8"/>
    </row>
    <row r="645">
      <c r="C645" s="8"/>
      <c r="I645" s="8"/>
      <c r="J645" s="8"/>
    </row>
    <row r="646">
      <c r="C646" s="8"/>
      <c r="I646" s="8"/>
      <c r="J646" s="8"/>
    </row>
    <row r="647">
      <c r="C647" s="8"/>
      <c r="I647" s="8"/>
      <c r="J647" s="8"/>
    </row>
    <row r="648">
      <c r="C648" s="8"/>
      <c r="I648" s="8"/>
      <c r="J648" s="8"/>
    </row>
    <row r="649">
      <c r="C649" s="8"/>
      <c r="I649" s="8"/>
      <c r="J649" s="8"/>
    </row>
    <row r="650">
      <c r="C650" s="8"/>
      <c r="I650" s="8"/>
      <c r="J650" s="8"/>
    </row>
    <row r="651">
      <c r="C651" s="8"/>
      <c r="I651" s="8"/>
      <c r="J651" s="8"/>
    </row>
    <row r="652">
      <c r="C652" s="8"/>
      <c r="I652" s="8"/>
      <c r="J652" s="8"/>
    </row>
    <row r="653">
      <c r="C653" s="8"/>
      <c r="I653" s="8"/>
      <c r="J653" s="8"/>
    </row>
    <row r="654">
      <c r="C654" s="8"/>
      <c r="I654" s="8"/>
      <c r="J654" s="8"/>
    </row>
    <row r="655">
      <c r="C655" s="8"/>
      <c r="I655" s="8"/>
      <c r="J655" s="8"/>
    </row>
    <row r="656">
      <c r="C656" s="8"/>
      <c r="I656" s="8"/>
      <c r="J656" s="8"/>
    </row>
    <row r="657">
      <c r="C657" s="8"/>
      <c r="I657" s="8"/>
      <c r="J657" s="8"/>
    </row>
    <row r="658">
      <c r="C658" s="8"/>
      <c r="I658" s="8"/>
      <c r="J658" s="8"/>
    </row>
    <row r="659">
      <c r="C659" s="8"/>
      <c r="I659" s="8"/>
      <c r="J659" s="8"/>
    </row>
    <row r="660">
      <c r="C660" s="8"/>
      <c r="I660" s="8"/>
      <c r="J660" s="8"/>
    </row>
    <row r="661">
      <c r="C661" s="8"/>
      <c r="I661" s="8"/>
      <c r="J661" s="8"/>
    </row>
    <row r="662">
      <c r="C662" s="8"/>
      <c r="I662" s="8"/>
      <c r="J662" s="8"/>
    </row>
    <row r="663">
      <c r="C663" s="8"/>
      <c r="I663" s="8"/>
      <c r="J663" s="8"/>
    </row>
    <row r="664">
      <c r="C664" s="8"/>
      <c r="I664" s="8"/>
      <c r="J664" s="8"/>
    </row>
    <row r="665">
      <c r="C665" s="8"/>
      <c r="I665" s="8"/>
      <c r="J665" s="8"/>
    </row>
    <row r="666">
      <c r="C666" s="8"/>
      <c r="I666" s="8"/>
      <c r="J666" s="8"/>
    </row>
    <row r="667">
      <c r="C667" s="8"/>
      <c r="I667" s="8"/>
      <c r="J667" s="8"/>
    </row>
    <row r="668">
      <c r="C668" s="8"/>
      <c r="I668" s="8"/>
      <c r="J668" s="8"/>
    </row>
    <row r="669">
      <c r="C669" s="8"/>
      <c r="I669" s="8"/>
      <c r="J669" s="8"/>
    </row>
    <row r="670">
      <c r="C670" s="8"/>
      <c r="I670" s="8"/>
      <c r="J670" s="8"/>
    </row>
    <row r="671">
      <c r="C671" s="8"/>
      <c r="I671" s="8"/>
      <c r="J671" s="8"/>
    </row>
    <row r="672">
      <c r="C672" s="8"/>
      <c r="I672" s="8"/>
      <c r="J672" s="8"/>
    </row>
    <row r="673">
      <c r="C673" s="8"/>
      <c r="I673" s="8"/>
      <c r="J673" s="8"/>
    </row>
    <row r="674">
      <c r="C674" s="8"/>
      <c r="I674" s="8"/>
      <c r="J674" s="8"/>
    </row>
    <row r="675">
      <c r="C675" s="8"/>
      <c r="I675" s="8"/>
      <c r="J675" s="8"/>
    </row>
    <row r="676">
      <c r="C676" s="8"/>
      <c r="I676" s="8"/>
      <c r="J676" s="8"/>
    </row>
    <row r="677">
      <c r="C677" s="8"/>
      <c r="I677" s="8"/>
      <c r="J677" s="8"/>
    </row>
    <row r="678">
      <c r="C678" s="8"/>
      <c r="I678" s="8"/>
      <c r="J678" s="8"/>
    </row>
    <row r="679">
      <c r="C679" s="8"/>
      <c r="I679" s="8"/>
      <c r="J679" s="8"/>
    </row>
    <row r="680">
      <c r="C680" s="8"/>
      <c r="I680" s="8"/>
      <c r="J680" s="8"/>
    </row>
    <row r="681">
      <c r="C681" s="8"/>
      <c r="I681" s="8"/>
      <c r="J681" s="8"/>
    </row>
    <row r="682">
      <c r="C682" s="8"/>
      <c r="I682" s="8"/>
      <c r="J682" s="8"/>
    </row>
    <row r="683">
      <c r="C683" s="8"/>
      <c r="I683" s="8"/>
      <c r="J683" s="8"/>
    </row>
    <row r="684">
      <c r="C684" s="8"/>
      <c r="I684" s="8"/>
      <c r="J684" s="8"/>
    </row>
    <row r="685">
      <c r="C685" s="8"/>
      <c r="I685" s="8"/>
      <c r="J685" s="8"/>
    </row>
    <row r="686">
      <c r="C686" s="8"/>
      <c r="I686" s="8"/>
      <c r="J686" s="8"/>
    </row>
    <row r="687">
      <c r="C687" s="8"/>
      <c r="I687" s="8"/>
      <c r="J687" s="8"/>
    </row>
    <row r="688">
      <c r="C688" s="8"/>
      <c r="I688" s="8"/>
      <c r="J688" s="8"/>
    </row>
    <row r="689">
      <c r="C689" s="8"/>
      <c r="I689" s="8"/>
      <c r="J689" s="8"/>
    </row>
    <row r="690">
      <c r="C690" s="8"/>
      <c r="I690" s="8"/>
      <c r="J690" s="8"/>
    </row>
    <row r="691">
      <c r="C691" s="8"/>
      <c r="I691" s="8"/>
      <c r="J691" s="8"/>
    </row>
    <row r="692">
      <c r="C692" s="8"/>
      <c r="I692" s="8"/>
      <c r="J692" s="8"/>
    </row>
    <row r="693">
      <c r="C693" s="8"/>
      <c r="I693" s="8"/>
      <c r="J693" s="8"/>
    </row>
    <row r="694">
      <c r="C694" s="8"/>
      <c r="I694" s="8"/>
      <c r="J694" s="8"/>
    </row>
    <row r="695">
      <c r="C695" s="8"/>
      <c r="I695" s="8"/>
      <c r="J695" s="8"/>
    </row>
    <row r="696">
      <c r="C696" s="8"/>
      <c r="I696" s="8"/>
      <c r="J696" s="8"/>
    </row>
    <row r="697">
      <c r="C697" s="8"/>
      <c r="I697" s="8"/>
      <c r="J697" s="8"/>
    </row>
    <row r="698">
      <c r="C698" s="8"/>
      <c r="I698" s="8"/>
      <c r="J698" s="8"/>
    </row>
    <row r="699">
      <c r="C699" s="8"/>
      <c r="I699" s="8"/>
      <c r="J699" s="8"/>
    </row>
    <row r="700">
      <c r="C700" s="8"/>
      <c r="I700" s="8"/>
      <c r="J700" s="8"/>
    </row>
    <row r="701">
      <c r="C701" s="8"/>
      <c r="I701" s="8"/>
      <c r="J701" s="8"/>
    </row>
    <row r="702">
      <c r="C702" s="8"/>
      <c r="I702" s="8"/>
      <c r="J702" s="8"/>
    </row>
    <row r="703">
      <c r="C703" s="8"/>
      <c r="I703" s="8"/>
      <c r="J703" s="8"/>
    </row>
    <row r="704">
      <c r="C704" s="8"/>
      <c r="I704" s="8"/>
      <c r="J704" s="8"/>
    </row>
    <row r="705">
      <c r="C705" s="8"/>
      <c r="I705" s="8"/>
      <c r="J705" s="8"/>
    </row>
    <row r="706">
      <c r="C706" s="8"/>
      <c r="I706" s="8"/>
      <c r="J706" s="8"/>
    </row>
    <row r="707">
      <c r="C707" s="8"/>
      <c r="I707" s="8"/>
      <c r="J707" s="8"/>
    </row>
    <row r="708">
      <c r="C708" s="8"/>
      <c r="I708" s="8"/>
      <c r="J708" s="8"/>
    </row>
    <row r="709">
      <c r="C709" s="8"/>
      <c r="I709" s="8"/>
      <c r="J709" s="8"/>
    </row>
    <row r="710">
      <c r="C710" s="8"/>
      <c r="I710" s="8"/>
      <c r="J710" s="8"/>
    </row>
    <row r="711">
      <c r="C711" s="8"/>
      <c r="I711" s="8"/>
      <c r="J711" s="8"/>
    </row>
    <row r="712">
      <c r="C712" s="8"/>
      <c r="I712" s="8"/>
      <c r="J712" s="8"/>
    </row>
    <row r="713">
      <c r="C713" s="8"/>
      <c r="I713" s="8"/>
      <c r="J713" s="8"/>
    </row>
    <row r="714">
      <c r="C714" s="8"/>
      <c r="I714" s="8"/>
      <c r="J714" s="8"/>
    </row>
    <row r="715">
      <c r="C715" s="8"/>
      <c r="I715" s="8"/>
      <c r="J715" s="8"/>
    </row>
    <row r="716">
      <c r="C716" s="8"/>
      <c r="I716" s="8"/>
      <c r="J716" s="8"/>
    </row>
    <row r="717">
      <c r="C717" s="8"/>
      <c r="I717" s="8"/>
      <c r="J717" s="8"/>
    </row>
    <row r="718">
      <c r="C718" s="8"/>
      <c r="I718" s="8"/>
      <c r="J718" s="8"/>
    </row>
    <row r="719">
      <c r="C719" s="8"/>
      <c r="I719" s="8"/>
      <c r="J719" s="8"/>
    </row>
    <row r="720">
      <c r="C720" s="8"/>
      <c r="I720" s="8"/>
      <c r="J720" s="8"/>
    </row>
    <row r="721">
      <c r="C721" s="8"/>
      <c r="I721" s="8"/>
      <c r="J721" s="8"/>
    </row>
    <row r="722">
      <c r="C722" s="8"/>
      <c r="I722" s="8"/>
      <c r="J722" s="8"/>
    </row>
    <row r="723">
      <c r="C723" s="8"/>
      <c r="I723" s="8"/>
      <c r="J723" s="8"/>
    </row>
    <row r="724">
      <c r="C724" s="8"/>
      <c r="I724" s="8"/>
      <c r="J724" s="8"/>
    </row>
    <row r="725">
      <c r="C725" s="8"/>
      <c r="I725" s="8"/>
      <c r="J725" s="8"/>
    </row>
    <row r="726">
      <c r="C726" s="8"/>
      <c r="I726" s="8"/>
      <c r="J726" s="8"/>
    </row>
    <row r="727">
      <c r="C727" s="8"/>
      <c r="I727" s="8"/>
      <c r="J727" s="8"/>
    </row>
    <row r="728">
      <c r="C728" s="8"/>
      <c r="I728" s="8"/>
      <c r="J728" s="8"/>
    </row>
    <row r="729">
      <c r="C729" s="8"/>
      <c r="I729" s="8"/>
      <c r="J729" s="8"/>
    </row>
    <row r="730">
      <c r="C730" s="8"/>
      <c r="I730" s="8"/>
      <c r="J730" s="8"/>
    </row>
    <row r="731">
      <c r="C731" s="8"/>
      <c r="I731" s="8"/>
      <c r="J731" s="8"/>
    </row>
    <row r="732">
      <c r="C732" s="8"/>
      <c r="I732" s="8"/>
      <c r="J732" s="8"/>
    </row>
    <row r="733">
      <c r="C733" s="8"/>
      <c r="I733" s="8"/>
      <c r="J733" s="8"/>
    </row>
    <row r="734">
      <c r="C734" s="8"/>
      <c r="I734" s="8"/>
      <c r="J734" s="8"/>
    </row>
    <row r="735">
      <c r="C735" s="8"/>
      <c r="I735" s="8"/>
      <c r="J735" s="8"/>
    </row>
    <row r="736">
      <c r="C736" s="8"/>
      <c r="I736" s="8"/>
      <c r="J736" s="8"/>
    </row>
    <row r="737">
      <c r="C737" s="8"/>
      <c r="I737" s="8"/>
      <c r="J737" s="8"/>
    </row>
    <row r="738">
      <c r="C738" s="8"/>
      <c r="I738" s="8"/>
      <c r="J738" s="8"/>
    </row>
    <row r="739">
      <c r="C739" s="8"/>
      <c r="I739" s="8"/>
      <c r="J739" s="8"/>
    </row>
    <row r="740">
      <c r="C740" s="8"/>
      <c r="I740" s="8"/>
      <c r="J740" s="8"/>
    </row>
    <row r="741">
      <c r="C741" s="8"/>
      <c r="I741" s="8"/>
      <c r="J741" s="8"/>
    </row>
    <row r="742">
      <c r="C742" s="8"/>
      <c r="I742" s="8"/>
      <c r="J742" s="8"/>
    </row>
    <row r="743">
      <c r="C743" s="8"/>
      <c r="I743" s="8"/>
      <c r="J743" s="8"/>
    </row>
    <row r="744">
      <c r="C744" s="8"/>
      <c r="I744" s="8"/>
      <c r="J744" s="8"/>
    </row>
    <row r="745">
      <c r="C745" s="8"/>
      <c r="I745" s="8"/>
      <c r="J745" s="8"/>
    </row>
    <row r="746">
      <c r="C746" s="8"/>
      <c r="I746" s="8"/>
      <c r="J746" s="8"/>
    </row>
    <row r="747">
      <c r="C747" s="8"/>
      <c r="I747" s="8"/>
      <c r="J747" s="8"/>
    </row>
    <row r="748">
      <c r="C748" s="8"/>
      <c r="I748" s="8"/>
      <c r="J748" s="8"/>
    </row>
    <row r="749">
      <c r="C749" s="8"/>
      <c r="I749" s="8"/>
      <c r="J749" s="8"/>
    </row>
    <row r="750">
      <c r="C750" s="8"/>
      <c r="I750" s="8"/>
      <c r="J750" s="8"/>
    </row>
    <row r="751">
      <c r="C751" s="8"/>
      <c r="I751" s="8"/>
      <c r="J751" s="8"/>
    </row>
    <row r="752">
      <c r="C752" s="8"/>
      <c r="I752" s="8"/>
      <c r="J752" s="8"/>
    </row>
    <row r="753">
      <c r="C753" s="8"/>
      <c r="I753" s="8"/>
      <c r="J753" s="8"/>
    </row>
    <row r="754">
      <c r="C754" s="8"/>
      <c r="I754" s="8"/>
      <c r="J754" s="8"/>
    </row>
    <row r="755">
      <c r="C755" s="8"/>
      <c r="I755" s="8"/>
      <c r="J755" s="8"/>
    </row>
    <row r="756">
      <c r="C756" s="8"/>
      <c r="I756" s="8"/>
      <c r="J756" s="8"/>
    </row>
    <row r="757">
      <c r="C757" s="8"/>
      <c r="I757" s="8"/>
      <c r="J757" s="8"/>
    </row>
    <row r="758">
      <c r="C758" s="8"/>
      <c r="I758" s="8"/>
      <c r="J758" s="8"/>
    </row>
    <row r="759">
      <c r="C759" s="8"/>
      <c r="I759" s="8"/>
      <c r="J759" s="8"/>
    </row>
    <row r="760">
      <c r="C760" s="8"/>
      <c r="I760" s="8"/>
      <c r="J760" s="8"/>
    </row>
    <row r="761">
      <c r="C761" s="8"/>
      <c r="I761" s="8"/>
      <c r="J761" s="8"/>
    </row>
    <row r="762">
      <c r="C762" s="8"/>
      <c r="I762" s="8"/>
      <c r="J762" s="8"/>
    </row>
    <row r="763">
      <c r="C763" s="8"/>
      <c r="I763" s="8"/>
      <c r="J763" s="8"/>
    </row>
    <row r="764">
      <c r="C764" s="8"/>
      <c r="I764" s="8"/>
      <c r="J764" s="8"/>
    </row>
    <row r="765">
      <c r="C765" s="8"/>
      <c r="I765" s="8"/>
      <c r="J765" s="8"/>
    </row>
    <row r="766">
      <c r="C766" s="8"/>
      <c r="I766" s="8"/>
      <c r="J766" s="8"/>
    </row>
    <row r="767">
      <c r="C767" s="8"/>
      <c r="I767" s="8"/>
      <c r="J767" s="8"/>
    </row>
    <row r="768">
      <c r="C768" s="8"/>
      <c r="I768" s="8"/>
      <c r="J768" s="8"/>
    </row>
    <row r="769">
      <c r="C769" s="8"/>
      <c r="I769" s="8"/>
      <c r="J769" s="8"/>
    </row>
    <row r="770">
      <c r="C770" s="8"/>
      <c r="I770" s="8"/>
      <c r="J770" s="8"/>
    </row>
    <row r="771">
      <c r="C771" s="8"/>
      <c r="I771" s="8"/>
      <c r="J771" s="8"/>
    </row>
    <row r="772">
      <c r="C772" s="8"/>
      <c r="I772" s="8"/>
      <c r="J772" s="8"/>
    </row>
    <row r="773">
      <c r="C773" s="8"/>
      <c r="I773" s="8"/>
      <c r="J773" s="8"/>
    </row>
    <row r="774">
      <c r="C774" s="8"/>
      <c r="I774" s="8"/>
      <c r="J774" s="8"/>
    </row>
    <row r="775">
      <c r="C775" s="8"/>
      <c r="I775" s="8"/>
      <c r="J775" s="8"/>
    </row>
    <row r="776">
      <c r="C776" s="8"/>
      <c r="I776" s="8"/>
      <c r="J776" s="8"/>
    </row>
    <row r="777">
      <c r="C777" s="8"/>
      <c r="I777" s="8"/>
      <c r="J777" s="8"/>
    </row>
    <row r="778">
      <c r="C778" s="8"/>
      <c r="I778" s="8"/>
      <c r="J778" s="8"/>
    </row>
    <row r="779">
      <c r="C779" s="8"/>
      <c r="I779" s="8"/>
      <c r="J779" s="8"/>
    </row>
    <row r="780">
      <c r="C780" s="8"/>
      <c r="I780" s="8"/>
      <c r="J780" s="8"/>
    </row>
    <row r="781">
      <c r="C781" s="8"/>
      <c r="I781" s="8"/>
      <c r="J781" s="8"/>
    </row>
    <row r="782">
      <c r="C782" s="8"/>
      <c r="I782" s="8"/>
      <c r="J782" s="8"/>
    </row>
    <row r="783">
      <c r="C783" s="8"/>
      <c r="I783" s="8"/>
      <c r="J783" s="8"/>
    </row>
    <row r="784">
      <c r="C784" s="8"/>
      <c r="I784" s="8"/>
      <c r="J784" s="8"/>
    </row>
    <row r="785">
      <c r="C785" s="8"/>
      <c r="I785" s="8"/>
      <c r="J785" s="8"/>
    </row>
    <row r="786">
      <c r="C786" s="8"/>
      <c r="I786" s="8"/>
      <c r="J786" s="8"/>
    </row>
    <row r="787">
      <c r="C787" s="8"/>
      <c r="I787" s="8"/>
      <c r="J787" s="8"/>
    </row>
    <row r="788">
      <c r="C788" s="8"/>
      <c r="I788" s="8"/>
      <c r="J788" s="8"/>
    </row>
    <row r="789">
      <c r="C789" s="8"/>
      <c r="I789" s="8"/>
      <c r="J789" s="8"/>
    </row>
    <row r="790">
      <c r="C790" s="8"/>
      <c r="I790" s="8"/>
      <c r="J790" s="8"/>
    </row>
    <row r="791">
      <c r="C791" s="8"/>
      <c r="I791" s="8"/>
      <c r="J791" s="8"/>
    </row>
    <row r="792">
      <c r="C792" s="8"/>
      <c r="I792" s="8"/>
      <c r="J792" s="8"/>
    </row>
    <row r="793">
      <c r="C793" s="8"/>
      <c r="I793" s="8"/>
      <c r="J793" s="8"/>
    </row>
    <row r="794">
      <c r="C794" s="8"/>
      <c r="I794" s="8"/>
      <c r="J794" s="8"/>
    </row>
    <row r="795">
      <c r="C795" s="8"/>
      <c r="I795" s="8"/>
      <c r="J795" s="8"/>
    </row>
    <row r="796">
      <c r="C796" s="8"/>
      <c r="I796" s="8"/>
      <c r="J796" s="8"/>
    </row>
    <row r="797">
      <c r="C797" s="8"/>
      <c r="I797" s="8"/>
      <c r="J797" s="8"/>
    </row>
    <row r="798">
      <c r="C798" s="8"/>
      <c r="I798" s="8"/>
      <c r="J798" s="8"/>
    </row>
    <row r="799">
      <c r="C799" s="8"/>
      <c r="I799" s="8"/>
      <c r="J799" s="8"/>
    </row>
    <row r="800">
      <c r="C800" s="8"/>
      <c r="I800" s="8"/>
      <c r="J800" s="8"/>
    </row>
    <row r="801">
      <c r="C801" s="8"/>
      <c r="I801" s="8"/>
      <c r="J801" s="8"/>
    </row>
    <row r="802">
      <c r="C802" s="8"/>
      <c r="I802" s="8"/>
      <c r="J802" s="8"/>
    </row>
    <row r="803">
      <c r="C803" s="8"/>
      <c r="I803" s="8"/>
      <c r="J803" s="8"/>
    </row>
    <row r="804">
      <c r="C804" s="8"/>
      <c r="I804" s="8"/>
      <c r="J804" s="8"/>
    </row>
    <row r="805">
      <c r="C805" s="8"/>
      <c r="I805" s="8"/>
      <c r="J805" s="8"/>
    </row>
    <row r="806">
      <c r="C806" s="8"/>
      <c r="I806" s="8"/>
      <c r="J806" s="8"/>
    </row>
    <row r="807">
      <c r="C807" s="8"/>
      <c r="I807" s="8"/>
      <c r="J807" s="8"/>
    </row>
    <row r="808">
      <c r="C808" s="8"/>
      <c r="I808" s="8"/>
      <c r="J808" s="8"/>
    </row>
    <row r="809">
      <c r="C809" s="8"/>
      <c r="I809" s="8"/>
      <c r="J809" s="8"/>
    </row>
    <row r="810">
      <c r="C810" s="8"/>
      <c r="I810" s="8"/>
      <c r="J810" s="8"/>
    </row>
    <row r="811">
      <c r="C811" s="8"/>
      <c r="I811" s="8"/>
      <c r="J811" s="8"/>
    </row>
    <row r="812">
      <c r="C812" s="8"/>
      <c r="I812" s="8"/>
      <c r="J812" s="8"/>
    </row>
    <row r="813">
      <c r="C813" s="8"/>
      <c r="I813" s="8"/>
      <c r="J813" s="8"/>
    </row>
    <row r="814">
      <c r="C814" s="8"/>
      <c r="I814" s="8"/>
      <c r="J814" s="8"/>
    </row>
    <row r="815">
      <c r="C815" s="8"/>
      <c r="I815" s="8"/>
      <c r="J815" s="8"/>
    </row>
    <row r="816">
      <c r="C816" s="8"/>
      <c r="I816" s="8"/>
      <c r="J816" s="8"/>
    </row>
    <row r="817">
      <c r="C817" s="8"/>
      <c r="I817" s="8"/>
      <c r="J817" s="8"/>
    </row>
    <row r="818">
      <c r="C818" s="8"/>
      <c r="I818" s="8"/>
      <c r="J818" s="8"/>
    </row>
    <row r="819">
      <c r="C819" s="8"/>
      <c r="I819" s="8"/>
      <c r="J819" s="8"/>
    </row>
    <row r="820">
      <c r="C820" s="8"/>
      <c r="I820" s="8"/>
      <c r="J820" s="8"/>
    </row>
    <row r="821">
      <c r="C821" s="8"/>
      <c r="I821" s="8"/>
      <c r="J821" s="8"/>
    </row>
    <row r="822">
      <c r="C822" s="8"/>
      <c r="I822" s="8"/>
      <c r="J822" s="8"/>
    </row>
    <row r="823">
      <c r="C823" s="8"/>
      <c r="I823" s="8"/>
      <c r="J823" s="8"/>
    </row>
    <row r="824">
      <c r="C824" s="8"/>
      <c r="I824" s="8"/>
      <c r="J824" s="8"/>
    </row>
    <row r="825">
      <c r="C825" s="8"/>
      <c r="I825" s="8"/>
      <c r="J825" s="8"/>
    </row>
    <row r="826">
      <c r="C826" s="8"/>
      <c r="I826" s="8"/>
      <c r="J826" s="8"/>
    </row>
    <row r="827">
      <c r="C827" s="8"/>
      <c r="I827" s="8"/>
      <c r="J827" s="8"/>
    </row>
    <row r="828">
      <c r="C828" s="8"/>
      <c r="I828" s="8"/>
      <c r="J828" s="8"/>
    </row>
    <row r="829">
      <c r="C829" s="8"/>
      <c r="I829" s="8"/>
      <c r="J829" s="8"/>
    </row>
    <row r="830">
      <c r="C830" s="8"/>
      <c r="I830" s="8"/>
      <c r="J830" s="8"/>
    </row>
    <row r="831">
      <c r="C831" s="8"/>
      <c r="I831" s="8"/>
      <c r="J831" s="8"/>
    </row>
    <row r="832">
      <c r="C832" s="8"/>
      <c r="I832" s="8"/>
      <c r="J832" s="8"/>
    </row>
    <row r="833">
      <c r="C833" s="8"/>
      <c r="I833" s="8"/>
      <c r="J833" s="8"/>
    </row>
    <row r="834">
      <c r="C834" s="8"/>
      <c r="I834" s="8"/>
      <c r="J834" s="8"/>
    </row>
    <row r="835">
      <c r="C835" s="8"/>
      <c r="I835" s="8"/>
      <c r="J835" s="8"/>
    </row>
    <row r="836">
      <c r="C836" s="8"/>
      <c r="I836" s="8"/>
      <c r="J836" s="8"/>
    </row>
    <row r="837">
      <c r="C837" s="8"/>
      <c r="I837" s="8"/>
      <c r="J837" s="8"/>
    </row>
    <row r="838">
      <c r="C838" s="8"/>
      <c r="I838" s="8"/>
      <c r="J838" s="8"/>
    </row>
    <row r="839">
      <c r="C839" s="8"/>
      <c r="I839" s="8"/>
      <c r="J839" s="8"/>
    </row>
    <row r="840">
      <c r="C840" s="8"/>
      <c r="I840" s="8"/>
      <c r="J840" s="8"/>
    </row>
    <row r="841">
      <c r="C841" s="8"/>
      <c r="I841" s="8"/>
      <c r="J841" s="8"/>
    </row>
    <row r="842">
      <c r="C842" s="8"/>
      <c r="I842" s="8"/>
      <c r="J842" s="8"/>
    </row>
    <row r="843">
      <c r="C843" s="8"/>
      <c r="I843" s="8"/>
      <c r="J843" s="8"/>
    </row>
    <row r="844">
      <c r="C844" s="8"/>
      <c r="I844" s="8"/>
      <c r="J844" s="8"/>
    </row>
    <row r="845">
      <c r="C845" s="8"/>
      <c r="I845" s="8"/>
      <c r="J845" s="8"/>
    </row>
    <row r="846">
      <c r="C846" s="8"/>
      <c r="I846" s="8"/>
      <c r="J846" s="8"/>
    </row>
    <row r="847">
      <c r="C847" s="8"/>
      <c r="I847" s="8"/>
      <c r="J847" s="8"/>
    </row>
    <row r="848">
      <c r="C848" s="8"/>
      <c r="I848" s="8"/>
      <c r="J848" s="8"/>
    </row>
    <row r="849">
      <c r="C849" s="8"/>
      <c r="I849" s="8"/>
      <c r="J849" s="8"/>
    </row>
    <row r="850">
      <c r="C850" s="8"/>
      <c r="I850" s="8"/>
      <c r="J850" s="8"/>
    </row>
    <row r="851">
      <c r="C851" s="8"/>
      <c r="I851" s="8"/>
      <c r="J851" s="8"/>
    </row>
    <row r="852">
      <c r="C852" s="8"/>
      <c r="I852" s="8"/>
      <c r="J852" s="8"/>
    </row>
    <row r="853">
      <c r="C853" s="8"/>
      <c r="I853" s="8"/>
      <c r="J853" s="8"/>
    </row>
    <row r="854">
      <c r="C854" s="8"/>
      <c r="I854" s="8"/>
      <c r="J854" s="8"/>
    </row>
    <row r="855">
      <c r="C855" s="8"/>
      <c r="I855" s="8"/>
      <c r="J855" s="8"/>
    </row>
    <row r="856">
      <c r="C856" s="8"/>
      <c r="I856" s="8"/>
      <c r="J856" s="8"/>
    </row>
    <row r="857">
      <c r="C857" s="8"/>
      <c r="I857" s="8"/>
      <c r="J857" s="8"/>
    </row>
    <row r="858">
      <c r="C858" s="8"/>
      <c r="I858" s="8"/>
      <c r="J858" s="8"/>
    </row>
    <row r="859">
      <c r="C859" s="8"/>
      <c r="I859" s="8"/>
      <c r="J859" s="8"/>
    </row>
    <row r="860">
      <c r="C860" s="8"/>
      <c r="I860" s="8"/>
      <c r="J860" s="8"/>
    </row>
    <row r="861">
      <c r="C861" s="8"/>
      <c r="I861" s="8"/>
      <c r="J861" s="8"/>
    </row>
    <row r="862">
      <c r="C862" s="8"/>
      <c r="I862" s="8"/>
      <c r="J862" s="8"/>
    </row>
    <row r="863">
      <c r="C863" s="8"/>
      <c r="I863" s="8"/>
      <c r="J863" s="8"/>
    </row>
    <row r="864">
      <c r="C864" s="8"/>
      <c r="I864" s="8"/>
      <c r="J864" s="8"/>
    </row>
    <row r="865">
      <c r="C865" s="8"/>
      <c r="I865" s="8"/>
      <c r="J865" s="8"/>
    </row>
    <row r="866">
      <c r="C866" s="8"/>
      <c r="I866" s="8"/>
      <c r="J866" s="8"/>
    </row>
    <row r="867">
      <c r="C867" s="8"/>
      <c r="I867" s="8"/>
      <c r="J867" s="8"/>
    </row>
    <row r="868">
      <c r="C868" s="8"/>
      <c r="I868" s="8"/>
      <c r="J868" s="8"/>
    </row>
    <row r="869">
      <c r="C869" s="8"/>
      <c r="I869" s="8"/>
      <c r="J869" s="8"/>
    </row>
    <row r="870">
      <c r="C870" s="8"/>
      <c r="I870" s="8"/>
      <c r="J870" s="8"/>
    </row>
    <row r="871">
      <c r="C871" s="8"/>
      <c r="I871" s="8"/>
      <c r="J871" s="8"/>
    </row>
    <row r="872">
      <c r="C872" s="8"/>
      <c r="I872" s="8"/>
      <c r="J872" s="8"/>
    </row>
    <row r="873">
      <c r="C873" s="8"/>
      <c r="I873" s="8"/>
      <c r="J873" s="8"/>
    </row>
    <row r="874">
      <c r="C874" s="8"/>
      <c r="I874" s="8"/>
      <c r="J874" s="8"/>
    </row>
    <row r="875">
      <c r="C875" s="8"/>
      <c r="I875" s="8"/>
      <c r="J875" s="8"/>
    </row>
    <row r="876">
      <c r="C876" s="8"/>
      <c r="I876" s="8"/>
      <c r="J876" s="8"/>
    </row>
    <row r="877">
      <c r="C877" s="8"/>
      <c r="I877" s="8"/>
      <c r="J877" s="8"/>
    </row>
    <row r="878">
      <c r="C878" s="8"/>
      <c r="I878" s="8"/>
      <c r="J878" s="8"/>
    </row>
    <row r="879">
      <c r="C879" s="8"/>
      <c r="I879" s="8"/>
      <c r="J879" s="8"/>
    </row>
    <row r="880">
      <c r="C880" s="8"/>
      <c r="I880" s="8"/>
      <c r="J880" s="8"/>
    </row>
    <row r="881">
      <c r="C881" s="8"/>
      <c r="I881" s="8"/>
      <c r="J881" s="8"/>
    </row>
    <row r="882">
      <c r="C882" s="8"/>
      <c r="I882" s="8"/>
      <c r="J882" s="8"/>
    </row>
    <row r="883">
      <c r="C883" s="8"/>
      <c r="I883" s="8"/>
      <c r="J883" s="8"/>
    </row>
    <row r="884">
      <c r="C884" s="8"/>
      <c r="I884" s="8"/>
      <c r="J884" s="8"/>
    </row>
    <row r="885">
      <c r="C885" s="8"/>
      <c r="I885" s="8"/>
      <c r="J885" s="8"/>
    </row>
    <row r="886">
      <c r="C886" s="8"/>
      <c r="I886" s="8"/>
      <c r="J886" s="8"/>
    </row>
    <row r="887">
      <c r="C887" s="8"/>
      <c r="I887" s="8"/>
      <c r="J887" s="8"/>
    </row>
    <row r="888">
      <c r="C888" s="8"/>
      <c r="I888" s="8"/>
      <c r="J888" s="8"/>
    </row>
    <row r="889">
      <c r="C889" s="8"/>
      <c r="I889" s="8"/>
      <c r="J889" s="8"/>
    </row>
    <row r="890">
      <c r="C890" s="8"/>
      <c r="I890" s="8"/>
      <c r="J890" s="8"/>
    </row>
    <row r="891">
      <c r="C891" s="8"/>
      <c r="I891" s="8"/>
      <c r="J891" s="8"/>
    </row>
    <row r="892">
      <c r="C892" s="8"/>
      <c r="I892" s="8"/>
      <c r="J892" s="8"/>
    </row>
    <row r="893">
      <c r="C893" s="8"/>
      <c r="I893" s="8"/>
      <c r="J893" s="8"/>
    </row>
    <row r="894">
      <c r="C894" s="8"/>
      <c r="I894" s="8"/>
      <c r="J894" s="8"/>
    </row>
    <row r="895">
      <c r="C895" s="8"/>
      <c r="I895" s="8"/>
      <c r="J895" s="8"/>
    </row>
    <row r="896">
      <c r="C896" s="8"/>
      <c r="I896" s="8"/>
      <c r="J896" s="8"/>
    </row>
    <row r="897">
      <c r="C897" s="8"/>
      <c r="I897" s="8"/>
      <c r="J897" s="8"/>
    </row>
    <row r="898">
      <c r="C898" s="8"/>
      <c r="I898" s="8"/>
      <c r="J898" s="8"/>
    </row>
    <row r="899">
      <c r="C899" s="8"/>
      <c r="I899" s="8"/>
      <c r="J899" s="8"/>
    </row>
    <row r="900">
      <c r="C900" s="8"/>
      <c r="I900" s="8"/>
      <c r="J900" s="8"/>
    </row>
    <row r="901">
      <c r="C901" s="8"/>
      <c r="I901" s="8"/>
      <c r="J901" s="8"/>
    </row>
    <row r="902">
      <c r="C902" s="8"/>
      <c r="I902" s="8"/>
      <c r="J902" s="8"/>
    </row>
    <row r="903">
      <c r="C903" s="8"/>
      <c r="I903" s="8"/>
      <c r="J903" s="8"/>
    </row>
    <row r="904">
      <c r="C904" s="8"/>
      <c r="I904" s="8"/>
      <c r="J904" s="8"/>
    </row>
    <row r="905">
      <c r="C905" s="8"/>
      <c r="I905" s="8"/>
      <c r="J905" s="8"/>
    </row>
    <row r="906">
      <c r="C906" s="8"/>
      <c r="I906" s="8"/>
      <c r="J906" s="8"/>
    </row>
    <row r="907">
      <c r="C907" s="8"/>
      <c r="I907" s="8"/>
      <c r="J907" s="8"/>
    </row>
    <row r="908">
      <c r="C908" s="8"/>
      <c r="I908" s="8"/>
      <c r="J908" s="8"/>
    </row>
    <row r="909">
      <c r="C909" s="8"/>
      <c r="I909" s="8"/>
      <c r="J909" s="8"/>
    </row>
    <row r="910">
      <c r="C910" s="8"/>
      <c r="I910" s="8"/>
      <c r="J910" s="8"/>
    </row>
    <row r="911">
      <c r="C911" s="8"/>
      <c r="I911" s="8"/>
      <c r="J911" s="8"/>
    </row>
    <row r="912">
      <c r="C912" s="8"/>
      <c r="I912" s="8"/>
      <c r="J912" s="8"/>
    </row>
    <row r="913">
      <c r="C913" s="8"/>
      <c r="I913" s="8"/>
      <c r="J913" s="8"/>
    </row>
    <row r="914">
      <c r="C914" s="8"/>
      <c r="I914" s="8"/>
      <c r="J914" s="8"/>
    </row>
    <row r="915">
      <c r="C915" s="8"/>
      <c r="I915" s="8"/>
      <c r="J915" s="8"/>
    </row>
    <row r="916">
      <c r="C916" s="8"/>
      <c r="I916" s="8"/>
      <c r="J916" s="8"/>
    </row>
    <row r="917">
      <c r="C917" s="8"/>
      <c r="I917" s="8"/>
      <c r="J917" s="8"/>
    </row>
    <row r="918">
      <c r="C918" s="8"/>
      <c r="I918" s="8"/>
      <c r="J918" s="8"/>
    </row>
    <row r="919">
      <c r="C919" s="8"/>
      <c r="I919" s="8"/>
      <c r="J919" s="8"/>
    </row>
    <row r="920">
      <c r="C920" s="8"/>
      <c r="I920" s="8"/>
      <c r="J920" s="8"/>
    </row>
    <row r="921">
      <c r="C921" s="8"/>
      <c r="I921" s="8"/>
      <c r="J921" s="8"/>
    </row>
    <row r="922">
      <c r="C922" s="8"/>
      <c r="I922" s="8"/>
      <c r="J922" s="8"/>
    </row>
    <row r="923">
      <c r="C923" s="8"/>
      <c r="I923" s="8"/>
      <c r="J923" s="8"/>
    </row>
    <row r="924">
      <c r="C924" s="8"/>
      <c r="I924" s="8"/>
      <c r="J924" s="8"/>
    </row>
    <row r="925">
      <c r="C925" s="8"/>
      <c r="I925" s="8"/>
      <c r="J925" s="8"/>
    </row>
    <row r="926">
      <c r="C926" s="8"/>
      <c r="I926" s="8"/>
      <c r="J926" s="8"/>
    </row>
    <row r="927">
      <c r="C927" s="8"/>
      <c r="I927" s="8"/>
      <c r="J927" s="8"/>
    </row>
    <row r="928">
      <c r="C928" s="8"/>
      <c r="I928" s="8"/>
      <c r="J928" s="8"/>
    </row>
    <row r="929">
      <c r="C929" s="8"/>
      <c r="I929" s="8"/>
      <c r="J929" s="8"/>
    </row>
    <row r="930">
      <c r="C930" s="8"/>
      <c r="I930" s="8"/>
      <c r="J930" s="8"/>
    </row>
    <row r="931">
      <c r="C931" s="8"/>
      <c r="I931" s="8"/>
      <c r="J931" s="8"/>
    </row>
    <row r="932">
      <c r="C932" s="8"/>
      <c r="I932" s="8"/>
      <c r="J932" s="8"/>
    </row>
    <row r="933">
      <c r="C933" s="8"/>
      <c r="I933" s="8"/>
      <c r="J933" s="8"/>
    </row>
    <row r="934">
      <c r="C934" s="8"/>
      <c r="I934" s="8"/>
      <c r="J934" s="8"/>
    </row>
    <row r="935">
      <c r="C935" s="8"/>
      <c r="I935" s="8"/>
      <c r="J935" s="8"/>
    </row>
    <row r="936">
      <c r="C936" s="8"/>
      <c r="I936" s="8"/>
      <c r="J936" s="8"/>
    </row>
    <row r="937">
      <c r="C937" s="8"/>
      <c r="I937" s="8"/>
      <c r="J937" s="8"/>
    </row>
    <row r="938">
      <c r="C938" s="8"/>
      <c r="I938" s="8"/>
      <c r="J938" s="8"/>
    </row>
    <row r="939">
      <c r="C939" s="8"/>
      <c r="I939" s="8"/>
      <c r="J939" s="8"/>
    </row>
    <row r="940">
      <c r="C940" s="8"/>
      <c r="I940" s="8"/>
      <c r="J940" s="8"/>
    </row>
    <row r="941">
      <c r="C941" s="8"/>
      <c r="I941" s="8"/>
      <c r="J941" s="8"/>
    </row>
    <row r="942">
      <c r="C942" s="8"/>
      <c r="I942" s="8"/>
      <c r="J942" s="8"/>
    </row>
    <row r="943">
      <c r="C943" s="8"/>
      <c r="I943" s="8"/>
      <c r="J943" s="8"/>
    </row>
    <row r="944">
      <c r="C944" s="8"/>
      <c r="I944" s="8"/>
      <c r="J944" s="8"/>
    </row>
    <row r="945">
      <c r="C945" s="8"/>
      <c r="I945" s="8"/>
      <c r="J945" s="8"/>
    </row>
    <row r="946">
      <c r="C946" s="8"/>
      <c r="I946" s="8"/>
      <c r="J946" s="8"/>
    </row>
    <row r="947">
      <c r="C947" s="8"/>
      <c r="I947" s="8"/>
      <c r="J947" s="8"/>
    </row>
    <row r="948">
      <c r="C948" s="8"/>
      <c r="I948" s="8"/>
      <c r="J948" s="8"/>
    </row>
    <row r="949">
      <c r="C949" s="8"/>
      <c r="I949" s="8"/>
      <c r="J949" s="8"/>
    </row>
    <row r="950">
      <c r="C950" s="8"/>
      <c r="I950" s="8"/>
      <c r="J950" s="8"/>
    </row>
    <row r="951">
      <c r="C951" s="8"/>
      <c r="I951" s="8"/>
      <c r="J951" s="8"/>
    </row>
    <row r="952">
      <c r="C952" s="8"/>
      <c r="I952" s="8"/>
      <c r="J952" s="8"/>
    </row>
    <row r="953">
      <c r="C953" s="8"/>
      <c r="I953" s="8"/>
      <c r="J953" s="8"/>
    </row>
    <row r="954">
      <c r="C954" s="8"/>
      <c r="I954" s="8"/>
      <c r="J954" s="8"/>
    </row>
    <row r="955">
      <c r="C955" s="8"/>
      <c r="I955" s="8"/>
      <c r="J955" s="8"/>
    </row>
    <row r="956">
      <c r="C956" s="8"/>
      <c r="I956" s="8"/>
      <c r="J956" s="8"/>
    </row>
    <row r="957">
      <c r="C957" s="8"/>
      <c r="I957" s="8"/>
      <c r="J957" s="8"/>
    </row>
    <row r="958">
      <c r="C958" s="8"/>
      <c r="I958" s="8"/>
      <c r="J958" s="8"/>
    </row>
    <row r="959">
      <c r="C959" s="8"/>
      <c r="I959" s="8"/>
      <c r="J959" s="8"/>
    </row>
    <row r="960">
      <c r="C960" s="8"/>
      <c r="I960" s="8"/>
      <c r="J960" s="8"/>
    </row>
    <row r="961">
      <c r="C961" s="8"/>
      <c r="I961" s="8"/>
      <c r="J961" s="8"/>
    </row>
    <row r="962">
      <c r="C962" s="8"/>
      <c r="I962" s="8"/>
      <c r="J962" s="8"/>
    </row>
    <row r="963">
      <c r="C963" s="8"/>
      <c r="I963" s="8"/>
      <c r="J963" s="8"/>
    </row>
    <row r="964">
      <c r="C964" s="8"/>
      <c r="I964" s="8"/>
      <c r="J964" s="8"/>
    </row>
    <row r="965">
      <c r="C965" s="8"/>
      <c r="I965" s="8"/>
      <c r="J965" s="8"/>
    </row>
    <row r="966">
      <c r="C966" s="8"/>
      <c r="I966" s="8"/>
      <c r="J966" s="8"/>
    </row>
    <row r="967">
      <c r="C967" s="8"/>
      <c r="I967" s="8"/>
      <c r="J967" s="8"/>
    </row>
    <row r="968">
      <c r="C968" s="8"/>
      <c r="I968" s="8"/>
      <c r="J968" s="8"/>
    </row>
    <row r="969">
      <c r="C969" s="8"/>
      <c r="I969" s="8"/>
      <c r="J969" s="8"/>
    </row>
    <row r="970">
      <c r="C970" s="8"/>
      <c r="I970" s="8"/>
      <c r="J970" s="8"/>
    </row>
    <row r="971">
      <c r="C971" s="8"/>
      <c r="I971" s="8"/>
      <c r="J971" s="8"/>
    </row>
    <row r="972">
      <c r="C972" s="8"/>
      <c r="I972" s="8"/>
      <c r="J972" s="8"/>
    </row>
    <row r="973">
      <c r="C973" s="8"/>
      <c r="I973" s="8"/>
      <c r="J973" s="8"/>
    </row>
    <row r="974">
      <c r="C974" s="8"/>
      <c r="I974" s="8"/>
      <c r="J974" s="8"/>
    </row>
    <row r="975">
      <c r="C975" s="8"/>
      <c r="I975" s="8"/>
      <c r="J975" s="8"/>
    </row>
    <row r="976">
      <c r="C976" s="8"/>
      <c r="I976" s="8"/>
      <c r="J976" s="8"/>
    </row>
    <row r="977">
      <c r="C977" s="8"/>
      <c r="I977" s="8"/>
      <c r="J977" s="8"/>
    </row>
    <row r="978">
      <c r="C978" s="8"/>
      <c r="I978" s="8"/>
      <c r="J978" s="8"/>
    </row>
    <row r="979">
      <c r="C979" s="8"/>
      <c r="I979" s="8"/>
      <c r="J979" s="8"/>
    </row>
    <row r="980">
      <c r="C980" s="8"/>
      <c r="I980" s="8"/>
      <c r="J980" s="8"/>
    </row>
    <row r="981">
      <c r="C981" s="8"/>
      <c r="I981" s="8"/>
      <c r="J981" s="8"/>
    </row>
    <row r="982">
      <c r="C982" s="8"/>
      <c r="I982" s="8"/>
      <c r="J982" s="8"/>
    </row>
    <row r="983">
      <c r="C983" s="8"/>
      <c r="I983" s="8"/>
      <c r="J983" s="8"/>
    </row>
    <row r="984">
      <c r="C984" s="8"/>
      <c r="I984" s="8"/>
      <c r="J984" s="8"/>
    </row>
    <row r="985">
      <c r="C985" s="8"/>
      <c r="I985" s="8"/>
      <c r="J985" s="8"/>
    </row>
    <row r="986">
      <c r="C986" s="8"/>
      <c r="I986" s="8"/>
      <c r="J986" s="8"/>
    </row>
    <row r="987">
      <c r="C987" s="8"/>
      <c r="I987" s="8"/>
      <c r="J987" s="8"/>
    </row>
    <row r="988">
      <c r="C988" s="8"/>
      <c r="I988" s="8"/>
      <c r="J988" s="8"/>
    </row>
    <row r="989">
      <c r="C989" s="8"/>
      <c r="I989" s="8"/>
      <c r="J989" s="8"/>
    </row>
    <row r="990">
      <c r="C990" s="8"/>
      <c r="I990" s="8"/>
      <c r="J990" s="8"/>
    </row>
    <row r="991">
      <c r="C991" s="8"/>
      <c r="I991" s="8"/>
      <c r="J991" s="8"/>
    </row>
    <row r="992">
      <c r="C992" s="8"/>
      <c r="I992" s="8"/>
      <c r="J992" s="8"/>
    </row>
    <row r="993">
      <c r="C993" s="8"/>
      <c r="I993" s="8"/>
      <c r="J993" s="8"/>
    </row>
    <row r="994">
      <c r="C994" s="8"/>
      <c r="I994" s="8"/>
      <c r="J994" s="8"/>
    </row>
    <row r="995">
      <c r="C995" s="8"/>
      <c r="I995" s="8"/>
      <c r="J995" s="8"/>
    </row>
    <row r="996">
      <c r="C996" s="8"/>
      <c r="I996" s="8"/>
      <c r="J996" s="8"/>
    </row>
    <row r="997">
      <c r="C997" s="8"/>
      <c r="I997" s="8"/>
      <c r="J997" s="8"/>
    </row>
    <row r="998">
      <c r="C998" s="8"/>
      <c r="I998" s="8"/>
      <c r="J998" s="8"/>
    </row>
    <row r="999">
      <c r="C999" s="8"/>
      <c r="I999" s="8"/>
      <c r="J999" s="8"/>
    </row>
    <row r="1000">
      <c r="C1000" s="8"/>
      <c r="I1000" s="8"/>
      <c r="J1000" s="8"/>
    </row>
  </sheetData>
  <mergeCells count="1">
    <mergeCell ref="A1:O2"/>
  </mergeCells>
  <dataValidations>
    <dataValidation type="list" allowBlank="1" showErrorMessage="1" sqref="B3:C3">
      <formula1>"Mout,Hop,Gist,Suiker,Fruit,Adjunct"</formula1>
    </dataValidation>
    <dataValidation type="list" allowBlank="1" showErrorMessage="1" sqref="J6:J1000">
      <formula1>Uitleg!$C$2:$C$5</formula1>
    </dataValidation>
    <dataValidation type="list" allowBlank="1" showErrorMessage="1" sqref="I6:I1000">
      <formula1>Uitleg!$B$2:$B$7</formula1>
    </dataValidation>
    <dataValidation type="list" allowBlank="1" showErrorMessage="1" sqref="C6:C1000">
      <formula1>Uitleg!$A$2:$A$3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63"/>
    <col customWidth="1" min="3" max="3" width="14.0"/>
    <col customWidth="1" min="7" max="11" width="13.5"/>
    <col customWidth="1" min="12" max="12" width="3.38"/>
    <col customWidth="1" min="15" max="15" width="13.88"/>
  </cols>
  <sheetData>
    <row r="1">
      <c r="A1" s="1" t="s">
        <v>124</v>
      </c>
    </row>
    <row r="3">
      <c r="A3" s="2" t="s">
        <v>559</v>
      </c>
      <c r="B3" s="2" t="s">
        <v>498</v>
      </c>
      <c r="M3" s="2" t="s">
        <v>560</v>
      </c>
      <c r="N3" s="8">
        <f>SUM(H6:H1000) - SUM(O6:O1000)</f>
        <v>15.9</v>
      </c>
      <c r="O3" s="2" t="s">
        <v>561</v>
      </c>
    </row>
    <row r="5">
      <c r="A5" s="22" t="s">
        <v>104</v>
      </c>
      <c r="B5" s="22" t="s">
        <v>105</v>
      </c>
      <c r="C5" s="22" t="s">
        <v>106</v>
      </c>
      <c r="D5" s="22" t="s">
        <v>107</v>
      </c>
      <c r="E5" s="22" t="s">
        <v>108</v>
      </c>
      <c r="F5" s="22" t="s">
        <v>111</v>
      </c>
      <c r="G5" s="22" t="s">
        <v>112</v>
      </c>
      <c r="H5" s="22" t="s">
        <v>113</v>
      </c>
      <c r="I5" s="22" t="s">
        <v>115</v>
      </c>
      <c r="J5" s="22" t="s">
        <v>116</v>
      </c>
      <c r="K5" s="22" t="s">
        <v>117</v>
      </c>
      <c r="M5" s="23" t="s">
        <v>118</v>
      </c>
      <c r="N5" s="23" t="s">
        <v>107</v>
      </c>
      <c r="O5" s="23" t="s">
        <v>113</v>
      </c>
      <c r="P5" s="23" t="s">
        <v>111</v>
      </c>
    </row>
    <row r="6">
      <c r="C6" s="2" t="s">
        <v>120</v>
      </c>
      <c r="D6" s="24">
        <v>45009.0</v>
      </c>
      <c r="E6" s="2" t="s">
        <v>159</v>
      </c>
      <c r="F6" s="2" t="s">
        <v>125</v>
      </c>
      <c r="G6" s="25">
        <v>45689.0</v>
      </c>
      <c r="H6" s="2">
        <v>25.0</v>
      </c>
      <c r="I6" s="2"/>
      <c r="J6" s="2"/>
      <c r="K6" s="2"/>
      <c r="M6" s="2" t="s">
        <v>64</v>
      </c>
      <c r="N6" s="24">
        <v>45015.0</v>
      </c>
      <c r="O6" s="2">
        <v>20.0</v>
      </c>
      <c r="P6" s="2" t="s">
        <v>125</v>
      </c>
    </row>
    <row r="7">
      <c r="C7" s="2" t="s">
        <v>120</v>
      </c>
      <c r="D7" s="24">
        <v>45009.0</v>
      </c>
      <c r="E7" s="2" t="s">
        <v>159</v>
      </c>
      <c r="F7" s="2" t="s">
        <v>126</v>
      </c>
      <c r="G7" s="25">
        <v>45689.0</v>
      </c>
      <c r="H7" s="2">
        <v>25.0</v>
      </c>
      <c r="I7" s="8"/>
      <c r="J7" s="8"/>
      <c r="M7" s="2" t="s">
        <v>65</v>
      </c>
      <c r="N7" s="24">
        <v>45015.0</v>
      </c>
      <c r="O7" s="2">
        <v>5.0</v>
      </c>
      <c r="P7" s="2" t="s">
        <v>125</v>
      </c>
    </row>
    <row r="8">
      <c r="C8" s="28"/>
      <c r="D8" s="28"/>
      <c r="E8" s="28"/>
      <c r="F8" s="28"/>
      <c r="I8" s="8"/>
      <c r="J8" s="8"/>
      <c r="M8" s="2" t="s">
        <v>66</v>
      </c>
      <c r="N8" s="24">
        <v>45020.0</v>
      </c>
      <c r="O8" s="2">
        <v>9.1</v>
      </c>
      <c r="P8" s="2" t="s">
        <v>126</v>
      </c>
    </row>
    <row r="9">
      <c r="C9" s="28"/>
      <c r="D9" s="28"/>
      <c r="E9" s="28"/>
      <c r="F9" s="28"/>
      <c r="I9" s="8"/>
      <c r="J9" s="8"/>
      <c r="N9" s="28"/>
    </row>
    <row r="10">
      <c r="C10" s="28"/>
      <c r="D10" s="28"/>
      <c r="E10" s="28"/>
      <c r="F10" s="28"/>
      <c r="I10" s="8"/>
      <c r="J10" s="8"/>
      <c r="N10" s="28"/>
    </row>
    <row r="11">
      <c r="C11" s="28"/>
      <c r="D11" s="28"/>
      <c r="E11" s="28"/>
      <c r="F11" s="28"/>
      <c r="I11" s="8"/>
      <c r="J11" s="8"/>
      <c r="N11" s="28"/>
    </row>
    <row r="12">
      <c r="C12" s="28"/>
      <c r="D12" s="28"/>
      <c r="E12" s="28"/>
      <c r="F12" s="28"/>
      <c r="I12" s="8"/>
      <c r="J12" s="8"/>
      <c r="N12" s="28"/>
    </row>
    <row r="13">
      <c r="C13" s="28"/>
      <c r="D13" s="28"/>
      <c r="E13" s="28"/>
      <c r="F13" s="28"/>
      <c r="I13" s="8"/>
      <c r="J13" s="8"/>
      <c r="N13" s="28"/>
    </row>
    <row r="14">
      <c r="C14" s="28"/>
      <c r="D14" s="28"/>
      <c r="E14" s="28"/>
      <c r="F14" s="28"/>
      <c r="I14" s="8"/>
      <c r="J14" s="8"/>
      <c r="N14" s="28"/>
    </row>
    <row r="15">
      <c r="C15" s="28"/>
      <c r="D15" s="28"/>
      <c r="E15" s="28"/>
      <c r="F15" s="28"/>
      <c r="I15" s="8"/>
      <c r="J15" s="8"/>
      <c r="N15" s="28"/>
    </row>
    <row r="16">
      <c r="C16" s="28"/>
      <c r="D16" s="28"/>
      <c r="E16" s="28"/>
      <c r="F16" s="28"/>
      <c r="I16" s="8"/>
      <c r="J16" s="8"/>
      <c r="N16" s="28"/>
    </row>
    <row r="17">
      <c r="C17" s="28"/>
      <c r="D17" s="28"/>
      <c r="E17" s="28"/>
      <c r="F17" s="28"/>
      <c r="I17" s="8"/>
      <c r="J17" s="8"/>
      <c r="N17" s="28"/>
    </row>
    <row r="18">
      <c r="C18" s="28"/>
      <c r="D18" s="28"/>
      <c r="E18" s="28"/>
      <c r="F18" s="28"/>
      <c r="I18" s="8"/>
      <c r="J18" s="8"/>
      <c r="N18" s="28"/>
    </row>
    <row r="19">
      <c r="C19" s="28"/>
      <c r="D19" s="28"/>
      <c r="E19" s="28"/>
      <c r="F19" s="28"/>
      <c r="I19" s="8"/>
      <c r="J19" s="8"/>
      <c r="N19" s="28"/>
    </row>
    <row r="20">
      <c r="C20" s="28"/>
      <c r="D20" s="28"/>
      <c r="E20" s="28"/>
      <c r="F20" s="28"/>
      <c r="I20" s="8"/>
      <c r="J20" s="8"/>
      <c r="N20" s="28"/>
    </row>
    <row r="21">
      <c r="C21" s="28"/>
      <c r="D21" s="28"/>
      <c r="E21" s="28"/>
      <c r="F21" s="28"/>
      <c r="I21" s="8"/>
      <c r="J21" s="8"/>
      <c r="N21" s="28"/>
    </row>
    <row r="22">
      <c r="C22" s="28"/>
      <c r="D22" s="28"/>
      <c r="E22" s="28"/>
      <c r="F22" s="28"/>
      <c r="I22" s="8"/>
      <c r="J22" s="8"/>
      <c r="N22" s="28"/>
    </row>
    <row r="23">
      <c r="C23" s="28"/>
      <c r="D23" s="28"/>
      <c r="E23" s="28"/>
      <c r="F23" s="28"/>
      <c r="I23" s="8"/>
      <c r="J23" s="8"/>
      <c r="N23" s="28"/>
    </row>
    <row r="24">
      <c r="C24" s="28"/>
      <c r="D24" s="28"/>
      <c r="E24" s="28"/>
      <c r="F24" s="28"/>
      <c r="I24" s="8"/>
      <c r="J24" s="8"/>
      <c r="N24" s="28"/>
    </row>
    <row r="25">
      <c r="C25" s="28"/>
      <c r="D25" s="28"/>
      <c r="E25" s="28"/>
      <c r="F25" s="28"/>
      <c r="I25" s="8"/>
      <c r="J25" s="8"/>
      <c r="N25" s="28"/>
    </row>
    <row r="26">
      <c r="C26" s="28"/>
      <c r="D26" s="28"/>
      <c r="E26" s="28"/>
      <c r="F26" s="28"/>
      <c r="I26" s="8"/>
      <c r="J26" s="8"/>
      <c r="N26" s="28"/>
    </row>
    <row r="27">
      <c r="C27" s="28"/>
      <c r="D27" s="28"/>
      <c r="E27" s="28"/>
      <c r="F27" s="28"/>
      <c r="I27" s="8"/>
      <c r="J27" s="8"/>
      <c r="N27" s="28"/>
    </row>
    <row r="28">
      <c r="C28" s="28"/>
      <c r="D28" s="28"/>
      <c r="E28" s="28"/>
      <c r="F28" s="28"/>
      <c r="I28" s="8"/>
      <c r="J28" s="8"/>
      <c r="N28" s="28"/>
    </row>
    <row r="29">
      <c r="C29" s="28"/>
      <c r="D29" s="28"/>
      <c r="E29" s="28"/>
      <c r="F29" s="28"/>
      <c r="I29" s="8"/>
      <c r="J29" s="8"/>
      <c r="N29" s="28"/>
    </row>
    <row r="30">
      <c r="C30" s="28"/>
      <c r="D30" s="28"/>
      <c r="E30" s="28"/>
      <c r="F30" s="28"/>
      <c r="I30" s="8"/>
      <c r="J30" s="8"/>
      <c r="N30" s="28"/>
    </row>
    <row r="31">
      <c r="C31" s="28"/>
      <c r="D31" s="28"/>
      <c r="E31" s="28"/>
      <c r="F31" s="28"/>
      <c r="I31" s="8"/>
      <c r="J31" s="8"/>
      <c r="N31" s="28"/>
    </row>
    <row r="32">
      <c r="C32" s="28"/>
      <c r="D32" s="28"/>
      <c r="E32" s="28"/>
      <c r="F32" s="28"/>
      <c r="I32" s="8"/>
      <c r="J32" s="8"/>
      <c r="N32" s="28"/>
    </row>
    <row r="33">
      <c r="C33" s="8"/>
      <c r="I33" s="8"/>
      <c r="J33" s="8"/>
      <c r="N33" s="28"/>
    </row>
    <row r="34">
      <c r="C34" s="8"/>
      <c r="I34" s="8"/>
      <c r="J34" s="8"/>
    </row>
    <row r="35">
      <c r="C35" s="8"/>
      <c r="I35" s="8"/>
      <c r="J35" s="8"/>
    </row>
    <row r="36">
      <c r="C36" s="8"/>
      <c r="I36" s="8"/>
      <c r="J36" s="8"/>
    </row>
    <row r="37">
      <c r="C37" s="8"/>
      <c r="I37" s="8"/>
      <c r="J37" s="8"/>
    </row>
    <row r="38">
      <c r="C38" s="8"/>
      <c r="I38" s="8"/>
      <c r="J38" s="8"/>
    </row>
    <row r="39">
      <c r="C39" s="8"/>
      <c r="I39" s="8"/>
      <c r="J39" s="8"/>
    </row>
    <row r="40">
      <c r="C40" s="8"/>
      <c r="I40" s="8"/>
      <c r="J40" s="8"/>
    </row>
    <row r="41">
      <c r="C41" s="8"/>
      <c r="I41" s="8"/>
      <c r="J41" s="8"/>
    </row>
    <row r="42">
      <c r="C42" s="8"/>
      <c r="I42" s="8"/>
      <c r="J42" s="8"/>
    </row>
    <row r="43">
      <c r="C43" s="8"/>
      <c r="I43" s="8"/>
      <c r="J43" s="8"/>
    </row>
    <row r="44">
      <c r="C44" s="8"/>
      <c r="I44" s="8"/>
      <c r="J44" s="8"/>
    </row>
    <row r="45">
      <c r="C45" s="8"/>
      <c r="I45" s="8"/>
      <c r="J45" s="8"/>
    </row>
    <row r="46">
      <c r="C46" s="8"/>
      <c r="I46" s="8"/>
      <c r="J46" s="8"/>
    </row>
    <row r="47">
      <c r="C47" s="8"/>
      <c r="I47" s="8"/>
      <c r="J47" s="8"/>
    </row>
    <row r="48">
      <c r="C48" s="8"/>
      <c r="I48" s="8"/>
      <c r="J48" s="8"/>
    </row>
    <row r="49">
      <c r="C49" s="8"/>
      <c r="I49" s="8"/>
      <c r="J49" s="8"/>
    </row>
    <row r="50">
      <c r="C50" s="8"/>
      <c r="I50" s="8"/>
      <c r="J50" s="8"/>
    </row>
    <row r="51">
      <c r="C51" s="8"/>
      <c r="I51" s="8"/>
      <c r="J51" s="8"/>
    </row>
    <row r="52">
      <c r="C52" s="8"/>
      <c r="I52" s="8"/>
      <c r="J52" s="8"/>
    </row>
    <row r="53">
      <c r="C53" s="8"/>
      <c r="I53" s="8"/>
      <c r="J53" s="8"/>
    </row>
    <row r="54">
      <c r="C54" s="8"/>
      <c r="I54" s="8"/>
      <c r="J54" s="8"/>
    </row>
    <row r="55">
      <c r="C55" s="8"/>
      <c r="I55" s="8"/>
      <c r="J55" s="8"/>
    </row>
    <row r="56">
      <c r="C56" s="8"/>
      <c r="I56" s="8"/>
      <c r="J56" s="8"/>
    </row>
    <row r="57">
      <c r="C57" s="8"/>
      <c r="I57" s="8"/>
      <c r="J57" s="8"/>
    </row>
    <row r="58">
      <c r="C58" s="8"/>
      <c r="I58" s="8"/>
      <c r="J58" s="8"/>
    </row>
    <row r="59">
      <c r="C59" s="8"/>
      <c r="I59" s="8"/>
      <c r="J59" s="8"/>
    </row>
    <row r="60">
      <c r="C60" s="8"/>
      <c r="I60" s="8"/>
      <c r="J60" s="8"/>
    </row>
    <row r="61">
      <c r="C61" s="8"/>
      <c r="I61" s="8"/>
      <c r="J61" s="8"/>
    </row>
    <row r="62">
      <c r="C62" s="8"/>
      <c r="I62" s="8"/>
      <c r="J62" s="8"/>
    </row>
    <row r="63">
      <c r="C63" s="8"/>
      <c r="I63" s="8"/>
      <c r="J63" s="8"/>
    </row>
    <row r="64">
      <c r="C64" s="8"/>
      <c r="I64" s="8"/>
      <c r="J64" s="8"/>
    </row>
    <row r="65">
      <c r="C65" s="8"/>
      <c r="I65" s="8"/>
      <c r="J65" s="8"/>
    </row>
    <row r="66">
      <c r="C66" s="8"/>
      <c r="I66" s="8"/>
      <c r="J66" s="8"/>
    </row>
    <row r="67">
      <c r="C67" s="8"/>
      <c r="I67" s="8"/>
      <c r="J67" s="8"/>
    </row>
    <row r="68">
      <c r="C68" s="8"/>
      <c r="I68" s="8"/>
      <c r="J68" s="8"/>
    </row>
    <row r="69">
      <c r="C69" s="8"/>
      <c r="I69" s="8"/>
      <c r="J69" s="8"/>
    </row>
    <row r="70">
      <c r="C70" s="8"/>
      <c r="I70" s="8"/>
      <c r="J70" s="8"/>
    </row>
    <row r="71">
      <c r="C71" s="8"/>
      <c r="I71" s="8"/>
      <c r="J71" s="8"/>
    </row>
    <row r="72">
      <c r="C72" s="8"/>
      <c r="I72" s="8"/>
      <c r="J72" s="8"/>
    </row>
    <row r="73">
      <c r="C73" s="8"/>
      <c r="I73" s="8"/>
      <c r="J73" s="8"/>
    </row>
    <row r="74">
      <c r="C74" s="8"/>
      <c r="I74" s="8"/>
      <c r="J74" s="8"/>
    </row>
    <row r="75">
      <c r="C75" s="8"/>
      <c r="I75" s="8"/>
      <c r="J75" s="8"/>
    </row>
    <row r="76">
      <c r="C76" s="8"/>
      <c r="I76" s="8"/>
      <c r="J76" s="8"/>
    </row>
    <row r="77">
      <c r="C77" s="8"/>
      <c r="I77" s="8"/>
      <c r="J77" s="8"/>
    </row>
    <row r="78">
      <c r="C78" s="8"/>
      <c r="I78" s="8"/>
      <c r="J78" s="8"/>
    </row>
    <row r="79">
      <c r="C79" s="8"/>
      <c r="I79" s="8"/>
      <c r="J79" s="8"/>
    </row>
    <row r="80">
      <c r="C80" s="8"/>
      <c r="I80" s="8"/>
      <c r="J80" s="8"/>
    </row>
    <row r="81">
      <c r="C81" s="8"/>
      <c r="I81" s="8"/>
      <c r="J81" s="8"/>
    </row>
    <row r="82">
      <c r="C82" s="8"/>
      <c r="I82" s="8"/>
      <c r="J82" s="8"/>
    </row>
    <row r="83">
      <c r="C83" s="8"/>
      <c r="I83" s="8"/>
      <c r="J83" s="8"/>
    </row>
    <row r="84">
      <c r="C84" s="8"/>
      <c r="I84" s="8"/>
      <c r="J84" s="8"/>
    </row>
    <row r="85">
      <c r="C85" s="8"/>
      <c r="I85" s="8"/>
      <c r="J85" s="8"/>
    </row>
    <row r="86">
      <c r="C86" s="8"/>
      <c r="I86" s="8"/>
      <c r="J86" s="8"/>
    </row>
    <row r="87">
      <c r="C87" s="8"/>
      <c r="I87" s="8"/>
      <c r="J87" s="8"/>
    </row>
    <row r="88">
      <c r="C88" s="8"/>
      <c r="I88" s="8"/>
      <c r="J88" s="8"/>
    </row>
    <row r="89">
      <c r="C89" s="8"/>
      <c r="I89" s="8"/>
      <c r="J89" s="8"/>
    </row>
    <row r="90">
      <c r="C90" s="8"/>
      <c r="I90" s="8"/>
      <c r="J90" s="8"/>
    </row>
    <row r="91">
      <c r="C91" s="8"/>
      <c r="I91" s="8"/>
      <c r="J91" s="8"/>
    </row>
    <row r="92">
      <c r="C92" s="8"/>
      <c r="I92" s="8"/>
      <c r="J92" s="8"/>
    </row>
    <row r="93">
      <c r="C93" s="8"/>
      <c r="I93" s="8"/>
      <c r="J93" s="8"/>
    </row>
    <row r="94">
      <c r="C94" s="8"/>
      <c r="I94" s="8"/>
      <c r="J94" s="8"/>
    </row>
    <row r="95">
      <c r="C95" s="8"/>
      <c r="I95" s="8"/>
      <c r="J95" s="8"/>
    </row>
    <row r="96">
      <c r="C96" s="8"/>
      <c r="I96" s="8"/>
      <c r="J96" s="8"/>
    </row>
    <row r="97">
      <c r="C97" s="8"/>
      <c r="I97" s="8"/>
      <c r="J97" s="8"/>
    </row>
    <row r="98">
      <c r="C98" s="8"/>
      <c r="I98" s="8"/>
      <c r="J98" s="8"/>
    </row>
    <row r="99">
      <c r="C99" s="8"/>
      <c r="I99" s="8"/>
      <c r="J99" s="8"/>
    </row>
    <row r="100">
      <c r="C100" s="8"/>
      <c r="I100" s="8"/>
      <c r="J100" s="8"/>
    </row>
    <row r="101">
      <c r="C101" s="8"/>
      <c r="I101" s="8"/>
      <c r="J101" s="8"/>
    </row>
    <row r="102">
      <c r="C102" s="8"/>
      <c r="I102" s="8"/>
      <c r="J102" s="8"/>
    </row>
    <row r="103">
      <c r="C103" s="8"/>
      <c r="I103" s="8"/>
      <c r="J103" s="8"/>
    </row>
    <row r="104">
      <c r="C104" s="8"/>
      <c r="I104" s="8"/>
      <c r="J104" s="8"/>
    </row>
    <row r="105">
      <c r="C105" s="8"/>
      <c r="I105" s="8"/>
      <c r="J105" s="8"/>
    </row>
    <row r="106">
      <c r="C106" s="8"/>
      <c r="I106" s="8"/>
      <c r="J106" s="8"/>
    </row>
    <row r="107">
      <c r="C107" s="8"/>
      <c r="I107" s="8"/>
      <c r="J107" s="8"/>
    </row>
    <row r="108">
      <c r="C108" s="8"/>
      <c r="I108" s="8"/>
      <c r="J108" s="8"/>
    </row>
    <row r="109">
      <c r="C109" s="8"/>
      <c r="I109" s="8"/>
      <c r="J109" s="8"/>
    </row>
    <row r="110">
      <c r="C110" s="8"/>
      <c r="I110" s="8"/>
      <c r="J110" s="8"/>
    </row>
    <row r="111">
      <c r="C111" s="8"/>
      <c r="I111" s="8"/>
      <c r="J111" s="8"/>
    </row>
    <row r="112">
      <c r="C112" s="8"/>
      <c r="I112" s="8"/>
      <c r="J112" s="8"/>
    </row>
    <row r="113">
      <c r="C113" s="8"/>
      <c r="I113" s="8"/>
      <c r="J113" s="8"/>
    </row>
    <row r="114">
      <c r="C114" s="8"/>
      <c r="I114" s="8"/>
      <c r="J114" s="8"/>
    </row>
    <row r="115">
      <c r="C115" s="8"/>
      <c r="I115" s="8"/>
      <c r="J115" s="8"/>
    </row>
    <row r="116">
      <c r="C116" s="8"/>
      <c r="I116" s="8"/>
      <c r="J116" s="8"/>
    </row>
    <row r="117">
      <c r="C117" s="8"/>
      <c r="I117" s="8"/>
      <c r="J117" s="8"/>
    </row>
    <row r="118">
      <c r="C118" s="8"/>
      <c r="I118" s="8"/>
      <c r="J118" s="8"/>
    </row>
    <row r="119">
      <c r="C119" s="8"/>
      <c r="I119" s="8"/>
      <c r="J119" s="8"/>
    </row>
    <row r="120">
      <c r="C120" s="8"/>
      <c r="I120" s="8"/>
      <c r="J120" s="8"/>
    </row>
    <row r="121">
      <c r="C121" s="8"/>
      <c r="I121" s="8"/>
      <c r="J121" s="8"/>
    </row>
    <row r="122">
      <c r="C122" s="8"/>
      <c r="I122" s="8"/>
      <c r="J122" s="8"/>
    </row>
    <row r="123">
      <c r="C123" s="8"/>
      <c r="I123" s="8"/>
      <c r="J123" s="8"/>
    </row>
    <row r="124">
      <c r="C124" s="8"/>
      <c r="I124" s="8"/>
      <c r="J124" s="8"/>
    </row>
    <row r="125">
      <c r="C125" s="8"/>
      <c r="I125" s="8"/>
      <c r="J125" s="8"/>
    </row>
    <row r="126">
      <c r="C126" s="8"/>
      <c r="I126" s="8"/>
      <c r="J126" s="8"/>
    </row>
    <row r="127">
      <c r="C127" s="8"/>
      <c r="I127" s="8"/>
      <c r="J127" s="8"/>
    </row>
    <row r="128">
      <c r="C128" s="8"/>
      <c r="I128" s="8"/>
      <c r="J128" s="8"/>
    </row>
    <row r="129">
      <c r="C129" s="8"/>
      <c r="I129" s="8"/>
      <c r="J129" s="8"/>
    </row>
    <row r="130">
      <c r="C130" s="8"/>
      <c r="I130" s="8"/>
      <c r="J130" s="8"/>
    </row>
    <row r="131">
      <c r="C131" s="8"/>
      <c r="I131" s="8"/>
      <c r="J131" s="8"/>
    </row>
    <row r="132">
      <c r="C132" s="8"/>
      <c r="I132" s="8"/>
      <c r="J132" s="8"/>
    </row>
    <row r="133">
      <c r="C133" s="8"/>
      <c r="I133" s="8"/>
      <c r="J133" s="8"/>
    </row>
    <row r="134">
      <c r="C134" s="8"/>
      <c r="I134" s="8"/>
      <c r="J134" s="8"/>
    </row>
    <row r="135">
      <c r="C135" s="8"/>
      <c r="I135" s="8"/>
      <c r="J135" s="8"/>
    </row>
    <row r="136">
      <c r="C136" s="8"/>
      <c r="I136" s="8"/>
      <c r="J136" s="8"/>
    </row>
    <row r="137">
      <c r="C137" s="8"/>
      <c r="I137" s="8"/>
      <c r="J137" s="8"/>
    </row>
    <row r="138">
      <c r="C138" s="8"/>
      <c r="I138" s="8"/>
      <c r="J138" s="8"/>
    </row>
    <row r="139">
      <c r="C139" s="8"/>
      <c r="I139" s="8"/>
      <c r="J139" s="8"/>
    </row>
    <row r="140">
      <c r="C140" s="8"/>
      <c r="I140" s="8"/>
      <c r="J140" s="8"/>
    </row>
    <row r="141">
      <c r="C141" s="8"/>
      <c r="I141" s="8"/>
      <c r="J141" s="8"/>
    </row>
    <row r="142">
      <c r="C142" s="8"/>
      <c r="I142" s="8"/>
      <c r="J142" s="8"/>
    </row>
    <row r="143">
      <c r="C143" s="8"/>
      <c r="I143" s="8"/>
      <c r="J143" s="8"/>
    </row>
    <row r="144">
      <c r="C144" s="8"/>
      <c r="I144" s="8"/>
      <c r="J144" s="8"/>
    </row>
    <row r="145">
      <c r="C145" s="8"/>
      <c r="I145" s="8"/>
      <c r="J145" s="8"/>
    </row>
    <row r="146">
      <c r="C146" s="8"/>
      <c r="I146" s="8"/>
      <c r="J146" s="8"/>
    </row>
    <row r="147">
      <c r="C147" s="8"/>
      <c r="I147" s="8"/>
      <c r="J147" s="8"/>
    </row>
    <row r="148">
      <c r="C148" s="8"/>
      <c r="I148" s="8"/>
      <c r="J148" s="8"/>
    </row>
    <row r="149">
      <c r="C149" s="8"/>
      <c r="I149" s="8"/>
      <c r="J149" s="8"/>
    </row>
    <row r="150">
      <c r="C150" s="8"/>
      <c r="I150" s="8"/>
      <c r="J150" s="8"/>
    </row>
    <row r="151">
      <c r="C151" s="8"/>
      <c r="I151" s="8"/>
      <c r="J151" s="8"/>
    </row>
    <row r="152">
      <c r="C152" s="8"/>
      <c r="I152" s="8"/>
      <c r="J152" s="8"/>
    </row>
    <row r="153">
      <c r="C153" s="8"/>
      <c r="I153" s="8"/>
      <c r="J153" s="8"/>
    </row>
    <row r="154">
      <c r="C154" s="8"/>
      <c r="I154" s="8"/>
      <c r="J154" s="8"/>
    </row>
    <row r="155">
      <c r="C155" s="8"/>
      <c r="I155" s="8"/>
      <c r="J155" s="8"/>
    </row>
    <row r="156">
      <c r="C156" s="8"/>
      <c r="I156" s="8"/>
      <c r="J156" s="8"/>
    </row>
    <row r="157">
      <c r="C157" s="8"/>
      <c r="I157" s="8"/>
      <c r="J157" s="8"/>
    </row>
    <row r="158">
      <c r="C158" s="8"/>
      <c r="I158" s="8"/>
      <c r="J158" s="8"/>
    </row>
    <row r="159">
      <c r="C159" s="8"/>
      <c r="I159" s="8"/>
      <c r="J159" s="8"/>
    </row>
    <row r="160">
      <c r="C160" s="8"/>
      <c r="I160" s="8"/>
      <c r="J160" s="8"/>
    </row>
    <row r="161">
      <c r="C161" s="8"/>
      <c r="I161" s="8"/>
      <c r="J161" s="8"/>
    </row>
    <row r="162">
      <c r="C162" s="8"/>
      <c r="I162" s="8"/>
      <c r="J162" s="8"/>
    </row>
    <row r="163">
      <c r="C163" s="8"/>
      <c r="I163" s="8"/>
      <c r="J163" s="8"/>
    </row>
    <row r="164">
      <c r="C164" s="8"/>
      <c r="I164" s="8"/>
      <c r="J164" s="8"/>
    </row>
    <row r="165">
      <c r="C165" s="8"/>
      <c r="I165" s="8"/>
      <c r="J165" s="8"/>
    </row>
    <row r="166">
      <c r="C166" s="8"/>
      <c r="I166" s="8"/>
      <c r="J166" s="8"/>
    </row>
    <row r="167">
      <c r="C167" s="8"/>
      <c r="I167" s="8"/>
      <c r="J167" s="8"/>
    </row>
    <row r="168">
      <c r="C168" s="8"/>
      <c r="I168" s="8"/>
      <c r="J168" s="8"/>
    </row>
    <row r="169">
      <c r="C169" s="8"/>
      <c r="I169" s="8"/>
      <c r="J169" s="8"/>
    </row>
    <row r="170">
      <c r="C170" s="8"/>
      <c r="I170" s="8"/>
      <c r="J170" s="8"/>
    </row>
    <row r="171">
      <c r="C171" s="8"/>
      <c r="I171" s="8"/>
      <c r="J171" s="8"/>
    </row>
    <row r="172">
      <c r="C172" s="8"/>
      <c r="I172" s="8"/>
      <c r="J172" s="8"/>
    </row>
    <row r="173">
      <c r="C173" s="8"/>
      <c r="I173" s="8"/>
      <c r="J173" s="8"/>
    </row>
    <row r="174">
      <c r="C174" s="8"/>
      <c r="I174" s="8"/>
      <c r="J174" s="8"/>
    </row>
    <row r="175">
      <c r="C175" s="8"/>
      <c r="I175" s="8"/>
      <c r="J175" s="8"/>
    </row>
    <row r="176">
      <c r="C176" s="8"/>
      <c r="I176" s="8"/>
      <c r="J176" s="8"/>
    </row>
    <row r="177">
      <c r="C177" s="8"/>
      <c r="I177" s="8"/>
      <c r="J177" s="8"/>
    </row>
    <row r="178">
      <c r="C178" s="8"/>
      <c r="I178" s="8"/>
      <c r="J178" s="8"/>
    </row>
    <row r="179">
      <c r="C179" s="8"/>
      <c r="I179" s="8"/>
      <c r="J179" s="8"/>
    </row>
    <row r="180">
      <c r="C180" s="8"/>
      <c r="I180" s="8"/>
      <c r="J180" s="8"/>
    </row>
    <row r="181">
      <c r="C181" s="8"/>
      <c r="I181" s="8"/>
      <c r="J181" s="8"/>
    </row>
    <row r="182">
      <c r="C182" s="8"/>
      <c r="I182" s="8"/>
      <c r="J182" s="8"/>
    </row>
    <row r="183">
      <c r="C183" s="8"/>
      <c r="I183" s="8"/>
      <c r="J183" s="8"/>
    </row>
    <row r="184">
      <c r="C184" s="8"/>
      <c r="I184" s="8"/>
      <c r="J184" s="8"/>
    </row>
    <row r="185">
      <c r="C185" s="8"/>
      <c r="I185" s="8"/>
      <c r="J185" s="8"/>
    </row>
    <row r="186">
      <c r="C186" s="8"/>
      <c r="I186" s="8"/>
      <c r="J186" s="8"/>
    </row>
    <row r="187">
      <c r="C187" s="8"/>
      <c r="I187" s="8"/>
      <c r="J187" s="8"/>
    </row>
    <row r="188">
      <c r="C188" s="8"/>
      <c r="I188" s="8"/>
      <c r="J188" s="8"/>
    </row>
    <row r="189">
      <c r="C189" s="8"/>
      <c r="I189" s="8"/>
      <c r="J189" s="8"/>
    </row>
    <row r="190">
      <c r="C190" s="8"/>
      <c r="I190" s="8"/>
      <c r="J190" s="8"/>
    </row>
    <row r="191">
      <c r="C191" s="8"/>
      <c r="I191" s="8"/>
      <c r="J191" s="8"/>
    </row>
    <row r="192">
      <c r="C192" s="8"/>
      <c r="I192" s="8"/>
      <c r="J192" s="8"/>
    </row>
    <row r="193">
      <c r="C193" s="8"/>
      <c r="I193" s="8"/>
      <c r="J193" s="8"/>
    </row>
    <row r="194">
      <c r="C194" s="8"/>
      <c r="I194" s="8"/>
      <c r="J194" s="8"/>
    </row>
    <row r="195">
      <c r="C195" s="8"/>
      <c r="I195" s="8"/>
      <c r="J195" s="8"/>
    </row>
    <row r="196">
      <c r="C196" s="8"/>
      <c r="I196" s="8"/>
      <c r="J196" s="8"/>
    </row>
    <row r="197">
      <c r="C197" s="8"/>
      <c r="I197" s="8"/>
      <c r="J197" s="8"/>
    </row>
    <row r="198">
      <c r="C198" s="8"/>
      <c r="I198" s="8"/>
      <c r="J198" s="8"/>
    </row>
    <row r="199">
      <c r="C199" s="8"/>
      <c r="I199" s="8"/>
      <c r="J199" s="8"/>
    </row>
    <row r="200">
      <c r="C200" s="8"/>
      <c r="I200" s="8"/>
      <c r="J200" s="8"/>
    </row>
    <row r="201">
      <c r="C201" s="8"/>
      <c r="I201" s="8"/>
      <c r="J201" s="8"/>
    </row>
    <row r="202">
      <c r="C202" s="8"/>
      <c r="I202" s="8"/>
      <c r="J202" s="8"/>
    </row>
    <row r="203">
      <c r="C203" s="8"/>
      <c r="I203" s="8"/>
      <c r="J203" s="8"/>
    </row>
    <row r="204">
      <c r="C204" s="8"/>
      <c r="I204" s="8"/>
      <c r="J204" s="8"/>
    </row>
    <row r="205">
      <c r="C205" s="8"/>
      <c r="I205" s="8"/>
      <c r="J205" s="8"/>
    </row>
    <row r="206">
      <c r="C206" s="8"/>
      <c r="I206" s="8"/>
      <c r="J206" s="8"/>
    </row>
    <row r="207">
      <c r="C207" s="8"/>
      <c r="I207" s="8"/>
      <c r="J207" s="8"/>
    </row>
    <row r="208">
      <c r="C208" s="8"/>
      <c r="I208" s="8"/>
      <c r="J208" s="8"/>
    </row>
    <row r="209">
      <c r="C209" s="8"/>
      <c r="I209" s="8"/>
      <c r="J209" s="8"/>
    </row>
    <row r="210">
      <c r="C210" s="8"/>
      <c r="I210" s="8"/>
      <c r="J210" s="8"/>
    </row>
    <row r="211">
      <c r="C211" s="8"/>
      <c r="I211" s="8"/>
      <c r="J211" s="8"/>
    </row>
    <row r="212">
      <c r="C212" s="8"/>
      <c r="I212" s="8"/>
      <c r="J212" s="8"/>
    </row>
    <row r="213">
      <c r="C213" s="8"/>
      <c r="I213" s="8"/>
      <c r="J213" s="8"/>
    </row>
    <row r="214">
      <c r="C214" s="8"/>
      <c r="I214" s="8"/>
      <c r="J214" s="8"/>
    </row>
    <row r="215">
      <c r="C215" s="8"/>
      <c r="I215" s="8"/>
      <c r="J215" s="8"/>
    </row>
    <row r="216">
      <c r="C216" s="8"/>
      <c r="I216" s="8"/>
      <c r="J216" s="8"/>
    </row>
    <row r="217">
      <c r="C217" s="8"/>
      <c r="I217" s="8"/>
      <c r="J217" s="8"/>
    </row>
    <row r="218">
      <c r="C218" s="8"/>
      <c r="I218" s="8"/>
      <c r="J218" s="8"/>
    </row>
    <row r="219">
      <c r="C219" s="8"/>
      <c r="I219" s="8"/>
      <c r="J219" s="8"/>
    </row>
    <row r="220">
      <c r="C220" s="8"/>
      <c r="I220" s="8"/>
      <c r="J220" s="8"/>
    </row>
    <row r="221">
      <c r="C221" s="8"/>
      <c r="I221" s="8"/>
      <c r="J221" s="8"/>
    </row>
    <row r="222">
      <c r="C222" s="8"/>
      <c r="I222" s="8"/>
      <c r="J222" s="8"/>
    </row>
    <row r="223">
      <c r="C223" s="8"/>
      <c r="I223" s="8"/>
      <c r="J223" s="8"/>
    </row>
    <row r="224">
      <c r="C224" s="8"/>
      <c r="I224" s="8"/>
      <c r="J224" s="8"/>
    </row>
    <row r="225">
      <c r="C225" s="8"/>
      <c r="I225" s="8"/>
      <c r="J225" s="8"/>
    </row>
    <row r="226">
      <c r="C226" s="8"/>
      <c r="I226" s="8"/>
      <c r="J226" s="8"/>
    </row>
    <row r="227">
      <c r="C227" s="8"/>
      <c r="I227" s="8"/>
      <c r="J227" s="8"/>
    </row>
    <row r="228">
      <c r="C228" s="8"/>
      <c r="I228" s="8"/>
      <c r="J228" s="8"/>
    </row>
    <row r="229">
      <c r="C229" s="8"/>
      <c r="I229" s="8"/>
      <c r="J229" s="8"/>
    </row>
    <row r="230">
      <c r="C230" s="8"/>
      <c r="I230" s="8"/>
      <c r="J230" s="8"/>
    </row>
    <row r="231">
      <c r="C231" s="8"/>
      <c r="I231" s="8"/>
      <c r="J231" s="8"/>
    </row>
    <row r="232">
      <c r="C232" s="8"/>
      <c r="I232" s="8"/>
      <c r="J232" s="8"/>
    </row>
    <row r="233">
      <c r="C233" s="8"/>
      <c r="I233" s="8"/>
      <c r="J233" s="8"/>
    </row>
    <row r="234">
      <c r="C234" s="8"/>
      <c r="I234" s="8"/>
      <c r="J234" s="8"/>
    </row>
    <row r="235">
      <c r="C235" s="8"/>
      <c r="I235" s="8"/>
      <c r="J235" s="8"/>
    </row>
    <row r="236">
      <c r="C236" s="8"/>
      <c r="I236" s="8"/>
      <c r="J236" s="8"/>
    </row>
    <row r="237">
      <c r="C237" s="8"/>
      <c r="I237" s="8"/>
      <c r="J237" s="8"/>
    </row>
    <row r="238">
      <c r="C238" s="8"/>
      <c r="I238" s="8"/>
      <c r="J238" s="8"/>
    </row>
    <row r="239">
      <c r="C239" s="8"/>
      <c r="I239" s="8"/>
      <c r="J239" s="8"/>
    </row>
    <row r="240">
      <c r="C240" s="8"/>
      <c r="I240" s="8"/>
      <c r="J240" s="8"/>
    </row>
    <row r="241">
      <c r="C241" s="8"/>
      <c r="I241" s="8"/>
      <c r="J241" s="8"/>
    </row>
    <row r="242">
      <c r="C242" s="8"/>
      <c r="I242" s="8"/>
      <c r="J242" s="8"/>
    </row>
    <row r="243">
      <c r="C243" s="8"/>
      <c r="I243" s="8"/>
      <c r="J243" s="8"/>
    </row>
    <row r="244">
      <c r="C244" s="8"/>
      <c r="I244" s="8"/>
      <c r="J244" s="8"/>
    </row>
    <row r="245">
      <c r="C245" s="8"/>
      <c r="I245" s="8"/>
      <c r="J245" s="8"/>
    </row>
    <row r="246">
      <c r="C246" s="8"/>
      <c r="I246" s="8"/>
      <c r="J246" s="8"/>
    </row>
    <row r="247">
      <c r="C247" s="8"/>
      <c r="I247" s="8"/>
      <c r="J247" s="8"/>
    </row>
    <row r="248">
      <c r="C248" s="8"/>
      <c r="I248" s="8"/>
      <c r="J248" s="8"/>
    </row>
    <row r="249">
      <c r="C249" s="8"/>
      <c r="I249" s="8"/>
      <c r="J249" s="8"/>
    </row>
    <row r="250">
      <c r="C250" s="8"/>
      <c r="I250" s="8"/>
      <c r="J250" s="8"/>
    </row>
    <row r="251">
      <c r="C251" s="8"/>
      <c r="I251" s="8"/>
      <c r="J251" s="8"/>
    </row>
    <row r="252">
      <c r="C252" s="8"/>
      <c r="I252" s="8"/>
      <c r="J252" s="8"/>
    </row>
    <row r="253">
      <c r="C253" s="8"/>
      <c r="I253" s="8"/>
      <c r="J253" s="8"/>
    </row>
    <row r="254">
      <c r="C254" s="8"/>
      <c r="I254" s="8"/>
      <c r="J254" s="8"/>
    </row>
    <row r="255">
      <c r="C255" s="8"/>
      <c r="I255" s="8"/>
      <c r="J255" s="8"/>
    </row>
    <row r="256">
      <c r="C256" s="8"/>
      <c r="I256" s="8"/>
      <c r="J256" s="8"/>
    </row>
    <row r="257">
      <c r="C257" s="8"/>
      <c r="I257" s="8"/>
      <c r="J257" s="8"/>
    </row>
    <row r="258">
      <c r="C258" s="8"/>
      <c r="I258" s="8"/>
      <c r="J258" s="8"/>
    </row>
    <row r="259">
      <c r="C259" s="8"/>
      <c r="I259" s="8"/>
      <c r="J259" s="8"/>
    </row>
    <row r="260">
      <c r="C260" s="8"/>
      <c r="I260" s="8"/>
      <c r="J260" s="8"/>
    </row>
    <row r="261">
      <c r="C261" s="8"/>
      <c r="I261" s="8"/>
      <c r="J261" s="8"/>
    </row>
    <row r="262">
      <c r="C262" s="8"/>
      <c r="I262" s="8"/>
      <c r="J262" s="8"/>
    </row>
    <row r="263">
      <c r="C263" s="8"/>
      <c r="I263" s="8"/>
      <c r="J263" s="8"/>
    </row>
    <row r="264">
      <c r="C264" s="8"/>
      <c r="I264" s="8"/>
      <c r="J264" s="8"/>
    </row>
    <row r="265">
      <c r="C265" s="8"/>
      <c r="I265" s="8"/>
      <c r="J265" s="8"/>
    </row>
    <row r="266">
      <c r="C266" s="8"/>
      <c r="I266" s="8"/>
      <c r="J266" s="8"/>
    </row>
    <row r="267">
      <c r="C267" s="8"/>
      <c r="I267" s="8"/>
      <c r="J267" s="8"/>
    </row>
    <row r="268">
      <c r="C268" s="8"/>
      <c r="I268" s="8"/>
      <c r="J268" s="8"/>
    </row>
    <row r="269">
      <c r="C269" s="8"/>
      <c r="I269" s="8"/>
      <c r="J269" s="8"/>
    </row>
    <row r="270">
      <c r="C270" s="8"/>
      <c r="I270" s="8"/>
      <c r="J270" s="8"/>
    </row>
    <row r="271">
      <c r="C271" s="8"/>
      <c r="I271" s="8"/>
      <c r="J271" s="8"/>
    </row>
    <row r="272">
      <c r="C272" s="8"/>
      <c r="I272" s="8"/>
      <c r="J272" s="8"/>
    </row>
    <row r="273">
      <c r="C273" s="8"/>
      <c r="I273" s="8"/>
      <c r="J273" s="8"/>
    </row>
    <row r="274">
      <c r="C274" s="8"/>
      <c r="I274" s="8"/>
      <c r="J274" s="8"/>
    </row>
    <row r="275">
      <c r="C275" s="8"/>
      <c r="I275" s="8"/>
      <c r="J275" s="8"/>
    </row>
    <row r="276">
      <c r="C276" s="8"/>
      <c r="I276" s="8"/>
      <c r="J276" s="8"/>
    </row>
    <row r="277">
      <c r="C277" s="8"/>
      <c r="I277" s="8"/>
      <c r="J277" s="8"/>
    </row>
    <row r="278">
      <c r="C278" s="8"/>
      <c r="I278" s="8"/>
      <c r="J278" s="8"/>
    </row>
    <row r="279">
      <c r="C279" s="8"/>
      <c r="I279" s="8"/>
      <c r="J279" s="8"/>
    </row>
    <row r="280">
      <c r="C280" s="8"/>
      <c r="I280" s="8"/>
      <c r="J280" s="8"/>
    </row>
    <row r="281">
      <c r="C281" s="8"/>
      <c r="I281" s="8"/>
      <c r="J281" s="8"/>
    </row>
    <row r="282">
      <c r="C282" s="8"/>
      <c r="I282" s="8"/>
      <c r="J282" s="8"/>
    </row>
    <row r="283">
      <c r="C283" s="8"/>
      <c r="I283" s="8"/>
      <c r="J283" s="8"/>
    </row>
    <row r="284">
      <c r="C284" s="8"/>
      <c r="I284" s="8"/>
      <c r="J284" s="8"/>
    </row>
    <row r="285">
      <c r="C285" s="8"/>
      <c r="I285" s="8"/>
      <c r="J285" s="8"/>
    </row>
    <row r="286">
      <c r="C286" s="8"/>
      <c r="I286" s="8"/>
      <c r="J286" s="8"/>
    </row>
    <row r="287">
      <c r="C287" s="8"/>
      <c r="I287" s="8"/>
      <c r="J287" s="8"/>
    </row>
    <row r="288">
      <c r="C288" s="8"/>
      <c r="I288" s="8"/>
      <c r="J288" s="8"/>
    </row>
    <row r="289">
      <c r="C289" s="8"/>
      <c r="I289" s="8"/>
      <c r="J289" s="8"/>
    </row>
    <row r="290">
      <c r="C290" s="8"/>
      <c r="I290" s="8"/>
      <c r="J290" s="8"/>
    </row>
    <row r="291">
      <c r="C291" s="8"/>
      <c r="I291" s="8"/>
      <c r="J291" s="8"/>
    </row>
    <row r="292">
      <c r="C292" s="8"/>
      <c r="I292" s="8"/>
      <c r="J292" s="8"/>
    </row>
    <row r="293">
      <c r="C293" s="8"/>
      <c r="I293" s="8"/>
      <c r="J293" s="8"/>
    </row>
    <row r="294">
      <c r="C294" s="8"/>
      <c r="I294" s="8"/>
      <c r="J294" s="8"/>
    </row>
    <row r="295">
      <c r="C295" s="8"/>
      <c r="I295" s="8"/>
      <c r="J295" s="8"/>
    </row>
    <row r="296">
      <c r="C296" s="8"/>
      <c r="I296" s="8"/>
      <c r="J296" s="8"/>
    </row>
    <row r="297">
      <c r="C297" s="8"/>
      <c r="I297" s="8"/>
      <c r="J297" s="8"/>
    </row>
    <row r="298">
      <c r="C298" s="8"/>
      <c r="I298" s="8"/>
      <c r="J298" s="8"/>
    </row>
    <row r="299">
      <c r="C299" s="8"/>
      <c r="I299" s="8"/>
      <c r="J299" s="8"/>
    </row>
    <row r="300">
      <c r="C300" s="8"/>
      <c r="I300" s="8"/>
      <c r="J300" s="8"/>
    </row>
    <row r="301">
      <c r="C301" s="8"/>
      <c r="I301" s="8"/>
      <c r="J301" s="8"/>
    </row>
    <row r="302">
      <c r="C302" s="8"/>
      <c r="I302" s="8"/>
      <c r="J302" s="8"/>
    </row>
    <row r="303">
      <c r="C303" s="8"/>
      <c r="I303" s="8"/>
      <c r="J303" s="8"/>
    </row>
    <row r="304">
      <c r="C304" s="8"/>
      <c r="I304" s="8"/>
      <c r="J304" s="8"/>
    </row>
    <row r="305">
      <c r="C305" s="8"/>
      <c r="I305" s="8"/>
      <c r="J305" s="8"/>
    </row>
    <row r="306">
      <c r="C306" s="8"/>
      <c r="I306" s="8"/>
      <c r="J306" s="8"/>
    </row>
    <row r="307">
      <c r="C307" s="8"/>
      <c r="I307" s="8"/>
      <c r="J307" s="8"/>
    </row>
    <row r="308">
      <c r="C308" s="8"/>
      <c r="I308" s="8"/>
      <c r="J308" s="8"/>
    </row>
    <row r="309">
      <c r="C309" s="8"/>
      <c r="I309" s="8"/>
      <c r="J309" s="8"/>
    </row>
    <row r="310">
      <c r="C310" s="8"/>
      <c r="I310" s="8"/>
      <c r="J310" s="8"/>
    </row>
    <row r="311">
      <c r="C311" s="8"/>
      <c r="I311" s="8"/>
      <c r="J311" s="8"/>
    </row>
    <row r="312">
      <c r="C312" s="8"/>
      <c r="I312" s="8"/>
      <c r="J312" s="8"/>
    </row>
    <row r="313">
      <c r="C313" s="8"/>
      <c r="I313" s="8"/>
      <c r="J313" s="8"/>
    </row>
    <row r="314">
      <c r="C314" s="8"/>
      <c r="I314" s="8"/>
      <c r="J314" s="8"/>
    </row>
    <row r="315">
      <c r="C315" s="8"/>
      <c r="I315" s="8"/>
      <c r="J315" s="8"/>
    </row>
    <row r="316">
      <c r="C316" s="8"/>
      <c r="I316" s="8"/>
      <c r="J316" s="8"/>
    </row>
    <row r="317">
      <c r="C317" s="8"/>
      <c r="I317" s="8"/>
      <c r="J317" s="8"/>
    </row>
    <row r="318">
      <c r="C318" s="8"/>
      <c r="I318" s="8"/>
      <c r="J318" s="8"/>
    </row>
    <row r="319">
      <c r="C319" s="8"/>
      <c r="I319" s="8"/>
      <c r="J319" s="8"/>
    </row>
    <row r="320">
      <c r="C320" s="8"/>
      <c r="I320" s="8"/>
      <c r="J320" s="8"/>
    </row>
    <row r="321">
      <c r="C321" s="8"/>
      <c r="I321" s="8"/>
      <c r="J321" s="8"/>
    </row>
    <row r="322">
      <c r="C322" s="8"/>
      <c r="I322" s="8"/>
      <c r="J322" s="8"/>
    </row>
    <row r="323">
      <c r="C323" s="8"/>
      <c r="I323" s="8"/>
      <c r="J323" s="8"/>
    </row>
    <row r="324">
      <c r="C324" s="8"/>
      <c r="I324" s="8"/>
      <c r="J324" s="8"/>
    </row>
    <row r="325">
      <c r="C325" s="8"/>
      <c r="I325" s="8"/>
      <c r="J325" s="8"/>
    </row>
    <row r="326">
      <c r="C326" s="8"/>
      <c r="I326" s="8"/>
      <c r="J326" s="8"/>
    </row>
    <row r="327">
      <c r="C327" s="8"/>
      <c r="I327" s="8"/>
      <c r="J327" s="8"/>
    </row>
    <row r="328">
      <c r="C328" s="8"/>
      <c r="I328" s="8"/>
      <c r="J328" s="8"/>
    </row>
    <row r="329">
      <c r="C329" s="8"/>
      <c r="I329" s="8"/>
      <c r="J329" s="8"/>
    </row>
    <row r="330">
      <c r="C330" s="8"/>
      <c r="I330" s="8"/>
      <c r="J330" s="8"/>
    </row>
    <row r="331">
      <c r="C331" s="8"/>
      <c r="I331" s="8"/>
      <c r="J331" s="8"/>
    </row>
    <row r="332">
      <c r="C332" s="8"/>
      <c r="I332" s="8"/>
      <c r="J332" s="8"/>
    </row>
    <row r="333">
      <c r="C333" s="8"/>
      <c r="I333" s="8"/>
      <c r="J333" s="8"/>
    </row>
    <row r="334">
      <c r="C334" s="8"/>
      <c r="I334" s="8"/>
      <c r="J334" s="8"/>
    </row>
    <row r="335">
      <c r="C335" s="8"/>
      <c r="I335" s="8"/>
      <c r="J335" s="8"/>
    </row>
    <row r="336">
      <c r="C336" s="8"/>
      <c r="I336" s="8"/>
      <c r="J336" s="8"/>
    </row>
    <row r="337">
      <c r="C337" s="8"/>
      <c r="I337" s="8"/>
      <c r="J337" s="8"/>
    </row>
    <row r="338">
      <c r="C338" s="8"/>
      <c r="I338" s="8"/>
      <c r="J338" s="8"/>
    </row>
    <row r="339">
      <c r="C339" s="8"/>
      <c r="I339" s="8"/>
      <c r="J339" s="8"/>
    </row>
    <row r="340">
      <c r="C340" s="8"/>
      <c r="I340" s="8"/>
      <c r="J340" s="8"/>
    </row>
    <row r="341">
      <c r="C341" s="8"/>
      <c r="I341" s="8"/>
      <c r="J341" s="8"/>
    </row>
    <row r="342">
      <c r="C342" s="8"/>
      <c r="I342" s="8"/>
      <c r="J342" s="8"/>
    </row>
    <row r="343">
      <c r="C343" s="8"/>
      <c r="I343" s="8"/>
      <c r="J343" s="8"/>
    </row>
    <row r="344">
      <c r="C344" s="8"/>
      <c r="I344" s="8"/>
      <c r="J344" s="8"/>
    </row>
    <row r="345">
      <c r="C345" s="8"/>
      <c r="I345" s="8"/>
      <c r="J345" s="8"/>
    </row>
    <row r="346">
      <c r="C346" s="8"/>
      <c r="I346" s="8"/>
      <c r="J346" s="8"/>
    </row>
    <row r="347">
      <c r="C347" s="8"/>
      <c r="I347" s="8"/>
      <c r="J347" s="8"/>
    </row>
    <row r="348">
      <c r="C348" s="8"/>
      <c r="I348" s="8"/>
      <c r="J348" s="8"/>
    </row>
    <row r="349">
      <c r="C349" s="8"/>
      <c r="I349" s="8"/>
      <c r="J349" s="8"/>
    </row>
    <row r="350">
      <c r="C350" s="8"/>
      <c r="I350" s="8"/>
      <c r="J350" s="8"/>
    </row>
    <row r="351">
      <c r="C351" s="8"/>
      <c r="I351" s="8"/>
      <c r="J351" s="8"/>
    </row>
    <row r="352">
      <c r="C352" s="8"/>
      <c r="I352" s="8"/>
      <c r="J352" s="8"/>
    </row>
    <row r="353">
      <c r="C353" s="8"/>
      <c r="I353" s="8"/>
      <c r="J353" s="8"/>
    </row>
    <row r="354">
      <c r="C354" s="8"/>
      <c r="I354" s="8"/>
      <c r="J354" s="8"/>
    </row>
    <row r="355">
      <c r="C355" s="8"/>
      <c r="I355" s="8"/>
      <c r="J355" s="8"/>
    </row>
    <row r="356">
      <c r="C356" s="8"/>
      <c r="I356" s="8"/>
      <c r="J356" s="8"/>
    </row>
    <row r="357">
      <c r="C357" s="8"/>
      <c r="I357" s="8"/>
      <c r="J357" s="8"/>
    </row>
    <row r="358">
      <c r="C358" s="8"/>
      <c r="I358" s="8"/>
      <c r="J358" s="8"/>
    </row>
    <row r="359">
      <c r="C359" s="8"/>
      <c r="I359" s="8"/>
      <c r="J359" s="8"/>
    </row>
    <row r="360">
      <c r="C360" s="8"/>
      <c r="I360" s="8"/>
      <c r="J360" s="8"/>
    </row>
    <row r="361">
      <c r="C361" s="8"/>
      <c r="I361" s="8"/>
      <c r="J361" s="8"/>
    </row>
    <row r="362">
      <c r="C362" s="8"/>
      <c r="I362" s="8"/>
      <c r="J362" s="8"/>
    </row>
    <row r="363">
      <c r="C363" s="8"/>
      <c r="I363" s="8"/>
      <c r="J363" s="8"/>
    </row>
    <row r="364">
      <c r="C364" s="8"/>
      <c r="I364" s="8"/>
      <c r="J364" s="8"/>
    </row>
    <row r="365">
      <c r="C365" s="8"/>
      <c r="I365" s="8"/>
      <c r="J365" s="8"/>
    </row>
    <row r="366">
      <c r="C366" s="8"/>
      <c r="I366" s="8"/>
      <c r="J366" s="8"/>
    </row>
    <row r="367">
      <c r="C367" s="8"/>
      <c r="I367" s="8"/>
      <c r="J367" s="8"/>
    </row>
    <row r="368">
      <c r="C368" s="8"/>
      <c r="I368" s="8"/>
      <c r="J368" s="8"/>
    </row>
    <row r="369">
      <c r="C369" s="8"/>
      <c r="I369" s="8"/>
      <c r="J369" s="8"/>
    </row>
    <row r="370">
      <c r="C370" s="8"/>
      <c r="I370" s="8"/>
      <c r="J370" s="8"/>
    </row>
    <row r="371">
      <c r="C371" s="8"/>
      <c r="I371" s="8"/>
      <c r="J371" s="8"/>
    </row>
    <row r="372">
      <c r="C372" s="8"/>
      <c r="I372" s="8"/>
      <c r="J372" s="8"/>
    </row>
    <row r="373">
      <c r="C373" s="8"/>
      <c r="I373" s="8"/>
      <c r="J373" s="8"/>
    </row>
    <row r="374">
      <c r="C374" s="8"/>
      <c r="I374" s="8"/>
      <c r="J374" s="8"/>
    </row>
    <row r="375">
      <c r="C375" s="8"/>
      <c r="I375" s="8"/>
      <c r="J375" s="8"/>
    </row>
    <row r="376">
      <c r="C376" s="8"/>
      <c r="I376" s="8"/>
      <c r="J376" s="8"/>
    </row>
    <row r="377">
      <c r="C377" s="8"/>
      <c r="I377" s="8"/>
      <c r="J377" s="8"/>
    </row>
    <row r="378">
      <c r="C378" s="8"/>
      <c r="I378" s="8"/>
      <c r="J378" s="8"/>
    </row>
    <row r="379">
      <c r="C379" s="8"/>
      <c r="I379" s="8"/>
      <c r="J379" s="8"/>
    </row>
    <row r="380">
      <c r="C380" s="8"/>
      <c r="I380" s="8"/>
      <c r="J380" s="8"/>
    </row>
    <row r="381">
      <c r="C381" s="8"/>
      <c r="I381" s="8"/>
      <c r="J381" s="8"/>
    </row>
    <row r="382">
      <c r="C382" s="8"/>
      <c r="I382" s="8"/>
      <c r="J382" s="8"/>
    </row>
    <row r="383">
      <c r="C383" s="8"/>
      <c r="I383" s="8"/>
      <c r="J383" s="8"/>
    </row>
    <row r="384">
      <c r="C384" s="8"/>
      <c r="I384" s="8"/>
      <c r="J384" s="8"/>
    </row>
    <row r="385">
      <c r="C385" s="8"/>
      <c r="I385" s="8"/>
      <c r="J385" s="8"/>
    </row>
    <row r="386">
      <c r="C386" s="8"/>
      <c r="I386" s="8"/>
      <c r="J386" s="8"/>
    </row>
    <row r="387">
      <c r="C387" s="8"/>
      <c r="I387" s="8"/>
      <c r="J387" s="8"/>
    </row>
    <row r="388">
      <c r="C388" s="8"/>
      <c r="I388" s="8"/>
      <c r="J388" s="8"/>
    </row>
    <row r="389">
      <c r="C389" s="8"/>
      <c r="I389" s="8"/>
      <c r="J389" s="8"/>
    </row>
    <row r="390">
      <c r="C390" s="8"/>
      <c r="I390" s="8"/>
      <c r="J390" s="8"/>
    </row>
    <row r="391">
      <c r="C391" s="8"/>
      <c r="I391" s="8"/>
      <c r="J391" s="8"/>
    </row>
    <row r="392">
      <c r="C392" s="8"/>
      <c r="I392" s="8"/>
      <c r="J392" s="8"/>
    </row>
    <row r="393">
      <c r="C393" s="8"/>
      <c r="I393" s="8"/>
      <c r="J393" s="8"/>
    </row>
    <row r="394">
      <c r="C394" s="8"/>
      <c r="I394" s="8"/>
      <c r="J394" s="8"/>
    </row>
    <row r="395">
      <c r="C395" s="8"/>
      <c r="I395" s="8"/>
      <c r="J395" s="8"/>
    </row>
    <row r="396">
      <c r="C396" s="8"/>
      <c r="I396" s="8"/>
      <c r="J396" s="8"/>
    </row>
    <row r="397">
      <c r="C397" s="8"/>
      <c r="I397" s="8"/>
      <c r="J397" s="8"/>
    </row>
    <row r="398">
      <c r="C398" s="8"/>
      <c r="I398" s="8"/>
      <c r="J398" s="8"/>
    </row>
    <row r="399">
      <c r="C399" s="8"/>
      <c r="I399" s="8"/>
      <c r="J399" s="8"/>
    </row>
    <row r="400">
      <c r="C400" s="8"/>
      <c r="I400" s="8"/>
      <c r="J400" s="8"/>
    </row>
    <row r="401">
      <c r="C401" s="8"/>
      <c r="I401" s="8"/>
      <c r="J401" s="8"/>
    </row>
    <row r="402">
      <c r="C402" s="8"/>
      <c r="I402" s="8"/>
      <c r="J402" s="8"/>
    </row>
    <row r="403">
      <c r="C403" s="8"/>
      <c r="I403" s="8"/>
      <c r="J403" s="8"/>
    </row>
    <row r="404">
      <c r="C404" s="8"/>
      <c r="I404" s="8"/>
      <c r="J404" s="8"/>
    </row>
    <row r="405">
      <c r="C405" s="8"/>
      <c r="I405" s="8"/>
      <c r="J405" s="8"/>
    </row>
    <row r="406">
      <c r="C406" s="8"/>
      <c r="I406" s="8"/>
      <c r="J406" s="8"/>
    </row>
    <row r="407">
      <c r="C407" s="8"/>
      <c r="I407" s="8"/>
      <c r="J407" s="8"/>
    </row>
    <row r="408">
      <c r="C408" s="8"/>
      <c r="I408" s="8"/>
      <c r="J408" s="8"/>
    </row>
    <row r="409">
      <c r="C409" s="8"/>
      <c r="I409" s="8"/>
      <c r="J409" s="8"/>
    </row>
    <row r="410">
      <c r="C410" s="8"/>
      <c r="I410" s="8"/>
      <c r="J410" s="8"/>
    </row>
    <row r="411">
      <c r="C411" s="8"/>
      <c r="I411" s="8"/>
      <c r="J411" s="8"/>
    </row>
    <row r="412">
      <c r="C412" s="8"/>
      <c r="I412" s="8"/>
      <c r="J412" s="8"/>
    </row>
    <row r="413">
      <c r="C413" s="8"/>
      <c r="I413" s="8"/>
      <c r="J413" s="8"/>
    </row>
    <row r="414">
      <c r="C414" s="8"/>
      <c r="I414" s="8"/>
      <c r="J414" s="8"/>
    </row>
    <row r="415">
      <c r="C415" s="8"/>
      <c r="I415" s="8"/>
      <c r="J415" s="8"/>
    </row>
    <row r="416">
      <c r="C416" s="8"/>
      <c r="I416" s="8"/>
      <c r="J416" s="8"/>
    </row>
    <row r="417">
      <c r="C417" s="8"/>
      <c r="I417" s="8"/>
      <c r="J417" s="8"/>
    </row>
    <row r="418">
      <c r="C418" s="8"/>
      <c r="I418" s="8"/>
      <c r="J418" s="8"/>
    </row>
    <row r="419">
      <c r="C419" s="8"/>
      <c r="I419" s="8"/>
      <c r="J419" s="8"/>
    </row>
    <row r="420">
      <c r="C420" s="8"/>
      <c r="I420" s="8"/>
      <c r="J420" s="8"/>
    </row>
    <row r="421">
      <c r="C421" s="8"/>
      <c r="I421" s="8"/>
      <c r="J421" s="8"/>
    </row>
    <row r="422">
      <c r="C422" s="8"/>
      <c r="I422" s="8"/>
      <c r="J422" s="8"/>
    </row>
    <row r="423">
      <c r="C423" s="8"/>
      <c r="I423" s="8"/>
      <c r="J423" s="8"/>
    </row>
    <row r="424">
      <c r="C424" s="8"/>
      <c r="I424" s="8"/>
      <c r="J424" s="8"/>
    </row>
    <row r="425">
      <c r="C425" s="8"/>
      <c r="I425" s="8"/>
      <c r="J425" s="8"/>
    </row>
    <row r="426">
      <c r="C426" s="8"/>
      <c r="I426" s="8"/>
      <c r="J426" s="8"/>
    </row>
    <row r="427">
      <c r="C427" s="8"/>
      <c r="I427" s="8"/>
      <c r="J427" s="8"/>
    </row>
    <row r="428">
      <c r="C428" s="8"/>
      <c r="I428" s="8"/>
      <c r="J428" s="8"/>
    </row>
    <row r="429">
      <c r="C429" s="8"/>
      <c r="I429" s="8"/>
      <c r="J429" s="8"/>
    </row>
    <row r="430">
      <c r="C430" s="8"/>
      <c r="I430" s="8"/>
      <c r="J430" s="8"/>
    </row>
    <row r="431">
      <c r="C431" s="8"/>
      <c r="I431" s="8"/>
      <c r="J431" s="8"/>
    </row>
    <row r="432">
      <c r="C432" s="8"/>
      <c r="I432" s="8"/>
      <c r="J432" s="8"/>
    </row>
    <row r="433">
      <c r="C433" s="8"/>
      <c r="I433" s="8"/>
      <c r="J433" s="8"/>
    </row>
    <row r="434">
      <c r="C434" s="8"/>
      <c r="I434" s="8"/>
      <c r="J434" s="8"/>
    </row>
    <row r="435">
      <c r="C435" s="8"/>
      <c r="I435" s="8"/>
      <c r="J435" s="8"/>
    </row>
    <row r="436">
      <c r="C436" s="8"/>
      <c r="I436" s="8"/>
      <c r="J436" s="8"/>
    </row>
    <row r="437">
      <c r="C437" s="8"/>
      <c r="I437" s="8"/>
      <c r="J437" s="8"/>
    </row>
    <row r="438">
      <c r="C438" s="8"/>
      <c r="I438" s="8"/>
      <c r="J438" s="8"/>
    </row>
    <row r="439">
      <c r="C439" s="8"/>
      <c r="I439" s="8"/>
      <c r="J439" s="8"/>
    </row>
    <row r="440">
      <c r="C440" s="8"/>
      <c r="I440" s="8"/>
      <c r="J440" s="8"/>
    </row>
    <row r="441">
      <c r="C441" s="8"/>
      <c r="I441" s="8"/>
      <c r="J441" s="8"/>
    </row>
    <row r="442">
      <c r="C442" s="8"/>
      <c r="I442" s="8"/>
      <c r="J442" s="8"/>
    </row>
    <row r="443">
      <c r="C443" s="8"/>
      <c r="I443" s="8"/>
      <c r="J443" s="8"/>
    </row>
    <row r="444">
      <c r="C444" s="8"/>
      <c r="I444" s="8"/>
      <c r="J444" s="8"/>
    </row>
    <row r="445">
      <c r="C445" s="8"/>
      <c r="I445" s="8"/>
      <c r="J445" s="8"/>
    </row>
    <row r="446">
      <c r="C446" s="8"/>
      <c r="I446" s="8"/>
      <c r="J446" s="8"/>
    </row>
    <row r="447">
      <c r="C447" s="8"/>
      <c r="I447" s="8"/>
      <c r="J447" s="8"/>
    </row>
    <row r="448">
      <c r="C448" s="8"/>
      <c r="I448" s="8"/>
      <c r="J448" s="8"/>
    </row>
    <row r="449">
      <c r="C449" s="8"/>
      <c r="I449" s="8"/>
      <c r="J449" s="8"/>
    </row>
    <row r="450">
      <c r="C450" s="8"/>
      <c r="I450" s="8"/>
      <c r="J450" s="8"/>
    </row>
    <row r="451">
      <c r="C451" s="8"/>
      <c r="I451" s="8"/>
      <c r="J451" s="8"/>
    </row>
    <row r="452">
      <c r="C452" s="8"/>
      <c r="I452" s="8"/>
      <c r="J452" s="8"/>
    </row>
    <row r="453">
      <c r="C453" s="8"/>
      <c r="I453" s="8"/>
      <c r="J453" s="8"/>
    </row>
    <row r="454">
      <c r="C454" s="8"/>
      <c r="I454" s="8"/>
      <c r="J454" s="8"/>
    </row>
    <row r="455">
      <c r="C455" s="8"/>
      <c r="I455" s="8"/>
      <c r="J455" s="8"/>
    </row>
    <row r="456">
      <c r="C456" s="8"/>
      <c r="I456" s="8"/>
      <c r="J456" s="8"/>
    </row>
    <row r="457">
      <c r="C457" s="8"/>
      <c r="I457" s="8"/>
      <c r="J457" s="8"/>
    </row>
    <row r="458">
      <c r="C458" s="8"/>
      <c r="I458" s="8"/>
      <c r="J458" s="8"/>
    </row>
    <row r="459">
      <c r="C459" s="8"/>
      <c r="I459" s="8"/>
      <c r="J459" s="8"/>
    </row>
    <row r="460">
      <c r="C460" s="8"/>
      <c r="I460" s="8"/>
      <c r="J460" s="8"/>
    </row>
    <row r="461">
      <c r="C461" s="8"/>
      <c r="I461" s="8"/>
      <c r="J461" s="8"/>
    </row>
    <row r="462">
      <c r="C462" s="8"/>
      <c r="I462" s="8"/>
      <c r="J462" s="8"/>
    </row>
    <row r="463">
      <c r="C463" s="8"/>
      <c r="I463" s="8"/>
      <c r="J463" s="8"/>
    </row>
    <row r="464">
      <c r="C464" s="8"/>
      <c r="I464" s="8"/>
      <c r="J464" s="8"/>
    </row>
    <row r="465">
      <c r="C465" s="8"/>
      <c r="I465" s="8"/>
      <c r="J465" s="8"/>
    </row>
    <row r="466">
      <c r="C466" s="8"/>
      <c r="I466" s="8"/>
      <c r="J466" s="8"/>
    </row>
    <row r="467">
      <c r="C467" s="8"/>
      <c r="I467" s="8"/>
      <c r="J467" s="8"/>
    </row>
    <row r="468">
      <c r="C468" s="8"/>
      <c r="I468" s="8"/>
      <c r="J468" s="8"/>
    </row>
    <row r="469">
      <c r="C469" s="8"/>
      <c r="I469" s="8"/>
      <c r="J469" s="8"/>
    </row>
    <row r="470">
      <c r="C470" s="8"/>
      <c r="I470" s="8"/>
      <c r="J470" s="8"/>
    </row>
    <row r="471">
      <c r="C471" s="8"/>
      <c r="I471" s="8"/>
      <c r="J471" s="8"/>
    </row>
    <row r="472">
      <c r="C472" s="8"/>
      <c r="I472" s="8"/>
      <c r="J472" s="8"/>
    </row>
    <row r="473">
      <c r="C473" s="8"/>
      <c r="I473" s="8"/>
      <c r="J473" s="8"/>
    </row>
    <row r="474">
      <c r="C474" s="8"/>
      <c r="I474" s="8"/>
      <c r="J474" s="8"/>
    </row>
    <row r="475">
      <c r="C475" s="8"/>
      <c r="I475" s="8"/>
      <c r="J475" s="8"/>
    </row>
    <row r="476">
      <c r="C476" s="8"/>
      <c r="I476" s="8"/>
      <c r="J476" s="8"/>
    </row>
    <row r="477">
      <c r="C477" s="8"/>
      <c r="I477" s="8"/>
      <c r="J477" s="8"/>
    </row>
    <row r="478">
      <c r="C478" s="8"/>
      <c r="I478" s="8"/>
      <c r="J478" s="8"/>
    </row>
    <row r="479">
      <c r="C479" s="8"/>
      <c r="I479" s="8"/>
      <c r="J479" s="8"/>
    </row>
    <row r="480">
      <c r="C480" s="8"/>
      <c r="I480" s="8"/>
      <c r="J480" s="8"/>
    </row>
    <row r="481">
      <c r="C481" s="8"/>
      <c r="I481" s="8"/>
      <c r="J481" s="8"/>
    </row>
    <row r="482">
      <c r="C482" s="8"/>
      <c r="I482" s="8"/>
      <c r="J482" s="8"/>
    </row>
    <row r="483">
      <c r="C483" s="8"/>
      <c r="I483" s="8"/>
      <c r="J483" s="8"/>
    </row>
    <row r="484">
      <c r="C484" s="8"/>
      <c r="I484" s="8"/>
      <c r="J484" s="8"/>
    </row>
    <row r="485">
      <c r="C485" s="8"/>
      <c r="I485" s="8"/>
      <c r="J485" s="8"/>
    </row>
    <row r="486">
      <c r="C486" s="8"/>
      <c r="I486" s="8"/>
      <c r="J486" s="8"/>
    </row>
    <row r="487">
      <c r="C487" s="8"/>
      <c r="I487" s="8"/>
      <c r="J487" s="8"/>
    </row>
    <row r="488">
      <c r="C488" s="8"/>
      <c r="I488" s="8"/>
      <c r="J488" s="8"/>
    </row>
    <row r="489">
      <c r="C489" s="8"/>
      <c r="I489" s="8"/>
      <c r="J489" s="8"/>
    </row>
    <row r="490">
      <c r="C490" s="8"/>
      <c r="I490" s="8"/>
      <c r="J490" s="8"/>
    </row>
    <row r="491">
      <c r="C491" s="8"/>
      <c r="I491" s="8"/>
      <c r="J491" s="8"/>
    </row>
    <row r="492">
      <c r="C492" s="8"/>
      <c r="I492" s="8"/>
      <c r="J492" s="8"/>
    </row>
    <row r="493">
      <c r="C493" s="8"/>
      <c r="I493" s="8"/>
      <c r="J493" s="8"/>
    </row>
    <row r="494">
      <c r="C494" s="8"/>
      <c r="I494" s="8"/>
      <c r="J494" s="8"/>
    </row>
    <row r="495">
      <c r="C495" s="8"/>
      <c r="I495" s="8"/>
      <c r="J495" s="8"/>
    </row>
    <row r="496">
      <c r="C496" s="8"/>
      <c r="I496" s="8"/>
      <c r="J496" s="8"/>
    </row>
    <row r="497">
      <c r="C497" s="8"/>
      <c r="I497" s="8"/>
      <c r="J497" s="8"/>
    </row>
    <row r="498">
      <c r="C498" s="8"/>
      <c r="I498" s="8"/>
      <c r="J498" s="8"/>
    </row>
    <row r="499">
      <c r="C499" s="8"/>
      <c r="I499" s="8"/>
      <c r="J499" s="8"/>
    </row>
    <row r="500">
      <c r="C500" s="8"/>
      <c r="I500" s="8"/>
      <c r="J500" s="8"/>
    </row>
    <row r="501">
      <c r="C501" s="8"/>
      <c r="I501" s="8"/>
      <c r="J501" s="8"/>
    </row>
    <row r="502">
      <c r="C502" s="8"/>
      <c r="I502" s="8"/>
      <c r="J502" s="8"/>
    </row>
    <row r="503">
      <c r="C503" s="8"/>
      <c r="I503" s="8"/>
      <c r="J503" s="8"/>
    </row>
    <row r="504">
      <c r="C504" s="8"/>
      <c r="I504" s="8"/>
      <c r="J504" s="8"/>
    </row>
    <row r="505">
      <c r="C505" s="8"/>
      <c r="I505" s="8"/>
      <c r="J505" s="8"/>
    </row>
    <row r="506">
      <c r="C506" s="8"/>
      <c r="I506" s="8"/>
      <c r="J506" s="8"/>
    </row>
    <row r="507">
      <c r="C507" s="8"/>
      <c r="I507" s="8"/>
      <c r="J507" s="8"/>
    </row>
    <row r="508">
      <c r="C508" s="8"/>
      <c r="I508" s="8"/>
      <c r="J508" s="8"/>
    </row>
    <row r="509">
      <c r="C509" s="8"/>
      <c r="I509" s="8"/>
      <c r="J509" s="8"/>
    </row>
    <row r="510">
      <c r="C510" s="8"/>
      <c r="I510" s="8"/>
      <c r="J510" s="8"/>
    </row>
    <row r="511">
      <c r="C511" s="8"/>
      <c r="I511" s="8"/>
      <c r="J511" s="8"/>
    </row>
    <row r="512">
      <c r="C512" s="8"/>
      <c r="I512" s="8"/>
      <c r="J512" s="8"/>
    </row>
    <row r="513">
      <c r="C513" s="8"/>
      <c r="I513" s="8"/>
      <c r="J513" s="8"/>
    </row>
    <row r="514">
      <c r="C514" s="8"/>
      <c r="I514" s="8"/>
      <c r="J514" s="8"/>
    </row>
    <row r="515">
      <c r="C515" s="8"/>
      <c r="I515" s="8"/>
      <c r="J515" s="8"/>
    </row>
    <row r="516">
      <c r="C516" s="8"/>
      <c r="I516" s="8"/>
      <c r="J516" s="8"/>
    </row>
    <row r="517">
      <c r="C517" s="8"/>
      <c r="I517" s="8"/>
      <c r="J517" s="8"/>
    </row>
    <row r="518">
      <c r="C518" s="8"/>
      <c r="I518" s="8"/>
      <c r="J518" s="8"/>
    </row>
    <row r="519">
      <c r="C519" s="8"/>
      <c r="I519" s="8"/>
      <c r="J519" s="8"/>
    </row>
    <row r="520">
      <c r="C520" s="8"/>
      <c r="I520" s="8"/>
      <c r="J520" s="8"/>
    </row>
    <row r="521">
      <c r="C521" s="8"/>
      <c r="I521" s="8"/>
      <c r="J521" s="8"/>
    </row>
    <row r="522">
      <c r="C522" s="8"/>
      <c r="I522" s="8"/>
      <c r="J522" s="8"/>
    </row>
    <row r="523">
      <c r="C523" s="8"/>
      <c r="I523" s="8"/>
      <c r="J523" s="8"/>
    </row>
    <row r="524">
      <c r="C524" s="8"/>
      <c r="I524" s="8"/>
      <c r="J524" s="8"/>
    </row>
    <row r="525">
      <c r="C525" s="8"/>
      <c r="I525" s="8"/>
      <c r="J525" s="8"/>
    </row>
    <row r="526">
      <c r="C526" s="8"/>
      <c r="I526" s="8"/>
      <c r="J526" s="8"/>
    </row>
    <row r="527">
      <c r="C527" s="8"/>
      <c r="I527" s="8"/>
      <c r="J527" s="8"/>
    </row>
    <row r="528">
      <c r="C528" s="8"/>
      <c r="I528" s="8"/>
      <c r="J528" s="8"/>
    </row>
    <row r="529">
      <c r="C529" s="8"/>
      <c r="I529" s="8"/>
      <c r="J529" s="8"/>
    </row>
    <row r="530">
      <c r="C530" s="8"/>
      <c r="I530" s="8"/>
      <c r="J530" s="8"/>
    </row>
    <row r="531">
      <c r="C531" s="8"/>
      <c r="I531" s="8"/>
      <c r="J531" s="8"/>
    </row>
    <row r="532">
      <c r="C532" s="8"/>
      <c r="I532" s="8"/>
      <c r="J532" s="8"/>
    </row>
    <row r="533">
      <c r="C533" s="8"/>
      <c r="I533" s="8"/>
      <c r="J533" s="8"/>
    </row>
    <row r="534">
      <c r="C534" s="8"/>
      <c r="I534" s="8"/>
      <c r="J534" s="8"/>
    </row>
    <row r="535">
      <c r="C535" s="8"/>
      <c r="I535" s="8"/>
      <c r="J535" s="8"/>
    </row>
    <row r="536">
      <c r="C536" s="8"/>
      <c r="I536" s="8"/>
      <c r="J536" s="8"/>
    </row>
    <row r="537">
      <c r="C537" s="8"/>
      <c r="I537" s="8"/>
      <c r="J537" s="8"/>
    </row>
    <row r="538">
      <c r="C538" s="8"/>
      <c r="I538" s="8"/>
      <c r="J538" s="8"/>
    </row>
    <row r="539">
      <c r="C539" s="8"/>
      <c r="I539" s="8"/>
      <c r="J539" s="8"/>
    </row>
    <row r="540">
      <c r="C540" s="8"/>
      <c r="I540" s="8"/>
      <c r="J540" s="8"/>
    </row>
    <row r="541">
      <c r="C541" s="8"/>
      <c r="I541" s="8"/>
      <c r="J541" s="8"/>
    </row>
    <row r="542">
      <c r="C542" s="8"/>
      <c r="I542" s="8"/>
      <c r="J542" s="8"/>
    </row>
    <row r="543">
      <c r="C543" s="8"/>
      <c r="I543" s="8"/>
      <c r="J543" s="8"/>
    </row>
    <row r="544">
      <c r="C544" s="8"/>
      <c r="I544" s="8"/>
      <c r="J544" s="8"/>
    </row>
    <row r="545">
      <c r="C545" s="8"/>
      <c r="I545" s="8"/>
      <c r="J545" s="8"/>
    </row>
    <row r="546">
      <c r="C546" s="8"/>
      <c r="I546" s="8"/>
      <c r="J546" s="8"/>
    </row>
    <row r="547">
      <c r="C547" s="8"/>
      <c r="I547" s="8"/>
      <c r="J547" s="8"/>
    </row>
    <row r="548">
      <c r="C548" s="8"/>
      <c r="I548" s="8"/>
      <c r="J548" s="8"/>
    </row>
    <row r="549">
      <c r="C549" s="8"/>
      <c r="I549" s="8"/>
      <c r="J549" s="8"/>
    </row>
    <row r="550">
      <c r="C550" s="8"/>
      <c r="I550" s="8"/>
      <c r="J550" s="8"/>
    </row>
    <row r="551">
      <c r="C551" s="8"/>
      <c r="I551" s="8"/>
      <c r="J551" s="8"/>
    </row>
    <row r="552">
      <c r="C552" s="8"/>
      <c r="I552" s="8"/>
      <c r="J552" s="8"/>
    </row>
    <row r="553">
      <c r="C553" s="8"/>
      <c r="I553" s="8"/>
      <c r="J553" s="8"/>
    </row>
    <row r="554">
      <c r="C554" s="8"/>
      <c r="I554" s="8"/>
      <c r="J554" s="8"/>
    </row>
    <row r="555">
      <c r="C555" s="8"/>
      <c r="I555" s="8"/>
      <c r="J555" s="8"/>
    </row>
    <row r="556">
      <c r="C556" s="8"/>
      <c r="I556" s="8"/>
      <c r="J556" s="8"/>
    </row>
    <row r="557">
      <c r="C557" s="8"/>
      <c r="I557" s="8"/>
      <c r="J557" s="8"/>
    </row>
    <row r="558">
      <c r="C558" s="8"/>
      <c r="I558" s="8"/>
      <c r="J558" s="8"/>
    </row>
    <row r="559">
      <c r="C559" s="8"/>
      <c r="I559" s="8"/>
      <c r="J559" s="8"/>
    </row>
    <row r="560">
      <c r="C560" s="8"/>
      <c r="I560" s="8"/>
      <c r="J560" s="8"/>
    </row>
    <row r="561">
      <c r="C561" s="8"/>
      <c r="I561" s="8"/>
      <c r="J561" s="8"/>
    </row>
    <row r="562">
      <c r="C562" s="8"/>
      <c r="I562" s="8"/>
      <c r="J562" s="8"/>
    </row>
    <row r="563">
      <c r="C563" s="8"/>
      <c r="I563" s="8"/>
      <c r="J563" s="8"/>
    </row>
    <row r="564">
      <c r="C564" s="8"/>
      <c r="I564" s="8"/>
      <c r="J564" s="8"/>
    </row>
    <row r="565">
      <c r="C565" s="8"/>
      <c r="I565" s="8"/>
      <c r="J565" s="8"/>
    </row>
    <row r="566">
      <c r="C566" s="8"/>
      <c r="I566" s="8"/>
      <c r="J566" s="8"/>
    </row>
    <row r="567">
      <c r="C567" s="8"/>
      <c r="I567" s="8"/>
      <c r="J567" s="8"/>
    </row>
    <row r="568">
      <c r="C568" s="8"/>
      <c r="I568" s="8"/>
      <c r="J568" s="8"/>
    </row>
    <row r="569">
      <c r="C569" s="8"/>
      <c r="I569" s="8"/>
      <c r="J569" s="8"/>
    </row>
    <row r="570">
      <c r="C570" s="8"/>
      <c r="I570" s="8"/>
      <c r="J570" s="8"/>
    </row>
    <row r="571">
      <c r="C571" s="8"/>
      <c r="I571" s="8"/>
      <c r="J571" s="8"/>
    </row>
    <row r="572">
      <c r="C572" s="8"/>
      <c r="I572" s="8"/>
      <c r="J572" s="8"/>
    </row>
    <row r="573">
      <c r="C573" s="8"/>
      <c r="I573" s="8"/>
      <c r="J573" s="8"/>
    </row>
    <row r="574">
      <c r="C574" s="8"/>
      <c r="I574" s="8"/>
      <c r="J574" s="8"/>
    </row>
    <row r="575">
      <c r="C575" s="8"/>
      <c r="I575" s="8"/>
      <c r="J575" s="8"/>
    </row>
    <row r="576">
      <c r="C576" s="8"/>
      <c r="I576" s="8"/>
      <c r="J576" s="8"/>
    </row>
    <row r="577">
      <c r="C577" s="8"/>
      <c r="I577" s="8"/>
      <c r="J577" s="8"/>
    </row>
    <row r="578">
      <c r="C578" s="8"/>
      <c r="I578" s="8"/>
      <c r="J578" s="8"/>
    </row>
    <row r="579">
      <c r="C579" s="8"/>
      <c r="I579" s="8"/>
      <c r="J579" s="8"/>
    </row>
    <row r="580">
      <c r="C580" s="8"/>
      <c r="I580" s="8"/>
      <c r="J580" s="8"/>
    </row>
    <row r="581">
      <c r="C581" s="8"/>
      <c r="I581" s="8"/>
      <c r="J581" s="8"/>
    </row>
    <row r="582">
      <c r="C582" s="8"/>
      <c r="I582" s="8"/>
      <c r="J582" s="8"/>
    </row>
    <row r="583">
      <c r="C583" s="8"/>
      <c r="I583" s="8"/>
      <c r="J583" s="8"/>
    </row>
    <row r="584">
      <c r="C584" s="8"/>
      <c r="I584" s="8"/>
      <c r="J584" s="8"/>
    </row>
    <row r="585">
      <c r="C585" s="8"/>
      <c r="I585" s="8"/>
      <c r="J585" s="8"/>
    </row>
    <row r="586">
      <c r="C586" s="8"/>
      <c r="I586" s="8"/>
      <c r="J586" s="8"/>
    </row>
    <row r="587">
      <c r="C587" s="8"/>
      <c r="I587" s="8"/>
      <c r="J587" s="8"/>
    </row>
    <row r="588">
      <c r="C588" s="8"/>
      <c r="I588" s="8"/>
      <c r="J588" s="8"/>
    </row>
    <row r="589">
      <c r="C589" s="8"/>
      <c r="I589" s="8"/>
      <c r="J589" s="8"/>
    </row>
    <row r="590">
      <c r="C590" s="8"/>
      <c r="I590" s="8"/>
      <c r="J590" s="8"/>
    </row>
    <row r="591">
      <c r="C591" s="8"/>
      <c r="I591" s="8"/>
      <c r="J591" s="8"/>
    </row>
    <row r="592">
      <c r="C592" s="8"/>
      <c r="I592" s="8"/>
      <c r="J592" s="8"/>
    </row>
    <row r="593">
      <c r="C593" s="8"/>
      <c r="I593" s="8"/>
      <c r="J593" s="8"/>
    </row>
    <row r="594">
      <c r="C594" s="8"/>
      <c r="I594" s="8"/>
      <c r="J594" s="8"/>
    </row>
    <row r="595">
      <c r="C595" s="8"/>
      <c r="I595" s="8"/>
      <c r="J595" s="8"/>
    </row>
    <row r="596">
      <c r="C596" s="8"/>
      <c r="I596" s="8"/>
      <c r="J596" s="8"/>
    </row>
    <row r="597">
      <c r="C597" s="8"/>
      <c r="I597" s="8"/>
      <c r="J597" s="8"/>
    </row>
    <row r="598">
      <c r="C598" s="8"/>
      <c r="I598" s="8"/>
      <c r="J598" s="8"/>
    </row>
    <row r="599">
      <c r="C599" s="8"/>
      <c r="I599" s="8"/>
      <c r="J599" s="8"/>
    </row>
    <row r="600">
      <c r="C600" s="8"/>
      <c r="I600" s="8"/>
      <c r="J600" s="8"/>
    </row>
    <row r="601">
      <c r="C601" s="8"/>
      <c r="I601" s="8"/>
      <c r="J601" s="8"/>
    </row>
    <row r="602">
      <c r="C602" s="8"/>
      <c r="I602" s="8"/>
      <c r="J602" s="8"/>
    </row>
    <row r="603">
      <c r="C603" s="8"/>
      <c r="I603" s="8"/>
      <c r="J603" s="8"/>
    </row>
    <row r="604">
      <c r="C604" s="8"/>
      <c r="I604" s="8"/>
      <c r="J604" s="8"/>
    </row>
    <row r="605">
      <c r="C605" s="8"/>
      <c r="I605" s="8"/>
      <c r="J605" s="8"/>
    </row>
    <row r="606">
      <c r="C606" s="8"/>
      <c r="I606" s="8"/>
      <c r="J606" s="8"/>
    </row>
    <row r="607">
      <c r="C607" s="8"/>
      <c r="I607" s="8"/>
      <c r="J607" s="8"/>
    </row>
    <row r="608">
      <c r="C608" s="8"/>
      <c r="I608" s="8"/>
      <c r="J608" s="8"/>
    </row>
    <row r="609">
      <c r="C609" s="8"/>
      <c r="I609" s="8"/>
      <c r="J609" s="8"/>
    </row>
    <row r="610">
      <c r="C610" s="8"/>
      <c r="I610" s="8"/>
      <c r="J610" s="8"/>
    </row>
    <row r="611">
      <c r="C611" s="8"/>
      <c r="I611" s="8"/>
      <c r="J611" s="8"/>
    </row>
    <row r="612">
      <c r="C612" s="8"/>
      <c r="I612" s="8"/>
      <c r="J612" s="8"/>
    </row>
    <row r="613">
      <c r="C613" s="8"/>
      <c r="I613" s="8"/>
      <c r="J613" s="8"/>
    </row>
    <row r="614">
      <c r="C614" s="8"/>
      <c r="I614" s="8"/>
      <c r="J614" s="8"/>
    </row>
    <row r="615">
      <c r="C615" s="8"/>
      <c r="I615" s="8"/>
      <c r="J615" s="8"/>
    </row>
    <row r="616">
      <c r="C616" s="8"/>
      <c r="I616" s="8"/>
      <c r="J616" s="8"/>
    </row>
    <row r="617">
      <c r="C617" s="8"/>
      <c r="I617" s="8"/>
      <c r="J617" s="8"/>
    </row>
    <row r="618">
      <c r="C618" s="8"/>
      <c r="I618" s="8"/>
      <c r="J618" s="8"/>
    </row>
    <row r="619">
      <c r="C619" s="8"/>
      <c r="I619" s="8"/>
      <c r="J619" s="8"/>
    </row>
    <row r="620">
      <c r="C620" s="8"/>
      <c r="I620" s="8"/>
      <c r="J620" s="8"/>
    </row>
    <row r="621">
      <c r="C621" s="8"/>
      <c r="I621" s="8"/>
      <c r="J621" s="8"/>
    </row>
    <row r="622">
      <c r="C622" s="8"/>
      <c r="I622" s="8"/>
      <c r="J622" s="8"/>
    </row>
    <row r="623">
      <c r="C623" s="8"/>
      <c r="I623" s="8"/>
      <c r="J623" s="8"/>
    </row>
    <row r="624">
      <c r="C624" s="8"/>
      <c r="I624" s="8"/>
      <c r="J624" s="8"/>
    </row>
    <row r="625">
      <c r="C625" s="8"/>
      <c r="I625" s="8"/>
      <c r="J625" s="8"/>
    </row>
    <row r="626">
      <c r="C626" s="8"/>
      <c r="I626" s="8"/>
      <c r="J626" s="8"/>
    </row>
    <row r="627">
      <c r="C627" s="8"/>
      <c r="I627" s="8"/>
      <c r="J627" s="8"/>
    </row>
    <row r="628">
      <c r="C628" s="8"/>
      <c r="I628" s="8"/>
      <c r="J628" s="8"/>
    </row>
    <row r="629">
      <c r="C629" s="8"/>
      <c r="I629" s="8"/>
      <c r="J629" s="8"/>
    </row>
    <row r="630">
      <c r="C630" s="8"/>
      <c r="I630" s="8"/>
      <c r="J630" s="8"/>
    </row>
    <row r="631">
      <c r="C631" s="8"/>
      <c r="I631" s="8"/>
      <c r="J631" s="8"/>
    </row>
    <row r="632">
      <c r="C632" s="8"/>
      <c r="I632" s="8"/>
      <c r="J632" s="8"/>
    </row>
    <row r="633">
      <c r="C633" s="8"/>
      <c r="I633" s="8"/>
      <c r="J633" s="8"/>
    </row>
    <row r="634">
      <c r="C634" s="8"/>
      <c r="I634" s="8"/>
      <c r="J634" s="8"/>
    </row>
    <row r="635">
      <c r="C635" s="8"/>
      <c r="I635" s="8"/>
      <c r="J635" s="8"/>
    </row>
    <row r="636">
      <c r="C636" s="8"/>
      <c r="I636" s="8"/>
      <c r="J636" s="8"/>
    </row>
    <row r="637">
      <c r="C637" s="8"/>
      <c r="I637" s="8"/>
      <c r="J637" s="8"/>
    </row>
    <row r="638">
      <c r="C638" s="8"/>
      <c r="I638" s="8"/>
      <c r="J638" s="8"/>
    </row>
    <row r="639">
      <c r="C639" s="8"/>
      <c r="I639" s="8"/>
      <c r="J639" s="8"/>
    </row>
    <row r="640">
      <c r="C640" s="8"/>
      <c r="I640" s="8"/>
      <c r="J640" s="8"/>
    </row>
    <row r="641">
      <c r="C641" s="8"/>
      <c r="I641" s="8"/>
      <c r="J641" s="8"/>
    </row>
    <row r="642">
      <c r="C642" s="8"/>
      <c r="I642" s="8"/>
      <c r="J642" s="8"/>
    </row>
    <row r="643">
      <c r="C643" s="8"/>
      <c r="I643" s="8"/>
      <c r="J643" s="8"/>
    </row>
    <row r="644">
      <c r="C644" s="8"/>
      <c r="I644" s="8"/>
      <c r="J644" s="8"/>
    </row>
    <row r="645">
      <c r="C645" s="8"/>
      <c r="I645" s="8"/>
      <c r="J645" s="8"/>
    </row>
    <row r="646">
      <c r="C646" s="8"/>
      <c r="I646" s="8"/>
      <c r="J646" s="8"/>
    </row>
    <row r="647">
      <c r="C647" s="8"/>
      <c r="I647" s="8"/>
      <c r="J647" s="8"/>
    </row>
    <row r="648">
      <c r="C648" s="8"/>
      <c r="I648" s="8"/>
      <c r="J648" s="8"/>
    </row>
    <row r="649">
      <c r="C649" s="8"/>
      <c r="I649" s="8"/>
      <c r="J649" s="8"/>
    </row>
    <row r="650">
      <c r="C650" s="8"/>
      <c r="I650" s="8"/>
      <c r="J650" s="8"/>
    </row>
    <row r="651">
      <c r="C651" s="8"/>
      <c r="I651" s="8"/>
      <c r="J651" s="8"/>
    </row>
    <row r="652">
      <c r="C652" s="8"/>
      <c r="I652" s="8"/>
      <c r="J652" s="8"/>
    </row>
    <row r="653">
      <c r="C653" s="8"/>
      <c r="I653" s="8"/>
      <c r="J653" s="8"/>
    </row>
    <row r="654">
      <c r="C654" s="8"/>
      <c r="I654" s="8"/>
      <c r="J654" s="8"/>
    </row>
    <row r="655">
      <c r="C655" s="8"/>
      <c r="I655" s="8"/>
      <c r="J655" s="8"/>
    </row>
    <row r="656">
      <c r="C656" s="8"/>
      <c r="I656" s="8"/>
      <c r="J656" s="8"/>
    </row>
    <row r="657">
      <c r="C657" s="8"/>
      <c r="I657" s="8"/>
      <c r="J657" s="8"/>
    </row>
    <row r="658">
      <c r="C658" s="8"/>
      <c r="I658" s="8"/>
      <c r="J658" s="8"/>
    </row>
    <row r="659">
      <c r="C659" s="8"/>
      <c r="I659" s="8"/>
      <c r="J659" s="8"/>
    </row>
    <row r="660">
      <c r="C660" s="8"/>
      <c r="I660" s="8"/>
      <c r="J660" s="8"/>
    </row>
    <row r="661">
      <c r="C661" s="8"/>
      <c r="I661" s="8"/>
      <c r="J661" s="8"/>
    </row>
    <row r="662">
      <c r="C662" s="8"/>
      <c r="I662" s="8"/>
      <c r="J662" s="8"/>
    </row>
    <row r="663">
      <c r="C663" s="8"/>
      <c r="I663" s="8"/>
      <c r="J663" s="8"/>
    </row>
    <row r="664">
      <c r="C664" s="8"/>
      <c r="I664" s="8"/>
      <c r="J664" s="8"/>
    </row>
    <row r="665">
      <c r="C665" s="8"/>
      <c r="I665" s="8"/>
      <c r="J665" s="8"/>
    </row>
    <row r="666">
      <c r="C666" s="8"/>
      <c r="I666" s="8"/>
      <c r="J666" s="8"/>
    </row>
    <row r="667">
      <c r="C667" s="8"/>
      <c r="I667" s="8"/>
      <c r="J667" s="8"/>
    </row>
    <row r="668">
      <c r="C668" s="8"/>
      <c r="I668" s="8"/>
      <c r="J668" s="8"/>
    </row>
    <row r="669">
      <c r="C669" s="8"/>
      <c r="I669" s="8"/>
      <c r="J669" s="8"/>
    </row>
    <row r="670">
      <c r="C670" s="8"/>
      <c r="I670" s="8"/>
      <c r="J670" s="8"/>
    </row>
    <row r="671">
      <c r="C671" s="8"/>
      <c r="I671" s="8"/>
      <c r="J671" s="8"/>
    </row>
    <row r="672">
      <c r="C672" s="8"/>
      <c r="I672" s="8"/>
      <c r="J672" s="8"/>
    </row>
    <row r="673">
      <c r="C673" s="8"/>
      <c r="I673" s="8"/>
      <c r="J673" s="8"/>
    </row>
    <row r="674">
      <c r="C674" s="8"/>
      <c r="I674" s="8"/>
      <c r="J674" s="8"/>
    </row>
    <row r="675">
      <c r="C675" s="8"/>
      <c r="I675" s="8"/>
      <c r="J675" s="8"/>
    </row>
    <row r="676">
      <c r="C676" s="8"/>
      <c r="I676" s="8"/>
      <c r="J676" s="8"/>
    </row>
    <row r="677">
      <c r="C677" s="8"/>
      <c r="I677" s="8"/>
      <c r="J677" s="8"/>
    </row>
    <row r="678">
      <c r="C678" s="8"/>
      <c r="I678" s="8"/>
      <c r="J678" s="8"/>
    </row>
    <row r="679">
      <c r="C679" s="8"/>
      <c r="I679" s="8"/>
      <c r="J679" s="8"/>
    </row>
    <row r="680">
      <c r="C680" s="8"/>
      <c r="I680" s="8"/>
      <c r="J680" s="8"/>
    </row>
    <row r="681">
      <c r="C681" s="8"/>
      <c r="I681" s="8"/>
      <c r="J681" s="8"/>
    </row>
    <row r="682">
      <c r="C682" s="8"/>
      <c r="I682" s="8"/>
      <c r="J682" s="8"/>
    </row>
    <row r="683">
      <c r="C683" s="8"/>
      <c r="I683" s="8"/>
      <c r="J683" s="8"/>
    </row>
    <row r="684">
      <c r="C684" s="8"/>
      <c r="I684" s="8"/>
      <c r="J684" s="8"/>
    </row>
    <row r="685">
      <c r="C685" s="8"/>
      <c r="I685" s="8"/>
      <c r="J685" s="8"/>
    </row>
    <row r="686">
      <c r="C686" s="8"/>
      <c r="I686" s="8"/>
      <c r="J686" s="8"/>
    </row>
    <row r="687">
      <c r="C687" s="8"/>
      <c r="I687" s="8"/>
      <c r="J687" s="8"/>
    </row>
    <row r="688">
      <c r="C688" s="8"/>
      <c r="I688" s="8"/>
      <c r="J688" s="8"/>
    </row>
    <row r="689">
      <c r="C689" s="8"/>
      <c r="I689" s="8"/>
      <c r="J689" s="8"/>
    </row>
    <row r="690">
      <c r="C690" s="8"/>
      <c r="I690" s="8"/>
      <c r="J690" s="8"/>
    </row>
    <row r="691">
      <c r="C691" s="8"/>
      <c r="I691" s="8"/>
      <c r="J691" s="8"/>
    </row>
    <row r="692">
      <c r="C692" s="8"/>
      <c r="I692" s="8"/>
      <c r="J692" s="8"/>
    </row>
    <row r="693">
      <c r="C693" s="8"/>
      <c r="I693" s="8"/>
      <c r="J693" s="8"/>
    </row>
    <row r="694">
      <c r="C694" s="8"/>
      <c r="I694" s="8"/>
      <c r="J694" s="8"/>
    </row>
    <row r="695">
      <c r="C695" s="8"/>
      <c r="I695" s="8"/>
      <c r="J695" s="8"/>
    </row>
    <row r="696">
      <c r="C696" s="8"/>
      <c r="I696" s="8"/>
      <c r="J696" s="8"/>
    </row>
    <row r="697">
      <c r="C697" s="8"/>
      <c r="I697" s="8"/>
      <c r="J697" s="8"/>
    </row>
    <row r="698">
      <c r="C698" s="8"/>
      <c r="I698" s="8"/>
      <c r="J698" s="8"/>
    </row>
    <row r="699">
      <c r="C699" s="8"/>
      <c r="I699" s="8"/>
      <c r="J699" s="8"/>
    </row>
    <row r="700">
      <c r="C700" s="8"/>
      <c r="I700" s="8"/>
      <c r="J700" s="8"/>
    </row>
    <row r="701">
      <c r="C701" s="8"/>
      <c r="I701" s="8"/>
      <c r="J701" s="8"/>
    </row>
    <row r="702">
      <c r="C702" s="8"/>
      <c r="I702" s="8"/>
      <c r="J702" s="8"/>
    </row>
    <row r="703">
      <c r="C703" s="8"/>
      <c r="I703" s="8"/>
      <c r="J703" s="8"/>
    </row>
    <row r="704">
      <c r="C704" s="8"/>
      <c r="I704" s="8"/>
      <c r="J704" s="8"/>
    </row>
    <row r="705">
      <c r="C705" s="8"/>
      <c r="I705" s="8"/>
      <c r="J705" s="8"/>
    </row>
    <row r="706">
      <c r="C706" s="8"/>
      <c r="I706" s="8"/>
      <c r="J706" s="8"/>
    </row>
    <row r="707">
      <c r="C707" s="8"/>
      <c r="I707" s="8"/>
      <c r="J707" s="8"/>
    </row>
    <row r="708">
      <c r="C708" s="8"/>
      <c r="I708" s="8"/>
      <c r="J708" s="8"/>
    </row>
    <row r="709">
      <c r="C709" s="8"/>
      <c r="I709" s="8"/>
      <c r="J709" s="8"/>
    </row>
    <row r="710">
      <c r="C710" s="8"/>
      <c r="I710" s="8"/>
      <c r="J710" s="8"/>
    </row>
    <row r="711">
      <c r="C711" s="8"/>
      <c r="I711" s="8"/>
      <c r="J711" s="8"/>
    </row>
    <row r="712">
      <c r="C712" s="8"/>
      <c r="I712" s="8"/>
      <c r="J712" s="8"/>
    </row>
    <row r="713">
      <c r="C713" s="8"/>
      <c r="I713" s="8"/>
      <c r="J713" s="8"/>
    </row>
    <row r="714">
      <c r="C714" s="8"/>
      <c r="I714" s="8"/>
      <c r="J714" s="8"/>
    </row>
    <row r="715">
      <c r="C715" s="8"/>
      <c r="I715" s="8"/>
      <c r="J715" s="8"/>
    </row>
    <row r="716">
      <c r="C716" s="8"/>
      <c r="I716" s="8"/>
      <c r="J716" s="8"/>
    </row>
    <row r="717">
      <c r="C717" s="8"/>
      <c r="I717" s="8"/>
      <c r="J717" s="8"/>
    </row>
    <row r="718">
      <c r="C718" s="8"/>
      <c r="I718" s="8"/>
      <c r="J718" s="8"/>
    </row>
    <row r="719">
      <c r="C719" s="8"/>
      <c r="I719" s="8"/>
      <c r="J719" s="8"/>
    </row>
    <row r="720">
      <c r="C720" s="8"/>
      <c r="I720" s="8"/>
      <c r="J720" s="8"/>
    </row>
    <row r="721">
      <c r="C721" s="8"/>
      <c r="I721" s="8"/>
      <c r="J721" s="8"/>
    </row>
    <row r="722">
      <c r="C722" s="8"/>
      <c r="I722" s="8"/>
      <c r="J722" s="8"/>
    </row>
    <row r="723">
      <c r="C723" s="8"/>
      <c r="I723" s="8"/>
      <c r="J723" s="8"/>
    </row>
    <row r="724">
      <c r="C724" s="8"/>
      <c r="I724" s="8"/>
      <c r="J724" s="8"/>
    </row>
    <row r="725">
      <c r="C725" s="8"/>
      <c r="I725" s="8"/>
      <c r="J725" s="8"/>
    </row>
    <row r="726">
      <c r="C726" s="8"/>
      <c r="I726" s="8"/>
      <c r="J726" s="8"/>
    </row>
    <row r="727">
      <c r="C727" s="8"/>
      <c r="I727" s="8"/>
      <c r="J727" s="8"/>
    </row>
    <row r="728">
      <c r="C728" s="8"/>
      <c r="I728" s="8"/>
      <c r="J728" s="8"/>
    </row>
    <row r="729">
      <c r="C729" s="8"/>
      <c r="I729" s="8"/>
      <c r="J729" s="8"/>
    </row>
    <row r="730">
      <c r="C730" s="8"/>
      <c r="I730" s="8"/>
      <c r="J730" s="8"/>
    </row>
    <row r="731">
      <c r="C731" s="8"/>
      <c r="I731" s="8"/>
      <c r="J731" s="8"/>
    </row>
    <row r="732">
      <c r="C732" s="8"/>
      <c r="I732" s="8"/>
      <c r="J732" s="8"/>
    </row>
    <row r="733">
      <c r="C733" s="8"/>
      <c r="I733" s="8"/>
      <c r="J733" s="8"/>
    </row>
    <row r="734">
      <c r="C734" s="8"/>
      <c r="I734" s="8"/>
      <c r="J734" s="8"/>
    </row>
    <row r="735">
      <c r="C735" s="8"/>
      <c r="I735" s="8"/>
      <c r="J735" s="8"/>
    </row>
    <row r="736">
      <c r="C736" s="8"/>
      <c r="I736" s="8"/>
      <c r="J736" s="8"/>
    </row>
    <row r="737">
      <c r="C737" s="8"/>
      <c r="I737" s="8"/>
      <c r="J737" s="8"/>
    </row>
    <row r="738">
      <c r="C738" s="8"/>
      <c r="I738" s="8"/>
      <c r="J738" s="8"/>
    </row>
    <row r="739">
      <c r="C739" s="8"/>
      <c r="I739" s="8"/>
      <c r="J739" s="8"/>
    </row>
    <row r="740">
      <c r="C740" s="8"/>
      <c r="I740" s="8"/>
      <c r="J740" s="8"/>
    </row>
    <row r="741">
      <c r="C741" s="8"/>
      <c r="I741" s="8"/>
      <c r="J741" s="8"/>
    </row>
    <row r="742">
      <c r="C742" s="8"/>
      <c r="I742" s="8"/>
      <c r="J742" s="8"/>
    </row>
    <row r="743">
      <c r="C743" s="8"/>
      <c r="I743" s="8"/>
      <c r="J743" s="8"/>
    </row>
    <row r="744">
      <c r="C744" s="8"/>
      <c r="I744" s="8"/>
      <c r="J744" s="8"/>
    </row>
    <row r="745">
      <c r="C745" s="8"/>
      <c r="I745" s="8"/>
      <c r="J745" s="8"/>
    </row>
    <row r="746">
      <c r="C746" s="8"/>
      <c r="I746" s="8"/>
      <c r="J746" s="8"/>
    </row>
    <row r="747">
      <c r="C747" s="8"/>
      <c r="I747" s="8"/>
      <c r="J747" s="8"/>
    </row>
    <row r="748">
      <c r="C748" s="8"/>
      <c r="I748" s="8"/>
      <c r="J748" s="8"/>
    </row>
    <row r="749">
      <c r="C749" s="8"/>
      <c r="I749" s="8"/>
      <c r="J749" s="8"/>
    </row>
    <row r="750">
      <c r="C750" s="8"/>
      <c r="I750" s="8"/>
      <c r="J750" s="8"/>
    </row>
    <row r="751">
      <c r="C751" s="8"/>
      <c r="I751" s="8"/>
      <c r="J751" s="8"/>
    </row>
    <row r="752">
      <c r="C752" s="8"/>
      <c r="I752" s="8"/>
      <c r="J752" s="8"/>
    </row>
    <row r="753">
      <c r="C753" s="8"/>
      <c r="I753" s="8"/>
      <c r="J753" s="8"/>
    </row>
    <row r="754">
      <c r="C754" s="8"/>
      <c r="I754" s="8"/>
      <c r="J754" s="8"/>
    </row>
    <row r="755">
      <c r="C755" s="8"/>
      <c r="I755" s="8"/>
      <c r="J755" s="8"/>
    </row>
    <row r="756">
      <c r="C756" s="8"/>
      <c r="I756" s="8"/>
      <c r="J756" s="8"/>
    </row>
    <row r="757">
      <c r="C757" s="8"/>
      <c r="I757" s="8"/>
      <c r="J757" s="8"/>
    </row>
    <row r="758">
      <c r="C758" s="8"/>
      <c r="I758" s="8"/>
      <c r="J758" s="8"/>
    </row>
    <row r="759">
      <c r="C759" s="8"/>
      <c r="I759" s="8"/>
      <c r="J759" s="8"/>
    </row>
    <row r="760">
      <c r="C760" s="8"/>
      <c r="I760" s="8"/>
      <c r="J760" s="8"/>
    </row>
    <row r="761">
      <c r="C761" s="8"/>
      <c r="I761" s="8"/>
      <c r="J761" s="8"/>
    </row>
    <row r="762">
      <c r="C762" s="8"/>
      <c r="I762" s="8"/>
      <c r="J762" s="8"/>
    </row>
    <row r="763">
      <c r="C763" s="8"/>
      <c r="I763" s="8"/>
      <c r="J763" s="8"/>
    </row>
    <row r="764">
      <c r="C764" s="8"/>
      <c r="I764" s="8"/>
      <c r="J764" s="8"/>
    </row>
    <row r="765">
      <c r="C765" s="8"/>
      <c r="I765" s="8"/>
      <c r="J765" s="8"/>
    </row>
    <row r="766">
      <c r="C766" s="8"/>
      <c r="I766" s="8"/>
      <c r="J766" s="8"/>
    </row>
    <row r="767">
      <c r="C767" s="8"/>
      <c r="I767" s="8"/>
      <c r="J767" s="8"/>
    </row>
    <row r="768">
      <c r="C768" s="8"/>
      <c r="I768" s="8"/>
      <c r="J768" s="8"/>
    </row>
    <row r="769">
      <c r="C769" s="8"/>
      <c r="I769" s="8"/>
      <c r="J769" s="8"/>
    </row>
    <row r="770">
      <c r="C770" s="8"/>
      <c r="I770" s="8"/>
      <c r="J770" s="8"/>
    </row>
    <row r="771">
      <c r="C771" s="8"/>
      <c r="I771" s="8"/>
      <c r="J771" s="8"/>
    </row>
    <row r="772">
      <c r="C772" s="8"/>
      <c r="I772" s="8"/>
      <c r="J772" s="8"/>
    </row>
    <row r="773">
      <c r="C773" s="8"/>
      <c r="I773" s="8"/>
      <c r="J773" s="8"/>
    </row>
    <row r="774">
      <c r="C774" s="8"/>
      <c r="I774" s="8"/>
      <c r="J774" s="8"/>
    </row>
    <row r="775">
      <c r="C775" s="8"/>
      <c r="I775" s="8"/>
      <c r="J775" s="8"/>
    </row>
    <row r="776">
      <c r="C776" s="8"/>
      <c r="I776" s="8"/>
      <c r="J776" s="8"/>
    </row>
    <row r="777">
      <c r="C777" s="8"/>
      <c r="I777" s="8"/>
      <c r="J777" s="8"/>
    </row>
    <row r="778">
      <c r="C778" s="8"/>
      <c r="I778" s="8"/>
      <c r="J778" s="8"/>
    </row>
    <row r="779">
      <c r="C779" s="8"/>
      <c r="I779" s="8"/>
      <c r="J779" s="8"/>
    </row>
    <row r="780">
      <c r="C780" s="8"/>
      <c r="I780" s="8"/>
      <c r="J780" s="8"/>
    </row>
    <row r="781">
      <c r="C781" s="8"/>
      <c r="I781" s="8"/>
      <c r="J781" s="8"/>
    </row>
    <row r="782">
      <c r="C782" s="8"/>
      <c r="I782" s="8"/>
      <c r="J782" s="8"/>
    </row>
    <row r="783">
      <c r="C783" s="8"/>
      <c r="I783" s="8"/>
      <c r="J783" s="8"/>
    </row>
    <row r="784">
      <c r="C784" s="8"/>
      <c r="I784" s="8"/>
      <c r="J784" s="8"/>
    </row>
    <row r="785">
      <c r="C785" s="8"/>
      <c r="I785" s="8"/>
      <c r="J785" s="8"/>
    </row>
    <row r="786">
      <c r="C786" s="8"/>
      <c r="I786" s="8"/>
      <c r="J786" s="8"/>
    </row>
    <row r="787">
      <c r="C787" s="8"/>
      <c r="I787" s="8"/>
      <c r="J787" s="8"/>
    </row>
    <row r="788">
      <c r="C788" s="8"/>
      <c r="I788" s="8"/>
      <c r="J788" s="8"/>
    </row>
    <row r="789">
      <c r="C789" s="8"/>
      <c r="I789" s="8"/>
      <c r="J789" s="8"/>
    </row>
    <row r="790">
      <c r="C790" s="8"/>
      <c r="I790" s="8"/>
      <c r="J790" s="8"/>
    </row>
    <row r="791">
      <c r="C791" s="8"/>
      <c r="I791" s="8"/>
      <c r="J791" s="8"/>
    </row>
    <row r="792">
      <c r="C792" s="8"/>
      <c r="I792" s="8"/>
      <c r="J792" s="8"/>
    </row>
    <row r="793">
      <c r="C793" s="8"/>
      <c r="I793" s="8"/>
      <c r="J793" s="8"/>
    </row>
    <row r="794">
      <c r="C794" s="8"/>
      <c r="I794" s="8"/>
      <c r="J794" s="8"/>
    </row>
    <row r="795">
      <c r="C795" s="8"/>
      <c r="I795" s="8"/>
      <c r="J795" s="8"/>
    </row>
    <row r="796">
      <c r="C796" s="8"/>
      <c r="I796" s="8"/>
      <c r="J796" s="8"/>
    </row>
    <row r="797">
      <c r="C797" s="8"/>
      <c r="I797" s="8"/>
      <c r="J797" s="8"/>
    </row>
    <row r="798">
      <c r="C798" s="8"/>
      <c r="I798" s="8"/>
      <c r="J798" s="8"/>
    </row>
    <row r="799">
      <c r="C799" s="8"/>
      <c r="I799" s="8"/>
      <c r="J799" s="8"/>
    </row>
    <row r="800">
      <c r="C800" s="8"/>
      <c r="I800" s="8"/>
      <c r="J800" s="8"/>
    </row>
    <row r="801">
      <c r="C801" s="8"/>
      <c r="I801" s="8"/>
      <c r="J801" s="8"/>
    </row>
    <row r="802">
      <c r="C802" s="8"/>
      <c r="I802" s="8"/>
      <c r="J802" s="8"/>
    </row>
    <row r="803">
      <c r="C803" s="8"/>
      <c r="I803" s="8"/>
      <c r="J803" s="8"/>
    </row>
    <row r="804">
      <c r="C804" s="8"/>
      <c r="I804" s="8"/>
      <c r="J804" s="8"/>
    </row>
    <row r="805">
      <c r="C805" s="8"/>
      <c r="I805" s="8"/>
      <c r="J805" s="8"/>
    </row>
    <row r="806">
      <c r="C806" s="8"/>
      <c r="I806" s="8"/>
      <c r="J806" s="8"/>
    </row>
    <row r="807">
      <c r="C807" s="8"/>
      <c r="I807" s="8"/>
      <c r="J807" s="8"/>
    </row>
    <row r="808">
      <c r="C808" s="8"/>
      <c r="I808" s="8"/>
      <c r="J808" s="8"/>
    </row>
    <row r="809">
      <c r="C809" s="8"/>
      <c r="I809" s="8"/>
      <c r="J809" s="8"/>
    </row>
    <row r="810">
      <c r="C810" s="8"/>
      <c r="I810" s="8"/>
      <c r="J810" s="8"/>
    </row>
    <row r="811">
      <c r="C811" s="8"/>
      <c r="I811" s="8"/>
      <c r="J811" s="8"/>
    </row>
    <row r="812">
      <c r="C812" s="8"/>
      <c r="I812" s="8"/>
      <c r="J812" s="8"/>
    </row>
    <row r="813">
      <c r="C813" s="8"/>
      <c r="I813" s="8"/>
      <c r="J813" s="8"/>
    </row>
    <row r="814">
      <c r="C814" s="8"/>
      <c r="I814" s="8"/>
      <c r="J814" s="8"/>
    </row>
    <row r="815">
      <c r="C815" s="8"/>
      <c r="I815" s="8"/>
      <c r="J815" s="8"/>
    </row>
    <row r="816">
      <c r="C816" s="8"/>
      <c r="I816" s="8"/>
      <c r="J816" s="8"/>
    </row>
    <row r="817">
      <c r="C817" s="8"/>
      <c r="I817" s="8"/>
      <c r="J817" s="8"/>
    </row>
    <row r="818">
      <c r="C818" s="8"/>
      <c r="I818" s="8"/>
      <c r="J818" s="8"/>
    </row>
    <row r="819">
      <c r="C819" s="8"/>
      <c r="I819" s="8"/>
      <c r="J819" s="8"/>
    </row>
    <row r="820">
      <c r="C820" s="8"/>
      <c r="I820" s="8"/>
      <c r="J820" s="8"/>
    </row>
    <row r="821">
      <c r="C821" s="8"/>
      <c r="I821" s="8"/>
      <c r="J821" s="8"/>
    </row>
    <row r="822">
      <c r="C822" s="8"/>
      <c r="I822" s="8"/>
      <c r="J822" s="8"/>
    </row>
    <row r="823">
      <c r="C823" s="8"/>
      <c r="I823" s="8"/>
      <c r="J823" s="8"/>
    </row>
    <row r="824">
      <c r="C824" s="8"/>
      <c r="I824" s="8"/>
      <c r="J824" s="8"/>
    </row>
    <row r="825">
      <c r="C825" s="8"/>
      <c r="I825" s="8"/>
      <c r="J825" s="8"/>
    </row>
    <row r="826">
      <c r="C826" s="8"/>
      <c r="I826" s="8"/>
      <c r="J826" s="8"/>
    </row>
    <row r="827">
      <c r="C827" s="8"/>
      <c r="I827" s="8"/>
      <c r="J827" s="8"/>
    </row>
    <row r="828">
      <c r="C828" s="8"/>
      <c r="I828" s="8"/>
      <c r="J828" s="8"/>
    </row>
    <row r="829">
      <c r="C829" s="8"/>
      <c r="I829" s="8"/>
      <c r="J829" s="8"/>
    </row>
    <row r="830">
      <c r="C830" s="8"/>
      <c r="I830" s="8"/>
      <c r="J830" s="8"/>
    </row>
    <row r="831">
      <c r="C831" s="8"/>
      <c r="I831" s="8"/>
      <c r="J831" s="8"/>
    </row>
    <row r="832">
      <c r="C832" s="8"/>
      <c r="I832" s="8"/>
      <c r="J832" s="8"/>
    </row>
    <row r="833">
      <c r="C833" s="8"/>
      <c r="I833" s="8"/>
      <c r="J833" s="8"/>
    </row>
    <row r="834">
      <c r="C834" s="8"/>
      <c r="I834" s="8"/>
      <c r="J834" s="8"/>
    </row>
    <row r="835">
      <c r="C835" s="8"/>
      <c r="I835" s="8"/>
      <c r="J835" s="8"/>
    </row>
    <row r="836">
      <c r="C836" s="8"/>
      <c r="I836" s="8"/>
      <c r="J836" s="8"/>
    </row>
    <row r="837">
      <c r="C837" s="8"/>
      <c r="I837" s="8"/>
      <c r="J837" s="8"/>
    </row>
    <row r="838">
      <c r="C838" s="8"/>
      <c r="I838" s="8"/>
      <c r="J838" s="8"/>
    </row>
    <row r="839">
      <c r="C839" s="8"/>
      <c r="I839" s="8"/>
      <c r="J839" s="8"/>
    </row>
    <row r="840">
      <c r="C840" s="8"/>
      <c r="I840" s="8"/>
      <c r="J840" s="8"/>
    </row>
    <row r="841">
      <c r="C841" s="8"/>
      <c r="I841" s="8"/>
      <c r="J841" s="8"/>
    </row>
    <row r="842">
      <c r="C842" s="8"/>
      <c r="I842" s="8"/>
      <c r="J842" s="8"/>
    </row>
    <row r="843">
      <c r="C843" s="8"/>
      <c r="I843" s="8"/>
      <c r="J843" s="8"/>
    </row>
    <row r="844">
      <c r="C844" s="8"/>
      <c r="I844" s="8"/>
      <c r="J844" s="8"/>
    </row>
    <row r="845">
      <c r="C845" s="8"/>
      <c r="I845" s="8"/>
      <c r="J845" s="8"/>
    </row>
    <row r="846">
      <c r="C846" s="8"/>
      <c r="I846" s="8"/>
      <c r="J846" s="8"/>
    </row>
    <row r="847">
      <c r="C847" s="8"/>
      <c r="I847" s="8"/>
      <c r="J847" s="8"/>
    </row>
    <row r="848">
      <c r="C848" s="8"/>
      <c r="I848" s="8"/>
      <c r="J848" s="8"/>
    </row>
    <row r="849">
      <c r="C849" s="8"/>
      <c r="I849" s="8"/>
      <c r="J849" s="8"/>
    </row>
    <row r="850">
      <c r="C850" s="8"/>
      <c r="I850" s="8"/>
      <c r="J850" s="8"/>
    </row>
    <row r="851">
      <c r="C851" s="8"/>
      <c r="I851" s="8"/>
      <c r="J851" s="8"/>
    </row>
    <row r="852">
      <c r="C852" s="8"/>
      <c r="I852" s="8"/>
      <c r="J852" s="8"/>
    </row>
    <row r="853">
      <c r="C853" s="8"/>
      <c r="I853" s="8"/>
      <c r="J853" s="8"/>
    </row>
    <row r="854">
      <c r="C854" s="8"/>
      <c r="I854" s="8"/>
      <c r="J854" s="8"/>
    </row>
    <row r="855">
      <c r="C855" s="8"/>
      <c r="I855" s="8"/>
      <c r="J855" s="8"/>
    </row>
    <row r="856">
      <c r="C856" s="8"/>
      <c r="I856" s="8"/>
      <c r="J856" s="8"/>
    </row>
    <row r="857">
      <c r="C857" s="8"/>
      <c r="I857" s="8"/>
      <c r="J857" s="8"/>
    </row>
    <row r="858">
      <c r="C858" s="8"/>
      <c r="I858" s="8"/>
      <c r="J858" s="8"/>
    </row>
    <row r="859">
      <c r="C859" s="8"/>
      <c r="I859" s="8"/>
      <c r="J859" s="8"/>
    </row>
    <row r="860">
      <c r="C860" s="8"/>
      <c r="I860" s="8"/>
      <c r="J860" s="8"/>
    </row>
    <row r="861">
      <c r="C861" s="8"/>
      <c r="I861" s="8"/>
      <c r="J861" s="8"/>
    </row>
    <row r="862">
      <c r="C862" s="8"/>
      <c r="I862" s="8"/>
      <c r="J862" s="8"/>
    </row>
    <row r="863">
      <c r="C863" s="8"/>
      <c r="I863" s="8"/>
      <c r="J863" s="8"/>
    </row>
    <row r="864">
      <c r="C864" s="8"/>
      <c r="I864" s="8"/>
      <c r="J864" s="8"/>
    </row>
    <row r="865">
      <c r="C865" s="8"/>
      <c r="I865" s="8"/>
      <c r="J865" s="8"/>
    </row>
    <row r="866">
      <c r="C866" s="8"/>
      <c r="I866" s="8"/>
      <c r="J866" s="8"/>
    </row>
    <row r="867">
      <c r="C867" s="8"/>
      <c r="I867" s="8"/>
      <c r="J867" s="8"/>
    </row>
    <row r="868">
      <c r="C868" s="8"/>
      <c r="I868" s="8"/>
      <c r="J868" s="8"/>
    </row>
    <row r="869">
      <c r="C869" s="8"/>
      <c r="I869" s="8"/>
      <c r="J869" s="8"/>
    </row>
    <row r="870">
      <c r="C870" s="8"/>
      <c r="I870" s="8"/>
      <c r="J870" s="8"/>
    </row>
    <row r="871">
      <c r="C871" s="8"/>
      <c r="I871" s="8"/>
      <c r="J871" s="8"/>
    </row>
    <row r="872">
      <c r="C872" s="8"/>
      <c r="I872" s="8"/>
      <c r="J872" s="8"/>
    </row>
    <row r="873">
      <c r="C873" s="8"/>
      <c r="I873" s="8"/>
      <c r="J873" s="8"/>
    </row>
    <row r="874">
      <c r="C874" s="8"/>
      <c r="I874" s="8"/>
      <c r="J874" s="8"/>
    </row>
    <row r="875">
      <c r="C875" s="8"/>
      <c r="I875" s="8"/>
      <c r="J875" s="8"/>
    </row>
    <row r="876">
      <c r="C876" s="8"/>
      <c r="I876" s="8"/>
      <c r="J876" s="8"/>
    </row>
    <row r="877">
      <c r="C877" s="8"/>
      <c r="I877" s="8"/>
      <c r="J877" s="8"/>
    </row>
    <row r="878">
      <c r="C878" s="8"/>
      <c r="I878" s="8"/>
      <c r="J878" s="8"/>
    </row>
    <row r="879">
      <c r="C879" s="8"/>
      <c r="I879" s="8"/>
      <c r="J879" s="8"/>
    </row>
    <row r="880">
      <c r="C880" s="8"/>
      <c r="I880" s="8"/>
      <c r="J880" s="8"/>
    </row>
    <row r="881">
      <c r="C881" s="8"/>
      <c r="I881" s="8"/>
      <c r="J881" s="8"/>
    </row>
    <row r="882">
      <c r="C882" s="8"/>
      <c r="I882" s="8"/>
      <c r="J882" s="8"/>
    </row>
    <row r="883">
      <c r="C883" s="8"/>
      <c r="I883" s="8"/>
      <c r="J883" s="8"/>
    </row>
    <row r="884">
      <c r="C884" s="8"/>
      <c r="I884" s="8"/>
      <c r="J884" s="8"/>
    </row>
    <row r="885">
      <c r="C885" s="8"/>
      <c r="I885" s="8"/>
      <c r="J885" s="8"/>
    </row>
    <row r="886">
      <c r="C886" s="8"/>
      <c r="I886" s="8"/>
      <c r="J886" s="8"/>
    </row>
    <row r="887">
      <c r="C887" s="8"/>
      <c r="I887" s="8"/>
      <c r="J887" s="8"/>
    </row>
    <row r="888">
      <c r="C888" s="8"/>
      <c r="I888" s="8"/>
      <c r="J888" s="8"/>
    </row>
    <row r="889">
      <c r="C889" s="8"/>
      <c r="I889" s="8"/>
      <c r="J889" s="8"/>
    </row>
    <row r="890">
      <c r="C890" s="8"/>
      <c r="I890" s="8"/>
      <c r="J890" s="8"/>
    </row>
    <row r="891">
      <c r="C891" s="8"/>
      <c r="I891" s="8"/>
      <c r="J891" s="8"/>
    </row>
    <row r="892">
      <c r="C892" s="8"/>
      <c r="I892" s="8"/>
      <c r="J892" s="8"/>
    </row>
    <row r="893">
      <c r="C893" s="8"/>
      <c r="I893" s="8"/>
      <c r="J893" s="8"/>
    </row>
    <row r="894">
      <c r="C894" s="8"/>
      <c r="I894" s="8"/>
      <c r="J894" s="8"/>
    </row>
    <row r="895">
      <c r="C895" s="8"/>
      <c r="I895" s="8"/>
      <c r="J895" s="8"/>
    </row>
    <row r="896">
      <c r="C896" s="8"/>
      <c r="I896" s="8"/>
      <c r="J896" s="8"/>
    </row>
    <row r="897">
      <c r="C897" s="8"/>
      <c r="I897" s="8"/>
      <c r="J897" s="8"/>
    </row>
    <row r="898">
      <c r="C898" s="8"/>
      <c r="I898" s="8"/>
      <c r="J898" s="8"/>
    </row>
    <row r="899">
      <c r="C899" s="8"/>
      <c r="I899" s="8"/>
      <c r="J899" s="8"/>
    </row>
    <row r="900">
      <c r="C900" s="8"/>
      <c r="I900" s="8"/>
      <c r="J900" s="8"/>
    </row>
    <row r="901">
      <c r="C901" s="8"/>
      <c r="I901" s="8"/>
      <c r="J901" s="8"/>
    </row>
    <row r="902">
      <c r="C902" s="8"/>
      <c r="I902" s="8"/>
      <c r="J902" s="8"/>
    </row>
    <row r="903">
      <c r="C903" s="8"/>
      <c r="I903" s="8"/>
      <c r="J903" s="8"/>
    </row>
    <row r="904">
      <c r="C904" s="8"/>
      <c r="I904" s="8"/>
      <c r="J904" s="8"/>
    </row>
    <row r="905">
      <c r="C905" s="8"/>
      <c r="I905" s="8"/>
      <c r="J905" s="8"/>
    </row>
    <row r="906">
      <c r="C906" s="8"/>
      <c r="I906" s="8"/>
      <c r="J906" s="8"/>
    </row>
    <row r="907">
      <c r="C907" s="8"/>
      <c r="I907" s="8"/>
      <c r="J907" s="8"/>
    </row>
    <row r="908">
      <c r="C908" s="8"/>
      <c r="I908" s="8"/>
      <c r="J908" s="8"/>
    </row>
    <row r="909">
      <c r="C909" s="8"/>
      <c r="I909" s="8"/>
      <c r="J909" s="8"/>
    </row>
    <row r="910">
      <c r="C910" s="8"/>
      <c r="I910" s="8"/>
      <c r="J910" s="8"/>
    </row>
    <row r="911">
      <c r="C911" s="8"/>
      <c r="I911" s="8"/>
      <c r="J911" s="8"/>
    </row>
    <row r="912">
      <c r="C912" s="8"/>
      <c r="I912" s="8"/>
      <c r="J912" s="8"/>
    </row>
    <row r="913">
      <c r="C913" s="8"/>
      <c r="I913" s="8"/>
      <c r="J913" s="8"/>
    </row>
    <row r="914">
      <c r="C914" s="8"/>
      <c r="I914" s="8"/>
      <c r="J914" s="8"/>
    </row>
    <row r="915">
      <c r="C915" s="8"/>
      <c r="I915" s="8"/>
      <c r="J915" s="8"/>
    </row>
    <row r="916">
      <c r="C916" s="8"/>
      <c r="I916" s="8"/>
      <c r="J916" s="8"/>
    </row>
    <row r="917">
      <c r="C917" s="8"/>
      <c r="I917" s="8"/>
      <c r="J917" s="8"/>
    </row>
    <row r="918">
      <c r="C918" s="8"/>
      <c r="I918" s="8"/>
      <c r="J918" s="8"/>
    </row>
    <row r="919">
      <c r="C919" s="8"/>
      <c r="I919" s="8"/>
      <c r="J919" s="8"/>
    </row>
    <row r="920">
      <c r="C920" s="8"/>
      <c r="I920" s="8"/>
      <c r="J920" s="8"/>
    </row>
    <row r="921">
      <c r="C921" s="8"/>
      <c r="I921" s="8"/>
      <c r="J921" s="8"/>
    </row>
    <row r="922">
      <c r="C922" s="8"/>
      <c r="I922" s="8"/>
      <c r="J922" s="8"/>
    </row>
    <row r="923">
      <c r="C923" s="8"/>
      <c r="I923" s="8"/>
      <c r="J923" s="8"/>
    </row>
    <row r="924">
      <c r="C924" s="8"/>
      <c r="I924" s="8"/>
      <c r="J924" s="8"/>
    </row>
    <row r="925">
      <c r="C925" s="8"/>
      <c r="I925" s="8"/>
      <c r="J925" s="8"/>
    </row>
    <row r="926">
      <c r="C926" s="8"/>
      <c r="I926" s="8"/>
      <c r="J926" s="8"/>
    </row>
    <row r="927">
      <c r="C927" s="8"/>
      <c r="I927" s="8"/>
      <c r="J927" s="8"/>
    </row>
    <row r="928">
      <c r="C928" s="8"/>
      <c r="I928" s="8"/>
      <c r="J928" s="8"/>
    </row>
    <row r="929">
      <c r="C929" s="8"/>
      <c r="I929" s="8"/>
      <c r="J929" s="8"/>
    </row>
    <row r="930">
      <c r="C930" s="8"/>
      <c r="I930" s="8"/>
      <c r="J930" s="8"/>
    </row>
    <row r="931">
      <c r="C931" s="8"/>
      <c r="I931" s="8"/>
      <c r="J931" s="8"/>
    </row>
    <row r="932">
      <c r="C932" s="8"/>
      <c r="I932" s="8"/>
      <c r="J932" s="8"/>
    </row>
    <row r="933">
      <c r="C933" s="8"/>
      <c r="I933" s="8"/>
      <c r="J933" s="8"/>
    </row>
    <row r="934">
      <c r="C934" s="8"/>
      <c r="I934" s="8"/>
      <c r="J934" s="8"/>
    </row>
    <row r="935">
      <c r="C935" s="8"/>
      <c r="I935" s="8"/>
      <c r="J935" s="8"/>
    </row>
    <row r="936">
      <c r="C936" s="8"/>
      <c r="I936" s="8"/>
      <c r="J936" s="8"/>
    </row>
    <row r="937">
      <c r="C937" s="8"/>
      <c r="I937" s="8"/>
      <c r="J937" s="8"/>
    </row>
    <row r="938">
      <c r="C938" s="8"/>
      <c r="I938" s="8"/>
      <c r="J938" s="8"/>
    </row>
    <row r="939">
      <c r="C939" s="8"/>
      <c r="I939" s="8"/>
      <c r="J939" s="8"/>
    </row>
    <row r="940">
      <c r="C940" s="8"/>
      <c r="I940" s="8"/>
      <c r="J940" s="8"/>
    </row>
    <row r="941">
      <c r="C941" s="8"/>
      <c r="I941" s="8"/>
      <c r="J941" s="8"/>
    </row>
    <row r="942">
      <c r="C942" s="8"/>
      <c r="I942" s="8"/>
      <c r="J942" s="8"/>
    </row>
    <row r="943">
      <c r="C943" s="8"/>
      <c r="I943" s="8"/>
      <c r="J943" s="8"/>
    </row>
    <row r="944">
      <c r="C944" s="8"/>
      <c r="I944" s="8"/>
      <c r="J944" s="8"/>
    </row>
    <row r="945">
      <c r="C945" s="8"/>
      <c r="I945" s="8"/>
      <c r="J945" s="8"/>
    </row>
    <row r="946">
      <c r="C946" s="8"/>
      <c r="I946" s="8"/>
      <c r="J946" s="8"/>
    </row>
    <row r="947">
      <c r="C947" s="8"/>
      <c r="I947" s="8"/>
      <c r="J947" s="8"/>
    </row>
    <row r="948">
      <c r="C948" s="8"/>
      <c r="I948" s="8"/>
      <c r="J948" s="8"/>
    </row>
    <row r="949">
      <c r="C949" s="8"/>
      <c r="I949" s="8"/>
      <c r="J949" s="8"/>
    </row>
    <row r="950">
      <c r="C950" s="8"/>
      <c r="I950" s="8"/>
      <c r="J950" s="8"/>
    </row>
    <row r="951">
      <c r="C951" s="8"/>
      <c r="I951" s="8"/>
      <c r="J951" s="8"/>
    </row>
    <row r="952">
      <c r="C952" s="8"/>
      <c r="I952" s="8"/>
      <c r="J952" s="8"/>
    </row>
    <row r="953">
      <c r="C953" s="8"/>
      <c r="I953" s="8"/>
      <c r="J953" s="8"/>
    </row>
    <row r="954">
      <c r="C954" s="8"/>
      <c r="I954" s="8"/>
      <c r="J954" s="8"/>
    </row>
    <row r="955">
      <c r="C955" s="8"/>
      <c r="I955" s="8"/>
      <c r="J955" s="8"/>
    </row>
    <row r="956">
      <c r="C956" s="8"/>
      <c r="I956" s="8"/>
      <c r="J956" s="8"/>
    </row>
    <row r="957">
      <c r="C957" s="8"/>
      <c r="I957" s="8"/>
      <c r="J957" s="8"/>
    </row>
    <row r="958">
      <c r="C958" s="8"/>
      <c r="I958" s="8"/>
      <c r="J958" s="8"/>
    </row>
    <row r="959">
      <c r="C959" s="8"/>
      <c r="I959" s="8"/>
      <c r="J959" s="8"/>
    </row>
    <row r="960">
      <c r="C960" s="8"/>
      <c r="I960" s="8"/>
      <c r="J960" s="8"/>
    </row>
    <row r="961">
      <c r="C961" s="8"/>
      <c r="I961" s="8"/>
      <c r="J961" s="8"/>
    </row>
    <row r="962">
      <c r="C962" s="8"/>
      <c r="I962" s="8"/>
      <c r="J962" s="8"/>
    </row>
    <row r="963">
      <c r="C963" s="8"/>
      <c r="I963" s="8"/>
      <c r="J963" s="8"/>
    </row>
    <row r="964">
      <c r="C964" s="8"/>
      <c r="I964" s="8"/>
      <c r="J964" s="8"/>
    </row>
    <row r="965">
      <c r="C965" s="8"/>
      <c r="I965" s="8"/>
      <c r="J965" s="8"/>
    </row>
    <row r="966">
      <c r="C966" s="8"/>
      <c r="I966" s="8"/>
      <c r="J966" s="8"/>
    </row>
    <row r="967">
      <c r="C967" s="8"/>
      <c r="I967" s="8"/>
      <c r="J967" s="8"/>
    </row>
    <row r="968">
      <c r="C968" s="8"/>
      <c r="I968" s="8"/>
      <c r="J968" s="8"/>
    </row>
    <row r="969">
      <c r="C969" s="8"/>
      <c r="I969" s="8"/>
      <c r="J969" s="8"/>
    </row>
    <row r="970">
      <c r="C970" s="8"/>
      <c r="I970" s="8"/>
      <c r="J970" s="8"/>
    </row>
    <row r="971">
      <c r="C971" s="8"/>
      <c r="I971" s="8"/>
      <c r="J971" s="8"/>
    </row>
    <row r="972">
      <c r="C972" s="8"/>
      <c r="I972" s="8"/>
      <c r="J972" s="8"/>
    </row>
    <row r="973">
      <c r="C973" s="8"/>
      <c r="I973" s="8"/>
      <c r="J973" s="8"/>
    </row>
    <row r="974">
      <c r="C974" s="8"/>
      <c r="I974" s="8"/>
      <c r="J974" s="8"/>
    </row>
    <row r="975">
      <c r="C975" s="8"/>
      <c r="I975" s="8"/>
      <c r="J975" s="8"/>
    </row>
    <row r="976">
      <c r="C976" s="8"/>
      <c r="I976" s="8"/>
      <c r="J976" s="8"/>
    </row>
    <row r="977">
      <c r="C977" s="8"/>
      <c r="I977" s="8"/>
      <c r="J977" s="8"/>
    </row>
    <row r="978">
      <c r="C978" s="8"/>
      <c r="I978" s="8"/>
      <c r="J978" s="8"/>
    </row>
    <row r="979">
      <c r="C979" s="8"/>
      <c r="I979" s="8"/>
      <c r="J979" s="8"/>
    </row>
    <row r="980">
      <c r="C980" s="8"/>
      <c r="I980" s="8"/>
      <c r="J980" s="8"/>
    </row>
    <row r="981">
      <c r="C981" s="8"/>
      <c r="I981" s="8"/>
      <c r="J981" s="8"/>
    </row>
    <row r="982">
      <c r="C982" s="8"/>
      <c r="I982" s="8"/>
      <c r="J982" s="8"/>
    </row>
    <row r="983">
      <c r="C983" s="8"/>
      <c r="I983" s="8"/>
      <c r="J983" s="8"/>
    </row>
    <row r="984">
      <c r="C984" s="8"/>
      <c r="I984" s="8"/>
      <c r="J984" s="8"/>
    </row>
    <row r="985">
      <c r="C985" s="8"/>
      <c r="I985" s="8"/>
      <c r="J985" s="8"/>
    </row>
    <row r="986">
      <c r="C986" s="8"/>
      <c r="I986" s="8"/>
      <c r="J986" s="8"/>
    </row>
    <row r="987">
      <c r="C987" s="8"/>
      <c r="I987" s="8"/>
      <c r="J987" s="8"/>
    </row>
    <row r="988">
      <c r="C988" s="8"/>
      <c r="I988" s="8"/>
      <c r="J988" s="8"/>
    </row>
    <row r="989">
      <c r="C989" s="8"/>
      <c r="I989" s="8"/>
      <c r="J989" s="8"/>
    </row>
    <row r="990">
      <c r="C990" s="8"/>
      <c r="I990" s="8"/>
      <c r="J990" s="8"/>
    </row>
    <row r="991">
      <c r="C991" s="8"/>
      <c r="I991" s="8"/>
      <c r="J991" s="8"/>
    </row>
    <row r="992">
      <c r="C992" s="8"/>
      <c r="I992" s="8"/>
      <c r="J992" s="8"/>
    </row>
    <row r="993">
      <c r="C993" s="8"/>
      <c r="I993" s="8"/>
      <c r="J993" s="8"/>
    </row>
    <row r="994">
      <c r="C994" s="8"/>
      <c r="I994" s="8"/>
      <c r="J994" s="8"/>
    </row>
    <row r="995">
      <c r="C995" s="8"/>
      <c r="I995" s="8"/>
      <c r="J995" s="8"/>
    </row>
    <row r="996">
      <c r="C996" s="8"/>
      <c r="I996" s="8"/>
      <c r="J996" s="8"/>
    </row>
    <row r="997">
      <c r="C997" s="8"/>
      <c r="I997" s="8"/>
      <c r="J997" s="8"/>
    </row>
    <row r="998">
      <c r="C998" s="8"/>
      <c r="I998" s="8"/>
      <c r="J998" s="8"/>
    </row>
    <row r="999">
      <c r="C999" s="8"/>
      <c r="I999" s="8"/>
      <c r="J999" s="8"/>
    </row>
    <row r="1000">
      <c r="C1000" s="8"/>
      <c r="I1000" s="8"/>
      <c r="J1000" s="8"/>
    </row>
  </sheetData>
  <mergeCells count="1">
    <mergeCell ref="A1:O2"/>
  </mergeCells>
  <dataValidations>
    <dataValidation type="list" allowBlank="1" showErrorMessage="1" sqref="B3">
      <formula1>"Mout,Hop,Gist,Suiker,Fruit,Adjunct"</formula1>
    </dataValidation>
    <dataValidation type="list" allowBlank="1" showErrorMessage="1" sqref="J6:J1000">
      <formula1>Uitleg!$C$2:$C$5</formula1>
    </dataValidation>
    <dataValidation type="list" allowBlank="1" showErrorMessage="1" sqref="I6:I1000">
      <formula1>Uitleg!$B$2:$B$7</formula1>
    </dataValidation>
    <dataValidation type="list" allowBlank="1" showErrorMessage="1" sqref="C6:C1000">
      <formula1>Uitleg!$A$2:$A$3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568</v>
      </c>
    </row>
    <row r="3">
      <c r="A3" s="2" t="s">
        <v>569</v>
      </c>
    </row>
    <row r="6">
      <c r="A6" s="3" t="s">
        <v>4</v>
      </c>
      <c r="B6" s="3" t="s">
        <v>9</v>
      </c>
      <c r="C6" s="3" t="s">
        <v>8</v>
      </c>
      <c r="D6" s="3" t="s">
        <v>11</v>
      </c>
      <c r="E6" s="3" t="s">
        <v>135</v>
      </c>
      <c r="F6" s="3"/>
      <c r="G6" s="52"/>
      <c r="H6" s="52"/>
      <c r="I6" s="52"/>
      <c r="J6" s="52"/>
      <c r="K6" s="52"/>
      <c r="L6" s="52"/>
    </row>
    <row r="7">
      <c r="A7" s="2" t="s">
        <v>122</v>
      </c>
      <c r="B7" s="2" t="s">
        <v>314</v>
      </c>
      <c r="C7" s="2" t="s">
        <v>260</v>
      </c>
      <c r="D7" s="2" t="s">
        <v>227</v>
      </c>
      <c r="E7" s="2" t="s">
        <v>438</v>
      </c>
    </row>
    <row r="8">
      <c r="A8" s="2" t="s">
        <v>124</v>
      </c>
      <c r="B8" s="2" t="s">
        <v>319</v>
      </c>
      <c r="C8" s="2" t="s">
        <v>264</v>
      </c>
      <c r="D8" s="2" t="s">
        <v>242</v>
      </c>
      <c r="E8" s="2" t="s">
        <v>445</v>
      </c>
    </row>
    <row r="9">
      <c r="A9" s="2" t="s">
        <v>127</v>
      </c>
      <c r="B9" s="2" t="s">
        <v>317</v>
      </c>
      <c r="C9" s="2" t="s">
        <v>265</v>
      </c>
      <c r="D9" s="2" t="s">
        <v>222</v>
      </c>
      <c r="E9" s="2" t="s">
        <v>442</v>
      </c>
    </row>
    <row r="10">
      <c r="A10" s="2" t="s">
        <v>149</v>
      </c>
      <c r="B10" s="2" t="s">
        <v>321</v>
      </c>
      <c r="C10" s="2" t="s">
        <v>262</v>
      </c>
      <c r="D10" s="2" t="s">
        <v>225</v>
      </c>
      <c r="E10" s="2" t="s">
        <v>441</v>
      </c>
    </row>
    <row r="11">
      <c r="A11" s="2" t="s">
        <v>133</v>
      </c>
      <c r="B11" s="2" t="s">
        <v>324</v>
      </c>
      <c r="C11" s="2" t="s">
        <v>266</v>
      </c>
      <c r="D11" s="2" t="s">
        <v>230</v>
      </c>
      <c r="E11" s="2" t="s">
        <v>452</v>
      </c>
    </row>
    <row r="12">
      <c r="A12" s="2" t="s">
        <v>138</v>
      </c>
      <c r="B12" s="2" t="s">
        <v>328</v>
      </c>
      <c r="C12" s="2" t="s">
        <v>269</v>
      </c>
      <c r="D12" s="2" t="s">
        <v>234</v>
      </c>
      <c r="E12" s="2" t="s">
        <v>455</v>
      </c>
    </row>
    <row r="13">
      <c r="A13" s="2" t="s">
        <v>141</v>
      </c>
      <c r="B13" s="2" t="s">
        <v>332</v>
      </c>
      <c r="C13" s="2" t="s">
        <v>272</v>
      </c>
      <c r="D13" s="2" t="s">
        <v>236</v>
      </c>
      <c r="E13" s="2" t="s">
        <v>457</v>
      </c>
    </row>
    <row r="14">
      <c r="A14" s="2" t="s">
        <v>144</v>
      </c>
      <c r="B14" s="2" t="s">
        <v>333</v>
      </c>
      <c r="C14" s="2" t="s">
        <v>274</v>
      </c>
      <c r="D14" s="2" t="s">
        <v>239</v>
      </c>
      <c r="E14" s="2" t="s">
        <v>461</v>
      </c>
    </row>
    <row r="15">
      <c r="A15" s="2" t="s">
        <v>146</v>
      </c>
      <c r="B15" s="2" t="s">
        <v>344</v>
      </c>
      <c r="C15" s="2" t="s">
        <v>275</v>
      </c>
      <c r="D15" s="2" t="s">
        <v>244</v>
      </c>
    </row>
    <row r="16">
      <c r="A16" s="2" t="s">
        <v>155</v>
      </c>
      <c r="B16" s="2" t="s">
        <v>346</v>
      </c>
      <c r="C16" s="2" t="s">
        <v>277</v>
      </c>
      <c r="D16" s="2" t="s">
        <v>247</v>
      </c>
    </row>
    <row r="17">
      <c r="A17" s="2" t="s">
        <v>163</v>
      </c>
      <c r="B17" s="2" t="s">
        <v>349</v>
      </c>
      <c r="C17" s="2" t="s">
        <v>279</v>
      </c>
      <c r="D17" s="2" t="s">
        <v>252</v>
      </c>
    </row>
    <row r="18">
      <c r="A18" s="2" t="s">
        <v>176</v>
      </c>
      <c r="B18" s="2" t="s">
        <v>352</v>
      </c>
      <c r="C18" s="2" t="s">
        <v>570</v>
      </c>
      <c r="D18" s="2" t="s">
        <v>256</v>
      </c>
    </row>
    <row r="19">
      <c r="A19" s="2" t="s">
        <v>177</v>
      </c>
      <c r="B19" s="2" t="s">
        <v>355</v>
      </c>
      <c r="C19" s="2" t="s">
        <v>283</v>
      </c>
    </row>
    <row r="20">
      <c r="A20" s="2" t="s">
        <v>179</v>
      </c>
      <c r="B20" s="2" t="s">
        <v>356</v>
      </c>
      <c r="C20" s="2" t="s">
        <v>285</v>
      </c>
    </row>
    <row r="21">
      <c r="A21" s="2" t="s">
        <v>184</v>
      </c>
      <c r="B21" s="2" t="s">
        <v>358</v>
      </c>
      <c r="C21" s="2" t="s">
        <v>297</v>
      </c>
    </row>
    <row r="22">
      <c r="A22" s="2" t="s">
        <v>188</v>
      </c>
      <c r="B22" s="2" t="s">
        <v>362</v>
      </c>
      <c r="C22" s="2" t="s">
        <v>286</v>
      </c>
    </row>
    <row r="23">
      <c r="A23" s="2" t="s">
        <v>195</v>
      </c>
      <c r="B23" s="2" t="s">
        <v>366</v>
      </c>
      <c r="C23" s="2" t="s">
        <v>281</v>
      </c>
    </row>
    <row r="24">
      <c r="A24" s="2" t="s">
        <v>206</v>
      </c>
      <c r="B24" s="2" t="s">
        <v>369</v>
      </c>
      <c r="C24" s="2" t="s">
        <v>287</v>
      </c>
    </row>
    <row r="25">
      <c r="A25" s="2" t="s">
        <v>211</v>
      </c>
      <c r="B25" s="2" t="s">
        <v>371</v>
      </c>
      <c r="C25" s="2" t="s">
        <v>291</v>
      </c>
    </row>
    <row r="26">
      <c r="A26" s="2" t="s">
        <v>215</v>
      </c>
      <c r="B26" s="2" t="s">
        <v>376</v>
      </c>
      <c r="C26" s="2" t="s">
        <v>290</v>
      </c>
    </row>
    <row r="27">
      <c r="B27" s="2" t="s">
        <v>377</v>
      </c>
      <c r="C27" s="2" t="s">
        <v>294</v>
      </c>
    </row>
    <row r="28">
      <c r="B28" s="2" t="s">
        <v>380</v>
      </c>
      <c r="C28" s="2" t="s">
        <v>295</v>
      </c>
    </row>
    <row r="29">
      <c r="B29" s="2" t="s">
        <v>382</v>
      </c>
      <c r="C29" s="2" t="s">
        <v>303</v>
      </c>
    </row>
    <row r="30">
      <c r="B30" s="2" t="s">
        <v>385</v>
      </c>
      <c r="C30" s="2" t="s">
        <v>306</v>
      </c>
    </row>
    <row r="31">
      <c r="B31" s="2" t="s">
        <v>388</v>
      </c>
      <c r="C31" s="2" t="s">
        <v>308</v>
      </c>
    </row>
    <row r="32">
      <c r="B32" s="2" t="s">
        <v>390</v>
      </c>
    </row>
    <row r="33">
      <c r="B33" s="2" t="s">
        <v>394</v>
      </c>
    </row>
    <row r="34">
      <c r="B34" s="2" t="s">
        <v>396</v>
      </c>
    </row>
    <row r="35">
      <c r="B35" s="2" t="s">
        <v>401</v>
      </c>
    </row>
    <row r="36">
      <c r="B36" s="2" t="s">
        <v>405</v>
      </c>
    </row>
    <row r="37">
      <c r="B37" s="2" t="s">
        <v>408</v>
      </c>
    </row>
    <row r="38">
      <c r="B38" s="2" t="s">
        <v>411</v>
      </c>
    </row>
    <row r="39">
      <c r="B39" s="2" t="s">
        <v>413</v>
      </c>
    </row>
    <row r="40">
      <c r="B40" s="2" t="s">
        <v>414</v>
      </c>
    </row>
    <row r="41">
      <c r="B41" s="2" t="s">
        <v>419</v>
      </c>
    </row>
    <row r="42">
      <c r="B42" s="2" t="s">
        <v>427</v>
      </c>
    </row>
    <row r="43">
      <c r="B43" s="2" t="s">
        <v>424</v>
      </c>
    </row>
    <row r="44">
      <c r="B44" s="2" t="s">
        <v>422</v>
      </c>
    </row>
    <row r="45">
      <c r="B45" s="2" t="s">
        <v>420</v>
      </c>
    </row>
    <row r="46">
      <c r="B46" s="2" t="s">
        <v>429</v>
      </c>
    </row>
    <row r="47">
      <c r="B47" s="2" t="s">
        <v>432</v>
      </c>
    </row>
  </sheetData>
  <mergeCells count="1">
    <mergeCell ref="A1:J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63"/>
    <col customWidth="1" min="3" max="3" width="14.0"/>
    <col customWidth="1" min="7" max="11" width="13.5"/>
    <col customWidth="1" min="12" max="12" width="3.38"/>
    <col customWidth="1" min="15" max="15" width="13.88"/>
  </cols>
  <sheetData>
    <row r="1">
      <c r="A1" s="1" t="s">
        <v>133</v>
      </c>
    </row>
    <row r="3">
      <c r="A3" s="2" t="s">
        <v>559</v>
      </c>
      <c r="B3" s="2" t="s">
        <v>498</v>
      </c>
      <c r="M3" s="2" t="s">
        <v>560</v>
      </c>
      <c r="N3" s="8">
        <f>SUM(H6:H1000) - SUM(O6:O1000)</f>
        <v>12.5</v>
      </c>
      <c r="O3" s="2" t="s">
        <v>561</v>
      </c>
    </row>
    <row r="5">
      <c r="A5" s="22" t="s">
        <v>104</v>
      </c>
      <c r="B5" s="22" t="s">
        <v>105</v>
      </c>
      <c r="C5" s="22" t="s">
        <v>106</v>
      </c>
      <c r="D5" s="22" t="s">
        <v>107</v>
      </c>
      <c r="E5" s="22" t="s">
        <v>108</v>
      </c>
      <c r="F5" s="22" t="s">
        <v>111</v>
      </c>
      <c r="G5" s="22" t="s">
        <v>112</v>
      </c>
      <c r="H5" s="22" t="s">
        <v>113</v>
      </c>
      <c r="I5" s="22" t="s">
        <v>115</v>
      </c>
      <c r="J5" s="22" t="s">
        <v>116</v>
      </c>
      <c r="K5" s="22" t="s">
        <v>117</v>
      </c>
      <c r="M5" s="23" t="s">
        <v>118</v>
      </c>
      <c r="N5" s="23" t="s">
        <v>107</v>
      </c>
      <c r="O5" s="23" t="s">
        <v>113</v>
      </c>
      <c r="P5" s="23" t="s">
        <v>111</v>
      </c>
    </row>
    <row r="6">
      <c r="A6" s="2">
        <v>3.72012518E8</v>
      </c>
      <c r="C6" s="2" t="s">
        <v>130</v>
      </c>
      <c r="D6" s="24">
        <v>45013.0</v>
      </c>
      <c r="E6" s="2" t="s">
        <v>132</v>
      </c>
      <c r="F6" s="2" t="s">
        <v>134</v>
      </c>
      <c r="G6" s="27">
        <v>45552.0</v>
      </c>
      <c r="H6" s="2">
        <v>25.0</v>
      </c>
      <c r="I6" s="2" t="s">
        <v>135</v>
      </c>
      <c r="J6" s="2" t="s">
        <v>136</v>
      </c>
      <c r="K6" s="53" t="s">
        <v>571</v>
      </c>
      <c r="M6" s="2" t="s">
        <v>66</v>
      </c>
      <c r="N6" s="24">
        <v>45020.0</v>
      </c>
      <c r="O6" s="2">
        <v>12.5</v>
      </c>
      <c r="P6" s="2" t="s">
        <v>134</v>
      </c>
    </row>
    <row r="7">
      <c r="C7" s="28"/>
      <c r="D7" s="28"/>
      <c r="E7" s="28"/>
      <c r="F7" s="28"/>
      <c r="I7" s="8"/>
      <c r="J7" s="8"/>
      <c r="N7" s="24"/>
    </row>
    <row r="8">
      <c r="C8" s="28"/>
      <c r="D8" s="28"/>
      <c r="E8" s="28"/>
      <c r="F8" s="28"/>
      <c r="I8" s="8"/>
      <c r="J8" s="8"/>
      <c r="N8" s="28"/>
    </row>
    <row r="9">
      <c r="C9" s="28"/>
      <c r="D9" s="28"/>
      <c r="E9" s="28"/>
      <c r="F9" s="28"/>
      <c r="I9" s="8"/>
      <c r="J9" s="8"/>
      <c r="N9" s="28"/>
    </row>
    <row r="10">
      <c r="C10" s="28"/>
      <c r="D10" s="28"/>
      <c r="E10" s="28"/>
      <c r="F10" s="28"/>
      <c r="I10" s="8"/>
      <c r="J10" s="8"/>
      <c r="N10" s="28"/>
    </row>
    <row r="11">
      <c r="C11" s="28"/>
      <c r="D11" s="28"/>
      <c r="E11" s="28"/>
      <c r="F11" s="28"/>
      <c r="I11" s="8"/>
      <c r="J11" s="8"/>
      <c r="N11" s="28"/>
    </row>
    <row r="12">
      <c r="C12" s="28"/>
      <c r="D12" s="28"/>
      <c r="E12" s="28"/>
      <c r="F12" s="28"/>
      <c r="I12" s="8"/>
      <c r="J12" s="8"/>
      <c r="N12" s="28"/>
    </row>
    <row r="13">
      <c r="C13" s="28"/>
      <c r="D13" s="28"/>
      <c r="E13" s="28"/>
      <c r="F13" s="28"/>
      <c r="I13" s="8"/>
      <c r="J13" s="8"/>
      <c r="N13" s="28"/>
    </row>
    <row r="14">
      <c r="C14" s="28"/>
      <c r="D14" s="28"/>
      <c r="E14" s="28"/>
      <c r="F14" s="28"/>
      <c r="I14" s="8"/>
      <c r="J14" s="8"/>
      <c r="N14" s="28"/>
    </row>
    <row r="15">
      <c r="C15" s="28"/>
      <c r="D15" s="28"/>
      <c r="E15" s="28"/>
      <c r="F15" s="28"/>
      <c r="I15" s="8"/>
      <c r="J15" s="8"/>
      <c r="N15" s="28"/>
    </row>
    <row r="16">
      <c r="C16" s="28"/>
      <c r="D16" s="28"/>
      <c r="E16" s="28"/>
      <c r="F16" s="28"/>
      <c r="I16" s="8"/>
      <c r="J16" s="8"/>
      <c r="N16" s="28"/>
    </row>
    <row r="17">
      <c r="C17" s="28"/>
      <c r="D17" s="28"/>
      <c r="E17" s="28"/>
      <c r="F17" s="28"/>
      <c r="I17" s="8"/>
      <c r="J17" s="8"/>
      <c r="N17" s="28"/>
    </row>
    <row r="18">
      <c r="C18" s="28"/>
      <c r="D18" s="28"/>
      <c r="E18" s="28"/>
      <c r="F18" s="28"/>
      <c r="I18" s="8"/>
      <c r="J18" s="8"/>
      <c r="N18" s="28"/>
    </row>
    <row r="19">
      <c r="C19" s="28"/>
      <c r="D19" s="28"/>
      <c r="E19" s="28"/>
      <c r="F19" s="28"/>
      <c r="I19" s="8"/>
      <c r="J19" s="8"/>
      <c r="N19" s="28"/>
    </row>
    <row r="20">
      <c r="C20" s="28"/>
      <c r="D20" s="28"/>
      <c r="E20" s="28"/>
      <c r="F20" s="28"/>
      <c r="I20" s="8"/>
      <c r="J20" s="8"/>
      <c r="N20" s="28"/>
    </row>
    <row r="21">
      <c r="C21" s="28"/>
      <c r="D21" s="28"/>
      <c r="E21" s="28"/>
      <c r="F21" s="28"/>
      <c r="I21" s="8"/>
      <c r="J21" s="8"/>
      <c r="N21" s="28"/>
    </row>
    <row r="22">
      <c r="C22" s="28"/>
      <c r="D22" s="28"/>
      <c r="E22" s="28"/>
      <c r="F22" s="28"/>
      <c r="I22" s="8"/>
      <c r="J22" s="8"/>
      <c r="N22" s="28"/>
    </row>
    <row r="23">
      <c r="C23" s="28"/>
      <c r="D23" s="28"/>
      <c r="E23" s="28"/>
      <c r="F23" s="28"/>
      <c r="I23" s="8"/>
      <c r="J23" s="8"/>
      <c r="N23" s="28"/>
    </row>
    <row r="24">
      <c r="C24" s="28"/>
      <c r="D24" s="28"/>
      <c r="E24" s="28"/>
      <c r="F24" s="28"/>
      <c r="I24" s="8"/>
      <c r="J24" s="8"/>
      <c r="N24" s="28"/>
    </row>
    <row r="25">
      <c r="C25" s="28"/>
      <c r="D25" s="28"/>
      <c r="E25" s="28"/>
      <c r="F25" s="28"/>
      <c r="I25" s="8"/>
      <c r="J25" s="8"/>
      <c r="N25" s="28"/>
    </row>
    <row r="26">
      <c r="C26" s="28"/>
      <c r="D26" s="28"/>
      <c r="E26" s="28"/>
      <c r="F26" s="28"/>
      <c r="I26" s="8"/>
      <c r="J26" s="8"/>
      <c r="N26" s="28"/>
    </row>
    <row r="27">
      <c r="C27" s="28"/>
      <c r="D27" s="28"/>
      <c r="E27" s="28"/>
      <c r="F27" s="28"/>
      <c r="I27" s="8"/>
      <c r="J27" s="8"/>
      <c r="N27" s="28"/>
    </row>
    <row r="28">
      <c r="C28" s="28"/>
      <c r="D28" s="28"/>
      <c r="E28" s="28"/>
      <c r="F28" s="28"/>
      <c r="I28" s="8"/>
      <c r="J28" s="8"/>
      <c r="N28" s="28"/>
    </row>
    <row r="29">
      <c r="C29" s="28"/>
      <c r="D29" s="28"/>
      <c r="E29" s="28"/>
      <c r="F29" s="28"/>
      <c r="I29" s="8"/>
      <c r="J29" s="8"/>
      <c r="N29" s="28"/>
    </row>
    <row r="30">
      <c r="C30" s="28"/>
      <c r="D30" s="28"/>
      <c r="E30" s="28"/>
      <c r="F30" s="28"/>
      <c r="I30" s="8"/>
      <c r="J30" s="8"/>
      <c r="N30" s="28"/>
    </row>
    <row r="31">
      <c r="C31" s="28"/>
      <c r="D31" s="28"/>
      <c r="E31" s="28"/>
      <c r="F31" s="28"/>
      <c r="I31" s="8"/>
      <c r="J31" s="8"/>
      <c r="N31" s="28"/>
    </row>
    <row r="32">
      <c r="C32" s="28"/>
      <c r="D32" s="28"/>
      <c r="E32" s="28"/>
      <c r="F32" s="28"/>
      <c r="I32" s="8"/>
      <c r="J32" s="8"/>
      <c r="N32" s="28"/>
    </row>
    <row r="33">
      <c r="C33" s="8"/>
      <c r="I33" s="8"/>
      <c r="J33" s="8"/>
      <c r="N33" s="28"/>
    </row>
    <row r="34">
      <c r="C34" s="8"/>
      <c r="I34" s="8"/>
      <c r="J34" s="8"/>
    </row>
    <row r="35">
      <c r="C35" s="8"/>
      <c r="I35" s="8"/>
      <c r="J35" s="8"/>
    </row>
    <row r="36">
      <c r="C36" s="8"/>
      <c r="I36" s="8"/>
      <c r="J36" s="8"/>
    </row>
    <row r="37">
      <c r="C37" s="8"/>
      <c r="I37" s="8"/>
      <c r="J37" s="8"/>
    </row>
    <row r="38">
      <c r="C38" s="8"/>
      <c r="I38" s="8"/>
      <c r="J38" s="8"/>
    </row>
    <row r="39">
      <c r="C39" s="8"/>
      <c r="I39" s="8"/>
      <c r="J39" s="8"/>
    </row>
    <row r="40">
      <c r="C40" s="8"/>
      <c r="I40" s="8"/>
      <c r="J40" s="8"/>
    </row>
    <row r="41">
      <c r="C41" s="8"/>
      <c r="I41" s="8"/>
      <c r="J41" s="8"/>
    </row>
    <row r="42">
      <c r="C42" s="8"/>
      <c r="I42" s="8"/>
      <c r="J42" s="8"/>
    </row>
    <row r="43">
      <c r="C43" s="8"/>
      <c r="I43" s="8"/>
      <c r="J43" s="8"/>
    </row>
    <row r="44">
      <c r="C44" s="8"/>
      <c r="I44" s="8"/>
      <c r="J44" s="8"/>
    </row>
    <row r="45">
      <c r="C45" s="8"/>
      <c r="I45" s="8"/>
      <c r="J45" s="8"/>
    </row>
    <row r="46">
      <c r="C46" s="8"/>
      <c r="I46" s="8"/>
      <c r="J46" s="8"/>
    </row>
    <row r="47">
      <c r="C47" s="8"/>
      <c r="I47" s="8"/>
      <c r="J47" s="8"/>
    </row>
    <row r="48">
      <c r="C48" s="8"/>
      <c r="I48" s="8"/>
      <c r="J48" s="8"/>
    </row>
    <row r="49">
      <c r="C49" s="8"/>
      <c r="I49" s="8"/>
      <c r="J49" s="8"/>
    </row>
    <row r="50">
      <c r="C50" s="8"/>
      <c r="I50" s="8"/>
      <c r="J50" s="8"/>
    </row>
    <row r="51">
      <c r="C51" s="8"/>
      <c r="I51" s="8"/>
      <c r="J51" s="8"/>
    </row>
    <row r="52">
      <c r="C52" s="8"/>
      <c r="I52" s="8"/>
      <c r="J52" s="8"/>
    </row>
    <row r="53">
      <c r="C53" s="8"/>
      <c r="I53" s="8"/>
      <c r="J53" s="8"/>
    </row>
    <row r="54">
      <c r="C54" s="8"/>
      <c r="I54" s="8"/>
      <c r="J54" s="8"/>
    </row>
    <row r="55">
      <c r="C55" s="8"/>
      <c r="I55" s="8"/>
      <c r="J55" s="8"/>
    </row>
    <row r="56">
      <c r="C56" s="8"/>
      <c r="I56" s="8"/>
      <c r="J56" s="8"/>
    </row>
    <row r="57">
      <c r="C57" s="8"/>
      <c r="I57" s="8"/>
      <c r="J57" s="8"/>
    </row>
    <row r="58">
      <c r="C58" s="8"/>
      <c r="I58" s="8"/>
      <c r="J58" s="8"/>
    </row>
    <row r="59">
      <c r="C59" s="8"/>
      <c r="I59" s="8"/>
      <c r="J59" s="8"/>
    </row>
    <row r="60">
      <c r="C60" s="8"/>
      <c r="I60" s="8"/>
      <c r="J60" s="8"/>
    </row>
    <row r="61">
      <c r="C61" s="8"/>
      <c r="I61" s="8"/>
      <c r="J61" s="8"/>
    </row>
    <row r="62">
      <c r="C62" s="8"/>
      <c r="I62" s="8"/>
      <c r="J62" s="8"/>
    </row>
    <row r="63">
      <c r="C63" s="8"/>
      <c r="I63" s="8"/>
      <c r="J63" s="8"/>
    </row>
    <row r="64">
      <c r="C64" s="8"/>
      <c r="I64" s="8"/>
      <c r="J64" s="8"/>
    </row>
    <row r="65">
      <c r="C65" s="8"/>
      <c r="I65" s="8"/>
      <c r="J65" s="8"/>
    </row>
    <row r="66">
      <c r="C66" s="8"/>
      <c r="I66" s="8"/>
      <c r="J66" s="8"/>
    </row>
    <row r="67">
      <c r="C67" s="8"/>
      <c r="I67" s="8"/>
      <c r="J67" s="8"/>
    </row>
    <row r="68">
      <c r="C68" s="8"/>
      <c r="I68" s="8"/>
      <c r="J68" s="8"/>
    </row>
    <row r="69">
      <c r="C69" s="8"/>
      <c r="I69" s="8"/>
      <c r="J69" s="8"/>
    </row>
    <row r="70">
      <c r="C70" s="8"/>
      <c r="I70" s="8"/>
      <c r="J70" s="8"/>
    </row>
    <row r="71">
      <c r="C71" s="8"/>
      <c r="I71" s="8"/>
      <c r="J71" s="8"/>
    </row>
    <row r="72">
      <c r="C72" s="8"/>
      <c r="I72" s="8"/>
      <c r="J72" s="8"/>
    </row>
    <row r="73">
      <c r="C73" s="8"/>
      <c r="I73" s="8"/>
      <c r="J73" s="8"/>
    </row>
    <row r="74">
      <c r="C74" s="8"/>
      <c r="I74" s="8"/>
      <c r="J74" s="8"/>
    </row>
    <row r="75">
      <c r="C75" s="8"/>
      <c r="I75" s="8"/>
      <c r="J75" s="8"/>
    </row>
    <row r="76">
      <c r="C76" s="8"/>
      <c r="I76" s="8"/>
      <c r="J76" s="8"/>
    </row>
    <row r="77">
      <c r="C77" s="8"/>
      <c r="I77" s="8"/>
      <c r="J77" s="8"/>
    </row>
    <row r="78">
      <c r="C78" s="8"/>
      <c r="I78" s="8"/>
      <c r="J78" s="8"/>
    </row>
    <row r="79">
      <c r="C79" s="8"/>
      <c r="I79" s="8"/>
      <c r="J79" s="8"/>
    </row>
    <row r="80">
      <c r="C80" s="8"/>
      <c r="I80" s="8"/>
      <c r="J80" s="8"/>
    </row>
    <row r="81">
      <c r="C81" s="8"/>
      <c r="I81" s="8"/>
      <c r="J81" s="8"/>
    </row>
    <row r="82">
      <c r="C82" s="8"/>
      <c r="I82" s="8"/>
      <c r="J82" s="8"/>
    </row>
    <row r="83">
      <c r="C83" s="8"/>
      <c r="I83" s="8"/>
      <c r="J83" s="8"/>
    </row>
    <row r="84">
      <c r="C84" s="8"/>
      <c r="I84" s="8"/>
      <c r="J84" s="8"/>
    </row>
    <row r="85">
      <c r="C85" s="8"/>
      <c r="I85" s="8"/>
      <c r="J85" s="8"/>
    </row>
    <row r="86">
      <c r="C86" s="8"/>
      <c r="I86" s="8"/>
      <c r="J86" s="8"/>
    </row>
    <row r="87">
      <c r="C87" s="8"/>
      <c r="I87" s="8"/>
      <c r="J87" s="8"/>
    </row>
    <row r="88">
      <c r="C88" s="8"/>
      <c r="I88" s="8"/>
      <c r="J88" s="8"/>
    </row>
    <row r="89">
      <c r="C89" s="8"/>
      <c r="I89" s="8"/>
      <c r="J89" s="8"/>
    </row>
    <row r="90">
      <c r="C90" s="8"/>
      <c r="I90" s="8"/>
      <c r="J90" s="8"/>
    </row>
    <row r="91">
      <c r="C91" s="8"/>
      <c r="I91" s="8"/>
      <c r="J91" s="8"/>
    </row>
    <row r="92">
      <c r="C92" s="8"/>
      <c r="I92" s="8"/>
      <c r="J92" s="8"/>
    </row>
    <row r="93">
      <c r="C93" s="8"/>
      <c r="I93" s="8"/>
      <c r="J93" s="8"/>
    </row>
    <row r="94">
      <c r="C94" s="8"/>
      <c r="I94" s="8"/>
      <c r="J94" s="8"/>
    </row>
    <row r="95">
      <c r="C95" s="8"/>
      <c r="I95" s="8"/>
      <c r="J95" s="8"/>
    </row>
    <row r="96">
      <c r="C96" s="8"/>
      <c r="I96" s="8"/>
      <c r="J96" s="8"/>
    </row>
    <row r="97">
      <c r="C97" s="8"/>
      <c r="I97" s="8"/>
      <c r="J97" s="8"/>
    </row>
    <row r="98">
      <c r="C98" s="8"/>
      <c r="I98" s="8"/>
      <c r="J98" s="8"/>
    </row>
    <row r="99">
      <c r="C99" s="8"/>
      <c r="I99" s="8"/>
      <c r="J99" s="8"/>
    </row>
    <row r="100">
      <c r="C100" s="8"/>
      <c r="I100" s="8"/>
      <c r="J100" s="8"/>
    </row>
    <row r="101">
      <c r="C101" s="8"/>
      <c r="I101" s="8"/>
      <c r="J101" s="8"/>
    </row>
    <row r="102">
      <c r="C102" s="8"/>
      <c r="I102" s="8"/>
      <c r="J102" s="8"/>
    </row>
    <row r="103">
      <c r="C103" s="8"/>
      <c r="I103" s="8"/>
      <c r="J103" s="8"/>
    </row>
    <row r="104">
      <c r="C104" s="8"/>
      <c r="I104" s="8"/>
      <c r="J104" s="8"/>
    </row>
    <row r="105">
      <c r="C105" s="8"/>
      <c r="I105" s="8"/>
      <c r="J105" s="8"/>
    </row>
    <row r="106">
      <c r="C106" s="8"/>
      <c r="I106" s="8"/>
      <c r="J106" s="8"/>
    </row>
    <row r="107">
      <c r="C107" s="8"/>
      <c r="I107" s="8"/>
      <c r="J107" s="8"/>
    </row>
    <row r="108">
      <c r="C108" s="8"/>
      <c r="I108" s="8"/>
      <c r="J108" s="8"/>
    </row>
    <row r="109">
      <c r="C109" s="8"/>
      <c r="I109" s="8"/>
      <c r="J109" s="8"/>
    </row>
    <row r="110">
      <c r="C110" s="8"/>
      <c r="I110" s="8"/>
      <c r="J110" s="8"/>
    </row>
    <row r="111">
      <c r="C111" s="8"/>
      <c r="I111" s="8"/>
      <c r="J111" s="8"/>
    </row>
    <row r="112">
      <c r="C112" s="8"/>
      <c r="I112" s="8"/>
      <c r="J112" s="8"/>
    </row>
    <row r="113">
      <c r="C113" s="8"/>
      <c r="I113" s="8"/>
      <c r="J113" s="8"/>
    </row>
    <row r="114">
      <c r="C114" s="8"/>
      <c r="I114" s="8"/>
      <c r="J114" s="8"/>
    </row>
    <row r="115">
      <c r="C115" s="8"/>
      <c r="I115" s="8"/>
      <c r="J115" s="8"/>
    </row>
    <row r="116">
      <c r="C116" s="8"/>
      <c r="I116" s="8"/>
      <c r="J116" s="8"/>
    </row>
    <row r="117">
      <c r="C117" s="8"/>
      <c r="I117" s="8"/>
      <c r="J117" s="8"/>
    </row>
    <row r="118">
      <c r="C118" s="8"/>
      <c r="I118" s="8"/>
      <c r="J118" s="8"/>
    </row>
    <row r="119">
      <c r="C119" s="8"/>
      <c r="I119" s="8"/>
      <c r="J119" s="8"/>
    </row>
    <row r="120">
      <c r="C120" s="8"/>
      <c r="I120" s="8"/>
      <c r="J120" s="8"/>
    </row>
    <row r="121">
      <c r="C121" s="8"/>
      <c r="I121" s="8"/>
      <c r="J121" s="8"/>
    </row>
    <row r="122">
      <c r="C122" s="8"/>
      <c r="I122" s="8"/>
      <c r="J122" s="8"/>
    </row>
    <row r="123">
      <c r="C123" s="8"/>
      <c r="I123" s="8"/>
      <c r="J123" s="8"/>
    </row>
    <row r="124">
      <c r="C124" s="8"/>
      <c r="I124" s="8"/>
      <c r="J124" s="8"/>
    </row>
    <row r="125">
      <c r="C125" s="8"/>
      <c r="I125" s="8"/>
      <c r="J125" s="8"/>
    </row>
    <row r="126">
      <c r="C126" s="8"/>
      <c r="I126" s="8"/>
      <c r="J126" s="8"/>
    </row>
    <row r="127">
      <c r="C127" s="8"/>
      <c r="I127" s="8"/>
      <c r="J127" s="8"/>
    </row>
    <row r="128">
      <c r="C128" s="8"/>
      <c r="I128" s="8"/>
      <c r="J128" s="8"/>
    </row>
    <row r="129">
      <c r="C129" s="8"/>
      <c r="I129" s="8"/>
      <c r="J129" s="8"/>
    </row>
    <row r="130">
      <c r="C130" s="8"/>
      <c r="I130" s="8"/>
      <c r="J130" s="8"/>
    </row>
    <row r="131">
      <c r="C131" s="8"/>
      <c r="I131" s="8"/>
      <c r="J131" s="8"/>
    </row>
    <row r="132">
      <c r="C132" s="8"/>
      <c r="I132" s="8"/>
      <c r="J132" s="8"/>
    </row>
    <row r="133">
      <c r="C133" s="8"/>
      <c r="I133" s="8"/>
      <c r="J133" s="8"/>
    </row>
    <row r="134">
      <c r="C134" s="8"/>
      <c r="I134" s="8"/>
      <c r="J134" s="8"/>
    </row>
    <row r="135">
      <c r="C135" s="8"/>
      <c r="I135" s="8"/>
      <c r="J135" s="8"/>
    </row>
    <row r="136">
      <c r="C136" s="8"/>
      <c r="I136" s="8"/>
      <c r="J136" s="8"/>
    </row>
    <row r="137">
      <c r="C137" s="8"/>
      <c r="I137" s="8"/>
      <c r="J137" s="8"/>
    </row>
    <row r="138">
      <c r="C138" s="8"/>
      <c r="I138" s="8"/>
      <c r="J138" s="8"/>
    </row>
    <row r="139">
      <c r="C139" s="8"/>
      <c r="I139" s="8"/>
      <c r="J139" s="8"/>
    </row>
    <row r="140">
      <c r="C140" s="8"/>
      <c r="I140" s="8"/>
      <c r="J140" s="8"/>
    </row>
    <row r="141">
      <c r="C141" s="8"/>
      <c r="I141" s="8"/>
      <c r="J141" s="8"/>
    </row>
    <row r="142">
      <c r="C142" s="8"/>
      <c r="I142" s="8"/>
      <c r="J142" s="8"/>
    </row>
    <row r="143">
      <c r="C143" s="8"/>
      <c r="I143" s="8"/>
      <c r="J143" s="8"/>
    </row>
    <row r="144">
      <c r="C144" s="8"/>
      <c r="I144" s="8"/>
      <c r="J144" s="8"/>
    </row>
    <row r="145">
      <c r="C145" s="8"/>
      <c r="I145" s="8"/>
      <c r="J145" s="8"/>
    </row>
    <row r="146">
      <c r="C146" s="8"/>
      <c r="I146" s="8"/>
      <c r="J146" s="8"/>
    </row>
    <row r="147">
      <c r="C147" s="8"/>
      <c r="I147" s="8"/>
      <c r="J147" s="8"/>
    </row>
    <row r="148">
      <c r="C148" s="8"/>
      <c r="I148" s="8"/>
      <c r="J148" s="8"/>
    </row>
    <row r="149">
      <c r="C149" s="8"/>
      <c r="I149" s="8"/>
      <c r="J149" s="8"/>
    </row>
    <row r="150">
      <c r="C150" s="8"/>
      <c r="I150" s="8"/>
      <c r="J150" s="8"/>
    </row>
    <row r="151">
      <c r="C151" s="8"/>
      <c r="I151" s="8"/>
      <c r="J151" s="8"/>
    </row>
    <row r="152">
      <c r="C152" s="8"/>
      <c r="I152" s="8"/>
      <c r="J152" s="8"/>
    </row>
    <row r="153">
      <c r="C153" s="8"/>
      <c r="I153" s="8"/>
      <c r="J153" s="8"/>
    </row>
    <row r="154">
      <c r="C154" s="8"/>
      <c r="I154" s="8"/>
      <c r="J154" s="8"/>
    </row>
    <row r="155">
      <c r="C155" s="8"/>
      <c r="I155" s="8"/>
      <c r="J155" s="8"/>
    </row>
    <row r="156">
      <c r="C156" s="8"/>
      <c r="I156" s="8"/>
      <c r="J156" s="8"/>
    </row>
    <row r="157">
      <c r="C157" s="8"/>
      <c r="I157" s="8"/>
      <c r="J157" s="8"/>
    </row>
    <row r="158">
      <c r="C158" s="8"/>
      <c r="I158" s="8"/>
      <c r="J158" s="8"/>
    </row>
    <row r="159">
      <c r="C159" s="8"/>
      <c r="I159" s="8"/>
      <c r="J159" s="8"/>
    </row>
    <row r="160">
      <c r="C160" s="8"/>
      <c r="I160" s="8"/>
      <c r="J160" s="8"/>
    </row>
    <row r="161">
      <c r="C161" s="8"/>
      <c r="I161" s="8"/>
      <c r="J161" s="8"/>
    </row>
    <row r="162">
      <c r="C162" s="8"/>
      <c r="I162" s="8"/>
      <c r="J162" s="8"/>
    </row>
    <row r="163">
      <c r="C163" s="8"/>
      <c r="I163" s="8"/>
      <c r="J163" s="8"/>
    </row>
    <row r="164">
      <c r="C164" s="8"/>
      <c r="I164" s="8"/>
      <c r="J164" s="8"/>
    </row>
    <row r="165">
      <c r="C165" s="8"/>
      <c r="I165" s="8"/>
      <c r="J165" s="8"/>
    </row>
    <row r="166">
      <c r="C166" s="8"/>
      <c r="I166" s="8"/>
      <c r="J166" s="8"/>
    </row>
    <row r="167">
      <c r="C167" s="8"/>
      <c r="I167" s="8"/>
      <c r="J167" s="8"/>
    </row>
    <row r="168">
      <c r="C168" s="8"/>
      <c r="I168" s="8"/>
      <c r="J168" s="8"/>
    </row>
    <row r="169">
      <c r="C169" s="8"/>
      <c r="I169" s="8"/>
      <c r="J169" s="8"/>
    </row>
    <row r="170">
      <c r="C170" s="8"/>
      <c r="I170" s="8"/>
      <c r="J170" s="8"/>
    </row>
    <row r="171">
      <c r="C171" s="8"/>
      <c r="I171" s="8"/>
      <c r="J171" s="8"/>
    </row>
    <row r="172">
      <c r="C172" s="8"/>
      <c r="I172" s="8"/>
      <c r="J172" s="8"/>
    </row>
    <row r="173">
      <c r="C173" s="8"/>
      <c r="I173" s="8"/>
      <c r="J173" s="8"/>
    </row>
    <row r="174">
      <c r="C174" s="8"/>
      <c r="I174" s="8"/>
      <c r="J174" s="8"/>
    </row>
    <row r="175">
      <c r="C175" s="8"/>
      <c r="I175" s="8"/>
      <c r="J175" s="8"/>
    </row>
    <row r="176">
      <c r="C176" s="8"/>
      <c r="I176" s="8"/>
      <c r="J176" s="8"/>
    </row>
    <row r="177">
      <c r="C177" s="8"/>
      <c r="I177" s="8"/>
      <c r="J177" s="8"/>
    </row>
    <row r="178">
      <c r="C178" s="8"/>
      <c r="I178" s="8"/>
      <c r="J178" s="8"/>
    </row>
    <row r="179">
      <c r="C179" s="8"/>
      <c r="I179" s="8"/>
      <c r="J179" s="8"/>
    </row>
    <row r="180">
      <c r="C180" s="8"/>
      <c r="I180" s="8"/>
      <c r="J180" s="8"/>
    </row>
    <row r="181">
      <c r="C181" s="8"/>
      <c r="I181" s="8"/>
      <c r="J181" s="8"/>
    </row>
    <row r="182">
      <c r="C182" s="8"/>
      <c r="I182" s="8"/>
      <c r="J182" s="8"/>
    </row>
    <row r="183">
      <c r="C183" s="8"/>
      <c r="I183" s="8"/>
      <c r="J183" s="8"/>
    </row>
    <row r="184">
      <c r="C184" s="8"/>
      <c r="I184" s="8"/>
      <c r="J184" s="8"/>
    </row>
    <row r="185">
      <c r="C185" s="8"/>
      <c r="I185" s="8"/>
      <c r="J185" s="8"/>
    </row>
    <row r="186">
      <c r="C186" s="8"/>
      <c r="I186" s="8"/>
      <c r="J186" s="8"/>
    </row>
    <row r="187">
      <c r="C187" s="8"/>
      <c r="I187" s="8"/>
      <c r="J187" s="8"/>
    </row>
    <row r="188">
      <c r="C188" s="8"/>
      <c r="I188" s="8"/>
      <c r="J188" s="8"/>
    </row>
    <row r="189">
      <c r="C189" s="8"/>
      <c r="I189" s="8"/>
      <c r="J189" s="8"/>
    </row>
    <row r="190">
      <c r="C190" s="8"/>
      <c r="I190" s="8"/>
      <c r="J190" s="8"/>
    </row>
    <row r="191">
      <c r="C191" s="8"/>
      <c r="I191" s="8"/>
      <c r="J191" s="8"/>
    </row>
    <row r="192">
      <c r="C192" s="8"/>
      <c r="I192" s="8"/>
      <c r="J192" s="8"/>
    </row>
    <row r="193">
      <c r="C193" s="8"/>
      <c r="I193" s="8"/>
      <c r="J193" s="8"/>
    </row>
    <row r="194">
      <c r="C194" s="8"/>
      <c r="I194" s="8"/>
      <c r="J194" s="8"/>
    </row>
    <row r="195">
      <c r="C195" s="8"/>
      <c r="I195" s="8"/>
      <c r="J195" s="8"/>
    </row>
    <row r="196">
      <c r="C196" s="8"/>
      <c r="I196" s="8"/>
      <c r="J196" s="8"/>
    </row>
    <row r="197">
      <c r="C197" s="8"/>
      <c r="I197" s="8"/>
      <c r="J197" s="8"/>
    </row>
    <row r="198">
      <c r="C198" s="8"/>
      <c r="I198" s="8"/>
      <c r="J198" s="8"/>
    </row>
    <row r="199">
      <c r="C199" s="8"/>
      <c r="I199" s="8"/>
      <c r="J199" s="8"/>
    </row>
    <row r="200">
      <c r="C200" s="8"/>
      <c r="I200" s="8"/>
      <c r="J200" s="8"/>
    </row>
    <row r="201">
      <c r="C201" s="8"/>
      <c r="I201" s="8"/>
      <c r="J201" s="8"/>
    </row>
    <row r="202">
      <c r="C202" s="8"/>
      <c r="I202" s="8"/>
      <c r="J202" s="8"/>
    </row>
    <row r="203">
      <c r="C203" s="8"/>
      <c r="I203" s="8"/>
      <c r="J203" s="8"/>
    </row>
    <row r="204">
      <c r="C204" s="8"/>
      <c r="I204" s="8"/>
      <c r="J204" s="8"/>
    </row>
    <row r="205">
      <c r="C205" s="8"/>
      <c r="I205" s="8"/>
      <c r="J205" s="8"/>
    </row>
    <row r="206">
      <c r="C206" s="8"/>
      <c r="I206" s="8"/>
      <c r="J206" s="8"/>
    </row>
    <row r="207">
      <c r="C207" s="8"/>
      <c r="I207" s="8"/>
      <c r="J207" s="8"/>
    </row>
    <row r="208">
      <c r="C208" s="8"/>
      <c r="I208" s="8"/>
      <c r="J208" s="8"/>
    </row>
    <row r="209">
      <c r="C209" s="8"/>
      <c r="I209" s="8"/>
      <c r="J209" s="8"/>
    </row>
    <row r="210">
      <c r="C210" s="8"/>
      <c r="I210" s="8"/>
      <c r="J210" s="8"/>
    </row>
    <row r="211">
      <c r="C211" s="8"/>
      <c r="I211" s="8"/>
      <c r="J211" s="8"/>
    </row>
    <row r="212">
      <c r="C212" s="8"/>
      <c r="I212" s="8"/>
      <c r="J212" s="8"/>
    </row>
    <row r="213">
      <c r="C213" s="8"/>
      <c r="I213" s="8"/>
      <c r="J213" s="8"/>
    </row>
    <row r="214">
      <c r="C214" s="8"/>
      <c r="I214" s="8"/>
      <c r="J214" s="8"/>
    </row>
    <row r="215">
      <c r="C215" s="8"/>
      <c r="I215" s="8"/>
      <c r="J215" s="8"/>
    </row>
    <row r="216">
      <c r="C216" s="8"/>
      <c r="I216" s="8"/>
      <c r="J216" s="8"/>
    </row>
    <row r="217">
      <c r="C217" s="8"/>
      <c r="I217" s="8"/>
      <c r="J217" s="8"/>
    </row>
    <row r="218">
      <c r="C218" s="8"/>
      <c r="I218" s="8"/>
      <c r="J218" s="8"/>
    </row>
    <row r="219">
      <c r="C219" s="8"/>
      <c r="I219" s="8"/>
      <c r="J219" s="8"/>
    </row>
    <row r="220">
      <c r="C220" s="8"/>
      <c r="I220" s="8"/>
      <c r="J220" s="8"/>
    </row>
    <row r="221">
      <c r="C221" s="8"/>
      <c r="I221" s="8"/>
      <c r="J221" s="8"/>
    </row>
    <row r="222">
      <c r="C222" s="8"/>
      <c r="I222" s="8"/>
      <c r="J222" s="8"/>
    </row>
    <row r="223">
      <c r="C223" s="8"/>
      <c r="I223" s="8"/>
      <c r="J223" s="8"/>
    </row>
    <row r="224">
      <c r="C224" s="8"/>
      <c r="I224" s="8"/>
      <c r="J224" s="8"/>
    </row>
    <row r="225">
      <c r="C225" s="8"/>
      <c r="I225" s="8"/>
      <c r="J225" s="8"/>
    </row>
    <row r="226">
      <c r="C226" s="8"/>
      <c r="I226" s="8"/>
      <c r="J226" s="8"/>
    </row>
    <row r="227">
      <c r="C227" s="8"/>
      <c r="I227" s="8"/>
      <c r="J227" s="8"/>
    </row>
    <row r="228">
      <c r="C228" s="8"/>
      <c r="I228" s="8"/>
      <c r="J228" s="8"/>
    </row>
    <row r="229">
      <c r="C229" s="8"/>
      <c r="I229" s="8"/>
      <c r="J229" s="8"/>
    </row>
    <row r="230">
      <c r="C230" s="8"/>
      <c r="I230" s="8"/>
      <c r="J230" s="8"/>
    </row>
    <row r="231">
      <c r="C231" s="8"/>
      <c r="I231" s="8"/>
      <c r="J231" s="8"/>
    </row>
    <row r="232">
      <c r="C232" s="8"/>
      <c r="I232" s="8"/>
      <c r="J232" s="8"/>
    </row>
    <row r="233">
      <c r="C233" s="8"/>
      <c r="I233" s="8"/>
      <c r="J233" s="8"/>
    </row>
    <row r="234">
      <c r="C234" s="8"/>
      <c r="I234" s="8"/>
      <c r="J234" s="8"/>
    </row>
    <row r="235">
      <c r="C235" s="8"/>
      <c r="I235" s="8"/>
      <c r="J235" s="8"/>
    </row>
    <row r="236">
      <c r="C236" s="8"/>
      <c r="I236" s="8"/>
      <c r="J236" s="8"/>
    </row>
    <row r="237">
      <c r="C237" s="8"/>
      <c r="I237" s="8"/>
      <c r="J237" s="8"/>
    </row>
    <row r="238">
      <c r="C238" s="8"/>
      <c r="I238" s="8"/>
      <c r="J238" s="8"/>
    </row>
    <row r="239">
      <c r="C239" s="8"/>
      <c r="I239" s="8"/>
      <c r="J239" s="8"/>
    </row>
    <row r="240">
      <c r="C240" s="8"/>
      <c r="I240" s="8"/>
      <c r="J240" s="8"/>
    </row>
    <row r="241">
      <c r="C241" s="8"/>
      <c r="I241" s="8"/>
      <c r="J241" s="8"/>
    </row>
    <row r="242">
      <c r="C242" s="8"/>
      <c r="I242" s="8"/>
      <c r="J242" s="8"/>
    </row>
    <row r="243">
      <c r="C243" s="8"/>
      <c r="I243" s="8"/>
      <c r="J243" s="8"/>
    </row>
    <row r="244">
      <c r="C244" s="8"/>
      <c r="I244" s="8"/>
      <c r="J244" s="8"/>
    </row>
    <row r="245">
      <c r="C245" s="8"/>
      <c r="I245" s="8"/>
      <c r="J245" s="8"/>
    </row>
    <row r="246">
      <c r="C246" s="8"/>
      <c r="I246" s="8"/>
      <c r="J246" s="8"/>
    </row>
    <row r="247">
      <c r="C247" s="8"/>
      <c r="I247" s="8"/>
      <c r="J247" s="8"/>
    </row>
    <row r="248">
      <c r="C248" s="8"/>
      <c r="I248" s="8"/>
      <c r="J248" s="8"/>
    </row>
    <row r="249">
      <c r="C249" s="8"/>
      <c r="I249" s="8"/>
      <c r="J249" s="8"/>
    </row>
    <row r="250">
      <c r="C250" s="8"/>
      <c r="I250" s="8"/>
      <c r="J250" s="8"/>
    </row>
    <row r="251">
      <c r="C251" s="8"/>
      <c r="I251" s="8"/>
      <c r="J251" s="8"/>
    </row>
    <row r="252">
      <c r="C252" s="8"/>
      <c r="I252" s="8"/>
      <c r="J252" s="8"/>
    </row>
    <row r="253">
      <c r="C253" s="8"/>
      <c r="I253" s="8"/>
      <c r="J253" s="8"/>
    </row>
    <row r="254">
      <c r="C254" s="8"/>
      <c r="I254" s="8"/>
      <c r="J254" s="8"/>
    </row>
    <row r="255">
      <c r="C255" s="8"/>
      <c r="I255" s="8"/>
      <c r="J255" s="8"/>
    </row>
    <row r="256">
      <c r="C256" s="8"/>
      <c r="I256" s="8"/>
      <c r="J256" s="8"/>
    </row>
    <row r="257">
      <c r="C257" s="8"/>
      <c r="I257" s="8"/>
      <c r="J257" s="8"/>
    </row>
    <row r="258">
      <c r="C258" s="8"/>
      <c r="I258" s="8"/>
      <c r="J258" s="8"/>
    </row>
    <row r="259">
      <c r="C259" s="8"/>
      <c r="I259" s="8"/>
      <c r="J259" s="8"/>
    </row>
    <row r="260">
      <c r="C260" s="8"/>
      <c r="I260" s="8"/>
      <c r="J260" s="8"/>
    </row>
    <row r="261">
      <c r="C261" s="8"/>
      <c r="I261" s="8"/>
      <c r="J261" s="8"/>
    </row>
    <row r="262">
      <c r="C262" s="8"/>
      <c r="I262" s="8"/>
      <c r="J262" s="8"/>
    </row>
    <row r="263">
      <c r="C263" s="8"/>
      <c r="I263" s="8"/>
      <c r="J263" s="8"/>
    </row>
    <row r="264">
      <c r="C264" s="8"/>
      <c r="I264" s="8"/>
      <c r="J264" s="8"/>
    </row>
    <row r="265">
      <c r="C265" s="8"/>
      <c r="I265" s="8"/>
      <c r="J265" s="8"/>
    </row>
    <row r="266">
      <c r="C266" s="8"/>
      <c r="I266" s="8"/>
      <c r="J266" s="8"/>
    </row>
    <row r="267">
      <c r="C267" s="8"/>
      <c r="I267" s="8"/>
      <c r="J267" s="8"/>
    </row>
    <row r="268">
      <c r="C268" s="8"/>
      <c r="I268" s="8"/>
      <c r="J268" s="8"/>
    </row>
    <row r="269">
      <c r="C269" s="8"/>
      <c r="I269" s="8"/>
      <c r="J269" s="8"/>
    </row>
    <row r="270">
      <c r="C270" s="8"/>
      <c r="I270" s="8"/>
      <c r="J270" s="8"/>
    </row>
    <row r="271">
      <c r="C271" s="8"/>
      <c r="I271" s="8"/>
      <c r="J271" s="8"/>
    </row>
    <row r="272">
      <c r="C272" s="8"/>
      <c r="I272" s="8"/>
      <c r="J272" s="8"/>
    </row>
    <row r="273">
      <c r="C273" s="8"/>
      <c r="I273" s="8"/>
      <c r="J273" s="8"/>
    </row>
    <row r="274">
      <c r="C274" s="8"/>
      <c r="I274" s="8"/>
      <c r="J274" s="8"/>
    </row>
    <row r="275">
      <c r="C275" s="8"/>
      <c r="I275" s="8"/>
      <c r="J275" s="8"/>
    </row>
    <row r="276">
      <c r="C276" s="8"/>
      <c r="I276" s="8"/>
      <c r="J276" s="8"/>
    </row>
    <row r="277">
      <c r="C277" s="8"/>
      <c r="I277" s="8"/>
      <c r="J277" s="8"/>
    </row>
    <row r="278">
      <c r="C278" s="8"/>
      <c r="I278" s="8"/>
      <c r="J278" s="8"/>
    </row>
    <row r="279">
      <c r="C279" s="8"/>
      <c r="I279" s="8"/>
      <c r="J279" s="8"/>
    </row>
    <row r="280">
      <c r="C280" s="8"/>
      <c r="I280" s="8"/>
      <c r="J280" s="8"/>
    </row>
    <row r="281">
      <c r="C281" s="8"/>
      <c r="I281" s="8"/>
      <c r="J281" s="8"/>
    </row>
    <row r="282">
      <c r="C282" s="8"/>
      <c r="I282" s="8"/>
      <c r="J282" s="8"/>
    </row>
    <row r="283">
      <c r="C283" s="8"/>
      <c r="I283" s="8"/>
      <c r="J283" s="8"/>
    </row>
    <row r="284">
      <c r="C284" s="8"/>
      <c r="I284" s="8"/>
      <c r="J284" s="8"/>
    </row>
    <row r="285">
      <c r="C285" s="8"/>
      <c r="I285" s="8"/>
      <c r="J285" s="8"/>
    </row>
    <row r="286">
      <c r="C286" s="8"/>
      <c r="I286" s="8"/>
      <c r="J286" s="8"/>
    </row>
    <row r="287">
      <c r="C287" s="8"/>
      <c r="I287" s="8"/>
      <c r="J287" s="8"/>
    </row>
    <row r="288">
      <c r="C288" s="8"/>
      <c r="I288" s="8"/>
      <c r="J288" s="8"/>
    </row>
    <row r="289">
      <c r="C289" s="8"/>
      <c r="I289" s="8"/>
      <c r="J289" s="8"/>
    </row>
    <row r="290">
      <c r="C290" s="8"/>
      <c r="I290" s="8"/>
      <c r="J290" s="8"/>
    </row>
    <row r="291">
      <c r="C291" s="8"/>
      <c r="I291" s="8"/>
      <c r="J291" s="8"/>
    </row>
    <row r="292">
      <c r="C292" s="8"/>
      <c r="I292" s="8"/>
      <c r="J292" s="8"/>
    </row>
    <row r="293">
      <c r="C293" s="8"/>
      <c r="I293" s="8"/>
      <c r="J293" s="8"/>
    </row>
    <row r="294">
      <c r="C294" s="8"/>
      <c r="I294" s="8"/>
      <c r="J294" s="8"/>
    </row>
    <row r="295">
      <c r="C295" s="8"/>
      <c r="I295" s="8"/>
      <c r="J295" s="8"/>
    </row>
    <row r="296">
      <c r="C296" s="8"/>
      <c r="I296" s="8"/>
      <c r="J296" s="8"/>
    </row>
    <row r="297">
      <c r="C297" s="8"/>
      <c r="I297" s="8"/>
      <c r="J297" s="8"/>
    </row>
    <row r="298">
      <c r="C298" s="8"/>
      <c r="I298" s="8"/>
      <c r="J298" s="8"/>
    </row>
    <row r="299">
      <c r="C299" s="8"/>
      <c r="I299" s="8"/>
      <c r="J299" s="8"/>
    </row>
    <row r="300">
      <c r="C300" s="8"/>
      <c r="I300" s="8"/>
      <c r="J300" s="8"/>
    </row>
    <row r="301">
      <c r="C301" s="8"/>
      <c r="I301" s="8"/>
      <c r="J301" s="8"/>
    </row>
    <row r="302">
      <c r="C302" s="8"/>
      <c r="I302" s="8"/>
      <c r="J302" s="8"/>
    </row>
    <row r="303">
      <c r="C303" s="8"/>
      <c r="I303" s="8"/>
      <c r="J303" s="8"/>
    </row>
    <row r="304">
      <c r="C304" s="8"/>
      <c r="I304" s="8"/>
      <c r="J304" s="8"/>
    </row>
    <row r="305">
      <c r="C305" s="8"/>
      <c r="I305" s="8"/>
      <c r="J305" s="8"/>
    </row>
    <row r="306">
      <c r="C306" s="8"/>
      <c r="I306" s="8"/>
      <c r="J306" s="8"/>
    </row>
    <row r="307">
      <c r="C307" s="8"/>
      <c r="I307" s="8"/>
      <c r="J307" s="8"/>
    </row>
    <row r="308">
      <c r="C308" s="8"/>
      <c r="I308" s="8"/>
      <c r="J308" s="8"/>
    </row>
    <row r="309">
      <c r="C309" s="8"/>
      <c r="I309" s="8"/>
      <c r="J309" s="8"/>
    </row>
    <row r="310">
      <c r="C310" s="8"/>
      <c r="I310" s="8"/>
      <c r="J310" s="8"/>
    </row>
    <row r="311">
      <c r="C311" s="8"/>
      <c r="I311" s="8"/>
      <c r="J311" s="8"/>
    </row>
    <row r="312">
      <c r="C312" s="8"/>
      <c r="I312" s="8"/>
      <c r="J312" s="8"/>
    </row>
    <row r="313">
      <c r="C313" s="8"/>
      <c r="I313" s="8"/>
      <c r="J313" s="8"/>
    </row>
    <row r="314">
      <c r="C314" s="8"/>
      <c r="I314" s="8"/>
      <c r="J314" s="8"/>
    </row>
    <row r="315">
      <c r="C315" s="8"/>
      <c r="I315" s="8"/>
      <c r="J315" s="8"/>
    </row>
    <row r="316">
      <c r="C316" s="8"/>
      <c r="I316" s="8"/>
      <c r="J316" s="8"/>
    </row>
    <row r="317">
      <c r="C317" s="8"/>
      <c r="I317" s="8"/>
      <c r="J317" s="8"/>
    </row>
    <row r="318">
      <c r="C318" s="8"/>
      <c r="I318" s="8"/>
      <c r="J318" s="8"/>
    </row>
    <row r="319">
      <c r="C319" s="8"/>
      <c r="I319" s="8"/>
      <c r="J319" s="8"/>
    </row>
    <row r="320">
      <c r="C320" s="8"/>
      <c r="I320" s="8"/>
      <c r="J320" s="8"/>
    </row>
    <row r="321">
      <c r="C321" s="8"/>
      <c r="I321" s="8"/>
      <c r="J321" s="8"/>
    </row>
    <row r="322">
      <c r="C322" s="8"/>
      <c r="I322" s="8"/>
      <c r="J322" s="8"/>
    </row>
    <row r="323">
      <c r="C323" s="8"/>
      <c r="I323" s="8"/>
      <c r="J323" s="8"/>
    </row>
    <row r="324">
      <c r="C324" s="8"/>
      <c r="I324" s="8"/>
      <c r="J324" s="8"/>
    </row>
    <row r="325">
      <c r="C325" s="8"/>
      <c r="I325" s="8"/>
      <c r="J325" s="8"/>
    </row>
    <row r="326">
      <c r="C326" s="8"/>
      <c r="I326" s="8"/>
      <c r="J326" s="8"/>
    </row>
    <row r="327">
      <c r="C327" s="8"/>
      <c r="I327" s="8"/>
      <c r="J327" s="8"/>
    </row>
    <row r="328">
      <c r="C328" s="8"/>
      <c r="I328" s="8"/>
      <c r="J328" s="8"/>
    </row>
    <row r="329">
      <c r="C329" s="8"/>
      <c r="I329" s="8"/>
      <c r="J329" s="8"/>
    </row>
    <row r="330">
      <c r="C330" s="8"/>
      <c r="I330" s="8"/>
      <c r="J330" s="8"/>
    </row>
    <row r="331">
      <c r="C331" s="8"/>
      <c r="I331" s="8"/>
      <c r="J331" s="8"/>
    </row>
    <row r="332">
      <c r="C332" s="8"/>
      <c r="I332" s="8"/>
      <c r="J332" s="8"/>
    </row>
    <row r="333">
      <c r="C333" s="8"/>
      <c r="I333" s="8"/>
      <c r="J333" s="8"/>
    </row>
    <row r="334">
      <c r="C334" s="8"/>
      <c r="I334" s="8"/>
      <c r="J334" s="8"/>
    </row>
    <row r="335">
      <c r="C335" s="8"/>
      <c r="I335" s="8"/>
      <c r="J335" s="8"/>
    </row>
    <row r="336">
      <c r="C336" s="8"/>
      <c r="I336" s="8"/>
      <c r="J336" s="8"/>
    </row>
    <row r="337">
      <c r="C337" s="8"/>
      <c r="I337" s="8"/>
      <c r="J337" s="8"/>
    </row>
    <row r="338">
      <c r="C338" s="8"/>
      <c r="I338" s="8"/>
      <c r="J338" s="8"/>
    </row>
    <row r="339">
      <c r="C339" s="8"/>
      <c r="I339" s="8"/>
      <c r="J339" s="8"/>
    </row>
    <row r="340">
      <c r="C340" s="8"/>
      <c r="I340" s="8"/>
      <c r="J340" s="8"/>
    </row>
    <row r="341">
      <c r="C341" s="8"/>
      <c r="I341" s="8"/>
      <c r="J341" s="8"/>
    </row>
    <row r="342">
      <c r="C342" s="8"/>
      <c r="I342" s="8"/>
      <c r="J342" s="8"/>
    </row>
    <row r="343">
      <c r="C343" s="8"/>
      <c r="I343" s="8"/>
      <c r="J343" s="8"/>
    </row>
    <row r="344">
      <c r="C344" s="8"/>
      <c r="I344" s="8"/>
      <c r="J344" s="8"/>
    </row>
    <row r="345">
      <c r="C345" s="8"/>
      <c r="I345" s="8"/>
      <c r="J345" s="8"/>
    </row>
    <row r="346">
      <c r="C346" s="8"/>
      <c r="I346" s="8"/>
      <c r="J346" s="8"/>
    </row>
    <row r="347">
      <c r="C347" s="8"/>
      <c r="I347" s="8"/>
      <c r="J347" s="8"/>
    </row>
    <row r="348">
      <c r="C348" s="8"/>
      <c r="I348" s="8"/>
      <c r="J348" s="8"/>
    </row>
    <row r="349">
      <c r="C349" s="8"/>
      <c r="I349" s="8"/>
      <c r="J349" s="8"/>
    </row>
    <row r="350">
      <c r="C350" s="8"/>
      <c r="I350" s="8"/>
      <c r="J350" s="8"/>
    </row>
    <row r="351">
      <c r="C351" s="8"/>
      <c r="I351" s="8"/>
      <c r="J351" s="8"/>
    </row>
    <row r="352">
      <c r="C352" s="8"/>
      <c r="I352" s="8"/>
      <c r="J352" s="8"/>
    </row>
    <row r="353">
      <c r="C353" s="8"/>
      <c r="I353" s="8"/>
      <c r="J353" s="8"/>
    </row>
    <row r="354">
      <c r="C354" s="8"/>
      <c r="I354" s="8"/>
      <c r="J354" s="8"/>
    </row>
    <row r="355">
      <c r="C355" s="8"/>
      <c r="I355" s="8"/>
      <c r="J355" s="8"/>
    </row>
    <row r="356">
      <c r="C356" s="8"/>
      <c r="I356" s="8"/>
      <c r="J356" s="8"/>
    </row>
    <row r="357">
      <c r="C357" s="8"/>
      <c r="I357" s="8"/>
      <c r="J357" s="8"/>
    </row>
    <row r="358">
      <c r="C358" s="8"/>
      <c r="I358" s="8"/>
      <c r="J358" s="8"/>
    </row>
    <row r="359">
      <c r="C359" s="8"/>
      <c r="I359" s="8"/>
      <c r="J359" s="8"/>
    </row>
    <row r="360">
      <c r="C360" s="8"/>
      <c r="I360" s="8"/>
      <c r="J360" s="8"/>
    </row>
    <row r="361">
      <c r="C361" s="8"/>
      <c r="I361" s="8"/>
      <c r="J361" s="8"/>
    </row>
    <row r="362">
      <c r="C362" s="8"/>
      <c r="I362" s="8"/>
      <c r="J362" s="8"/>
    </row>
    <row r="363">
      <c r="C363" s="8"/>
      <c r="I363" s="8"/>
      <c r="J363" s="8"/>
    </row>
    <row r="364">
      <c r="C364" s="8"/>
      <c r="I364" s="8"/>
      <c r="J364" s="8"/>
    </row>
    <row r="365">
      <c r="C365" s="8"/>
      <c r="I365" s="8"/>
      <c r="J365" s="8"/>
    </row>
    <row r="366">
      <c r="C366" s="8"/>
      <c r="I366" s="8"/>
      <c r="J366" s="8"/>
    </row>
    <row r="367">
      <c r="C367" s="8"/>
      <c r="I367" s="8"/>
      <c r="J367" s="8"/>
    </row>
    <row r="368">
      <c r="C368" s="8"/>
      <c r="I368" s="8"/>
      <c r="J368" s="8"/>
    </row>
    <row r="369">
      <c r="C369" s="8"/>
      <c r="I369" s="8"/>
      <c r="J369" s="8"/>
    </row>
    <row r="370">
      <c r="C370" s="8"/>
      <c r="I370" s="8"/>
      <c r="J370" s="8"/>
    </row>
    <row r="371">
      <c r="C371" s="8"/>
      <c r="I371" s="8"/>
      <c r="J371" s="8"/>
    </row>
    <row r="372">
      <c r="C372" s="8"/>
      <c r="I372" s="8"/>
      <c r="J372" s="8"/>
    </row>
    <row r="373">
      <c r="C373" s="8"/>
      <c r="I373" s="8"/>
      <c r="J373" s="8"/>
    </row>
    <row r="374">
      <c r="C374" s="8"/>
      <c r="I374" s="8"/>
      <c r="J374" s="8"/>
    </row>
    <row r="375">
      <c r="C375" s="8"/>
      <c r="I375" s="8"/>
      <c r="J375" s="8"/>
    </row>
    <row r="376">
      <c r="C376" s="8"/>
      <c r="I376" s="8"/>
      <c r="J376" s="8"/>
    </row>
    <row r="377">
      <c r="C377" s="8"/>
      <c r="I377" s="8"/>
      <c r="J377" s="8"/>
    </row>
    <row r="378">
      <c r="C378" s="8"/>
      <c r="I378" s="8"/>
      <c r="J378" s="8"/>
    </row>
    <row r="379">
      <c r="C379" s="8"/>
      <c r="I379" s="8"/>
      <c r="J379" s="8"/>
    </row>
    <row r="380">
      <c r="C380" s="8"/>
      <c r="I380" s="8"/>
      <c r="J380" s="8"/>
    </row>
    <row r="381">
      <c r="C381" s="8"/>
      <c r="I381" s="8"/>
      <c r="J381" s="8"/>
    </row>
    <row r="382">
      <c r="C382" s="8"/>
      <c r="I382" s="8"/>
      <c r="J382" s="8"/>
    </row>
    <row r="383">
      <c r="C383" s="8"/>
      <c r="I383" s="8"/>
      <c r="J383" s="8"/>
    </row>
    <row r="384">
      <c r="C384" s="8"/>
      <c r="I384" s="8"/>
      <c r="J384" s="8"/>
    </row>
    <row r="385">
      <c r="C385" s="8"/>
      <c r="I385" s="8"/>
      <c r="J385" s="8"/>
    </row>
    <row r="386">
      <c r="C386" s="8"/>
      <c r="I386" s="8"/>
      <c r="J386" s="8"/>
    </row>
    <row r="387">
      <c r="C387" s="8"/>
      <c r="I387" s="8"/>
      <c r="J387" s="8"/>
    </row>
    <row r="388">
      <c r="C388" s="8"/>
      <c r="I388" s="8"/>
      <c r="J388" s="8"/>
    </row>
    <row r="389">
      <c r="C389" s="8"/>
      <c r="I389" s="8"/>
      <c r="J389" s="8"/>
    </row>
    <row r="390">
      <c r="C390" s="8"/>
      <c r="I390" s="8"/>
      <c r="J390" s="8"/>
    </row>
    <row r="391">
      <c r="C391" s="8"/>
      <c r="I391" s="8"/>
      <c r="J391" s="8"/>
    </row>
    <row r="392">
      <c r="C392" s="8"/>
      <c r="I392" s="8"/>
      <c r="J392" s="8"/>
    </row>
    <row r="393">
      <c r="C393" s="8"/>
      <c r="I393" s="8"/>
      <c r="J393" s="8"/>
    </row>
    <row r="394">
      <c r="C394" s="8"/>
      <c r="I394" s="8"/>
      <c r="J394" s="8"/>
    </row>
    <row r="395">
      <c r="C395" s="8"/>
      <c r="I395" s="8"/>
      <c r="J395" s="8"/>
    </row>
    <row r="396">
      <c r="C396" s="8"/>
      <c r="I396" s="8"/>
      <c r="J396" s="8"/>
    </row>
    <row r="397">
      <c r="C397" s="8"/>
      <c r="I397" s="8"/>
      <c r="J397" s="8"/>
    </row>
    <row r="398">
      <c r="C398" s="8"/>
      <c r="I398" s="8"/>
      <c r="J398" s="8"/>
    </row>
    <row r="399">
      <c r="C399" s="8"/>
      <c r="I399" s="8"/>
      <c r="J399" s="8"/>
    </row>
    <row r="400">
      <c r="C400" s="8"/>
      <c r="I400" s="8"/>
      <c r="J400" s="8"/>
    </row>
    <row r="401">
      <c r="C401" s="8"/>
      <c r="I401" s="8"/>
      <c r="J401" s="8"/>
    </row>
    <row r="402">
      <c r="C402" s="8"/>
      <c r="I402" s="8"/>
      <c r="J402" s="8"/>
    </row>
    <row r="403">
      <c r="C403" s="8"/>
      <c r="I403" s="8"/>
      <c r="J403" s="8"/>
    </row>
    <row r="404">
      <c r="C404" s="8"/>
      <c r="I404" s="8"/>
      <c r="J404" s="8"/>
    </row>
    <row r="405">
      <c r="C405" s="8"/>
      <c r="I405" s="8"/>
      <c r="J405" s="8"/>
    </row>
    <row r="406">
      <c r="C406" s="8"/>
      <c r="I406" s="8"/>
      <c r="J406" s="8"/>
    </row>
    <row r="407">
      <c r="C407" s="8"/>
      <c r="I407" s="8"/>
      <c r="J407" s="8"/>
    </row>
    <row r="408">
      <c r="C408" s="8"/>
      <c r="I408" s="8"/>
      <c r="J408" s="8"/>
    </row>
    <row r="409">
      <c r="C409" s="8"/>
      <c r="I409" s="8"/>
      <c r="J409" s="8"/>
    </row>
    <row r="410">
      <c r="C410" s="8"/>
      <c r="I410" s="8"/>
      <c r="J410" s="8"/>
    </row>
    <row r="411">
      <c r="C411" s="8"/>
      <c r="I411" s="8"/>
      <c r="J411" s="8"/>
    </row>
    <row r="412">
      <c r="C412" s="8"/>
      <c r="I412" s="8"/>
      <c r="J412" s="8"/>
    </row>
    <row r="413">
      <c r="C413" s="8"/>
      <c r="I413" s="8"/>
      <c r="J413" s="8"/>
    </row>
    <row r="414">
      <c r="C414" s="8"/>
      <c r="I414" s="8"/>
      <c r="J414" s="8"/>
    </row>
    <row r="415">
      <c r="C415" s="8"/>
      <c r="I415" s="8"/>
      <c r="J415" s="8"/>
    </row>
    <row r="416">
      <c r="C416" s="8"/>
      <c r="I416" s="8"/>
      <c r="J416" s="8"/>
    </row>
    <row r="417">
      <c r="C417" s="8"/>
      <c r="I417" s="8"/>
      <c r="J417" s="8"/>
    </row>
    <row r="418">
      <c r="C418" s="8"/>
      <c r="I418" s="8"/>
      <c r="J418" s="8"/>
    </row>
    <row r="419">
      <c r="C419" s="8"/>
      <c r="I419" s="8"/>
      <c r="J419" s="8"/>
    </row>
    <row r="420">
      <c r="C420" s="8"/>
      <c r="I420" s="8"/>
      <c r="J420" s="8"/>
    </row>
    <row r="421">
      <c r="C421" s="8"/>
      <c r="I421" s="8"/>
      <c r="J421" s="8"/>
    </row>
    <row r="422">
      <c r="C422" s="8"/>
      <c r="I422" s="8"/>
      <c r="J422" s="8"/>
    </row>
    <row r="423">
      <c r="C423" s="8"/>
      <c r="I423" s="8"/>
      <c r="J423" s="8"/>
    </row>
    <row r="424">
      <c r="C424" s="8"/>
      <c r="I424" s="8"/>
      <c r="J424" s="8"/>
    </row>
    <row r="425">
      <c r="C425" s="8"/>
      <c r="I425" s="8"/>
      <c r="J425" s="8"/>
    </row>
    <row r="426">
      <c r="C426" s="8"/>
      <c r="I426" s="8"/>
      <c r="J426" s="8"/>
    </row>
    <row r="427">
      <c r="C427" s="8"/>
      <c r="I427" s="8"/>
      <c r="J427" s="8"/>
    </row>
    <row r="428">
      <c r="C428" s="8"/>
      <c r="I428" s="8"/>
      <c r="J428" s="8"/>
    </row>
    <row r="429">
      <c r="C429" s="8"/>
      <c r="I429" s="8"/>
      <c r="J429" s="8"/>
    </row>
    <row r="430">
      <c r="C430" s="8"/>
      <c r="I430" s="8"/>
      <c r="J430" s="8"/>
    </row>
    <row r="431">
      <c r="C431" s="8"/>
      <c r="I431" s="8"/>
      <c r="J431" s="8"/>
    </row>
    <row r="432">
      <c r="C432" s="8"/>
      <c r="I432" s="8"/>
      <c r="J432" s="8"/>
    </row>
    <row r="433">
      <c r="C433" s="8"/>
      <c r="I433" s="8"/>
      <c r="J433" s="8"/>
    </row>
    <row r="434">
      <c r="C434" s="8"/>
      <c r="I434" s="8"/>
      <c r="J434" s="8"/>
    </row>
    <row r="435">
      <c r="C435" s="8"/>
      <c r="I435" s="8"/>
      <c r="J435" s="8"/>
    </row>
    <row r="436">
      <c r="C436" s="8"/>
      <c r="I436" s="8"/>
      <c r="J436" s="8"/>
    </row>
    <row r="437">
      <c r="C437" s="8"/>
      <c r="I437" s="8"/>
      <c r="J437" s="8"/>
    </row>
    <row r="438">
      <c r="C438" s="8"/>
      <c r="I438" s="8"/>
      <c r="J438" s="8"/>
    </row>
    <row r="439">
      <c r="C439" s="8"/>
      <c r="I439" s="8"/>
      <c r="J439" s="8"/>
    </row>
    <row r="440">
      <c r="C440" s="8"/>
      <c r="I440" s="8"/>
      <c r="J440" s="8"/>
    </row>
    <row r="441">
      <c r="C441" s="8"/>
      <c r="I441" s="8"/>
      <c r="J441" s="8"/>
    </row>
    <row r="442">
      <c r="C442" s="8"/>
      <c r="I442" s="8"/>
      <c r="J442" s="8"/>
    </row>
    <row r="443">
      <c r="C443" s="8"/>
      <c r="I443" s="8"/>
      <c r="J443" s="8"/>
    </row>
    <row r="444">
      <c r="C444" s="8"/>
      <c r="I444" s="8"/>
      <c r="J444" s="8"/>
    </row>
    <row r="445">
      <c r="C445" s="8"/>
      <c r="I445" s="8"/>
      <c r="J445" s="8"/>
    </row>
    <row r="446">
      <c r="C446" s="8"/>
      <c r="I446" s="8"/>
      <c r="J446" s="8"/>
    </row>
    <row r="447">
      <c r="C447" s="8"/>
      <c r="I447" s="8"/>
      <c r="J447" s="8"/>
    </row>
    <row r="448">
      <c r="C448" s="8"/>
      <c r="I448" s="8"/>
      <c r="J448" s="8"/>
    </row>
    <row r="449">
      <c r="C449" s="8"/>
      <c r="I449" s="8"/>
      <c r="J449" s="8"/>
    </row>
    <row r="450">
      <c r="C450" s="8"/>
      <c r="I450" s="8"/>
      <c r="J450" s="8"/>
    </row>
    <row r="451">
      <c r="C451" s="8"/>
      <c r="I451" s="8"/>
      <c r="J451" s="8"/>
    </row>
    <row r="452">
      <c r="C452" s="8"/>
      <c r="I452" s="8"/>
      <c r="J452" s="8"/>
    </row>
    <row r="453">
      <c r="C453" s="8"/>
      <c r="I453" s="8"/>
      <c r="J453" s="8"/>
    </row>
    <row r="454">
      <c r="C454" s="8"/>
      <c r="I454" s="8"/>
      <c r="J454" s="8"/>
    </row>
    <row r="455">
      <c r="C455" s="8"/>
      <c r="I455" s="8"/>
      <c r="J455" s="8"/>
    </row>
    <row r="456">
      <c r="C456" s="8"/>
      <c r="I456" s="8"/>
      <c r="J456" s="8"/>
    </row>
    <row r="457">
      <c r="C457" s="8"/>
      <c r="I457" s="8"/>
      <c r="J457" s="8"/>
    </row>
    <row r="458">
      <c r="C458" s="8"/>
      <c r="I458" s="8"/>
      <c r="J458" s="8"/>
    </row>
    <row r="459">
      <c r="C459" s="8"/>
      <c r="I459" s="8"/>
      <c r="J459" s="8"/>
    </row>
    <row r="460">
      <c r="C460" s="8"/>
      <c r="I460" s="8"/>
      <c r="J460" s="8"/>
    </row>
    <row r="461">
      <c r="C461" s="8"/>
      <c r="I461" s="8"/>
      <c r="J461" s="8"/>
    </row>
    <row r="462">
      <c r="C462" s="8"/>
      <c r="I462" s="8"/>
      <c r="J462" s="8"/>
    </row>
    <row r="463">
      <c r="C463" s="8"/>
      <c r="I463" s="8"/>
      <c r="J463" s="8"/>
    </row>
    <row r="464">
      <c r="C464" s="8"/>
      <c r="I464" s="8"/>
      <c r="J464" s="8"/>
    </row>
    <row r="465">
      <c r="C465" s="8"/>
      <c r="I465" s="8"/>
      <c r="J465" s="8"/>
    </row>
    <row r="466">
      <c r="C466" s="8"/>
      <c r="I466" s="8"/>
      <c r="J466" s="8"/>
    </row>
    <row r="467">
      <c r="C467" s="8"/>
      <c r="I467" s="8"/>
      <c r="J467" s="8"/>
    </row>
    <row r="468">
      <c r="C468" s="8"/>
      <c r="I468" s="8"/>
      <c r="J468" s="8"/>
    </row>
    <row r="469">
      <c r="C469" s="8"/>
      <c r="I469" s="8"/>
      <c r="J469" s="8"/>
    </row>
    <row r="470">
      <c r="C470" s="8"/>
      <c r="I470" s="8"/>
      <c r="J470" s="8"/>
    </row>
    <row r="471">
      <c r="C471" s="8"/>
      <c r="I471" s="8"/>
      <c r="J471" s="8"/>
    </row>
    <row r="472">
      <c r="C472" s="8"/>
      <c r="I472" s="8"/>
      <c r="J472" s="8"/>
    </row>
    <row r="473">
      <c r="C473" s="8"/>
      <c r="I473" s="8"/>
      <c r="J473" s="8"/>
    </row>
    <row r="474">
      <c r="C474" s="8"/>
      <c r="I474" s="8"/>
      <c r="J474" s="8"/>
    </row>
    <row r="475">
      <c r="C475" s="8"/>
      <c r="I475" s="8"/>
      <c r="J475" s="8"/>
    </row>
    <row r="476">
      <c r="C476" s="8"/>
      <c r="I476" s="8"/>
      <c r="J476" s="8"/>
    </row>
    <row r="477">
      <c r="C477" s="8"/>
      <c r="I477" s="8"/>
      <c r="J477" s="8"/>
    </row>
    <row r="478">
      <c r="C478" s="8"/>
      <c r="I478" s="8"/>
      <c r="J478" s="8"/>
    </row>
    <row r="479">
      <c r="C479" s="8"/>
      <c r="I479" s="8"/>
      <c r="J479" s="8"/>
    </row>
    <row r="480">
      <c r="C480" s="8"/>
      <c r="I480" s="8"/>
      <c r="J480" s="8"/>
    </row>
    <row r="481">
      <c r="C481" s="8"/>
      <c r="I481" s="8"/>
      <c r="J481" s="8"/>
    </row>
    <row r="482">
      <c r="C482" s="8"/>
      <c r="I482" s="8"/>
      <c r="J482" s="8"/>
    </row>
    <row r="483">
      <c r="C483" s="8"/>
      <c r="I483" s="8"/>
      <c r="J483" s="8"/>
    </row>
    <row r="484">
      <c r="C484" s="8"/>
      <c r="I484" s="8"/>
      <c r="J484" s="8"/>
    </row>
    <row r="485">
      <c r="C485" s="8"/>
      <c r="I485" s="8"/>
      <c r="J485" s="8"/>
    </row>
    <row r="486">
      <c r="C486" s="8"/>
      <c r="I486" s="8"/>
      <c r="J486" s="8"/>
    </row>
    <row r="487">
      <c r="C487" s="8"/>
      <c r="I487" s="8"/>
      <c r="J487" s="8"/>
    </row>
    <row r="488">
      <c r="C488" s="8"/>
      <c r="I488" s="8"/>
      <c r="J488" s="8"/>
    </row>
    <row r="489">
      <c r="C489" s="8"/>
      <c r="I489" s="8"/>
      <c r="J489" s="8"/>
    </row>
    <row r="490">
      <c r="C490" s="8"/>
      <c r="I490" s="8"/>
      <c r="J490" s="8"/>
    </row>
    <row r="491">
      <c r="C491" s="8"/>
      <c r="I491" s="8"/>
      <c r="J491" s="8"/>
    </row>
    <row r="492">
      <c r="C492" s="8"/>
      <c r="I492" s="8"/>
      <c r="J492" s="8"/>
    </row>
    <row r="493">
      <c r="C493" s="8"/>
      <c r="I493" s="8"/>
      <c r="J493" s="8"/>
    </row>
    <row r="494">
      <c r="C494" s="8"/>
      <c r="I494" s="8"/>
      <c r="J494" s="8"/>
    </row>
    <row r="495">
      <c r="C495" s="8"/>
      <c r="I495" s="8"/>
      <c r="J495" s="8"/>
    </row>
    <row r="496">
      <c r="C496" s="8"/>
      <c r="I496" s="8"/>
      <c r="J496" s="8"/>
    </row>
    <row r="497">
      <c r="C497" s="8"/>
      <c r="I497" s="8"/>
      <c r="J497" s="8"/>
    </row>
    <row r="498">
      <c r="C498" s="8"/>
      <c r="I498" s="8"/>
      <c r="J498" s="8"/>
    </row>
    <row r="499">
      <c r="C499" s="8"/>
      <c r="I499" s="8"/>
      <c r="J499" s="8"/>
    </row>
    <row r="500">
      <c r="C500" s="8"/>
      <c r="I500" s="8"/>
      <c r="J500" s="8"/>
    </row>
    <row r="501">
      <c r="C501" s="8"/>
      <c r="I501" s="8"/>
      <c r="J501" s="8"/>
    </row>
    <row r="502">
      <c r="C502" s="8"/>
      <c r="I502" s="8"/>
      <c r="J502" s="8"/>
    </row>
    <row r="503">
      <c r="C503" s="8"/>
      <c r="I503" s="8"/>
      <c r="J503" s="8"/>
    </row>
    <row r="504">
      <c r="C504" s="8"/>
      <c r="I504" s="8"/>
      <c r="J504" s="8"/>
    </row>
    <row r="505">
      <c r="C505" s="8"/>
      <c r="I505" s="8"/>
      <c r="J505" s="8"/>
    </row>
    <row r="506">
      <c r="C506" s="8"/>
      <c r="I506" s="8"/>
      <c r="J506" s="8"/>
    </row>
    <row r="507">
      <c r="C507" s="8"/>
      <c r="I507" s="8"/>
      <c r="J507" s="8"/>
    </row>
    <row r="508">
      <c r="C508" s="8"/>
      <c r="I508" s="8"/>
      <c r="J508" s="8"/>
    </row>
    <row r="509">
      <c r="C509" s="8"/>
      <c r="I509" s="8"/>
      <c r="J509" s="8"/>
    </row>
    <row r="510">
      <c r="C510" s="8"/>
      <c r="I510" s="8"/>
      <c r="J510" s="8"/>
    </row>
    <row r="511">
      <c r="C511" s="8"/>
      <c r="I511" s="8"/>
      <c r="J511" s="8"/>
    </row>
    <row r="512">
      <c r="C512" s="8"/>
      <c r="I512" s="8"/>
      <c r="J512" s="8"/>
    </row>
    <row r="513">
      <c r="C513" s="8"/>
      <c r="I513" s="8"/>
      <c r="J513" s="8"/>
    </row>
    <row r="514">
      <c r="C514" s="8"/>
      <c r="I514" s="8"/>
      <c r="J514" s="8"/>
    </row>
    <row r="515">
      <c r="C515" s="8"/>
      <c r="I515" s="8"/>
      <c r="J515" s="8"/>
    </row>
    <row r="516">
      <c r="C516" s="8"/>
      <c r="I516" s="8"/>
      <c r="J516" s="8"/>
    </row>
    <row r="517">
      <c r="C517" s="8"/>
      <c r="I517" s="8"/>
      <c r="J517" s="8"/>
    </row>
    <row r="518">
      <c r="C518" s="8"/>
      <c r="I518" s="8"/>
      <c r="J518" s="8"/>
    </row>
    <row r="519">
      <c r="C519" s="8"/>
      <c r="I519" s="8"/>
      <c r="J519" s="8"/>
    </row>
    <row r="520">
      <c r="C520" s="8"/>
      <c r="I520" s="8"/>
      <c r="J520" s="8"/>
    </row>
    <row r="521">
      <c r="C521" s="8"/>
      <c r="I521" s="8"/>
      <c r="J521" s="8"/>
    </row>
    <row r="522">
      <c r="C522" s="8"/>
      <c r="I522" s="8"/>
      <c r="J522" s="8"/>
    </row>
    <row r="523">
      <c r="C523" s="8"/>
      <c r="I523" s="8"/>
      <c r="J523" s="8"/>
    </row>
    <row r="524">
      <c r="C524" s="8"/>
      <c r="I524" s="8"/>
      <c r="J524" s="8"/>
    </row>
    <row r="525">
      <c r="C525" s="8"/>
      <c r="I525" s="8"/>
      <c r="J525" s="8"/>
    </row>
    <row r="526">
      <c r="C526" s="8"/>
      <c r="I526" s="8"/>
      <c r="J526" s="8"/>
    </row>
    <row r="527">
      <c r="C527" s="8"/>
      <c r="I527" s="8"/>
      <c r="J527" s="8"/>
    </row>
    <row r="528">
      <c r="C528" s="8"/>
      <c r="I528" s="8"/>
      <c r="J528" s="8"/>
    </row>
    <row r="529">
      <c r="C529" s="8"/>
      <c r="I529" s="8"/>
      <c r="J529" s="8"/>
    </row>
    <row r="530">
      <c r="C530" s="8"/>
      <c r="I530" s="8"/>
      <c r="J530" s="8"/>
    </row>
    <row r="531">
      <c r="C531" s="8"/>
      <c r="I531" s="8"/>
      <c r="J531" s="8"/>
    </row>
    <row r="532">
      <c r="C532" s="8"/>
      <c r="I532" s="8"/>
      <c r="J532" s="8"/>
    </row>
    <row r="533">
      <c r="C533" s="8"/>
      <c r="I533" s="8"/>
      <c r="J533" s="8"/>
    </row>
    <row r="534">
      <c r="C534" s="8"/>
      <c r="I534" s="8"/>
      <c r="J534" s="8"/>
    </row>
    <row r="535">
      <c r="C535" s="8"/>
      <c r="I535" s="8"/>
      <c r="J535" s="8"/>
    </row>
    <row r="536">
      <c r="C536" s="8"/>
      <c r="I536" s="8"/>
      <c r="J536" s="8"/>
    </row>
    <row r="537">
      <c r="C537" s="8"/>
      <c r="I537" s="8"/>
      <c r="J537" s="8"/>
    </row>
    <row r="538">
      <c r="C538" s="8"/>
      <c r="I538" s="8"/>
      <c r="J538" s="8"/>
    </row>
    <row r="539">
      <c r="C539" s="8"/>
      <c r="I539" s="8"/>
      <c r="J539" s="8"/>
    </row>
    <row r="540">
      <c r="C540" s="8"/>
      <c r="I540" s="8"/>
      <c r="J540" s="8"/>
    </row>
    <row r="541">
      <c r="C541" s="8"/>
      <c r="I541" s="8"/>
      <c r="J541" s="8"/>
    </row>
    <row r="542">
      <c r="C542" s="8"/>
      <c r="I542" s="8"/>
      <c r="J542" s="8"/>
    </row>
    <row r="543">
      <c r="C543" s="8"/>
      <c r="I543" s="8"/>
      <c r="J543" s="8"/>
    </row>
    <row r="544">
      <c r="C544" s="8"/>
      <c r="I544" s="8"/>
      <c r="J544" s="8"/>
    </row>
    <row r="545">
      <c r="C545" s="8"/>
      <c r="I545" s="8"/>
      <c r="J545" s="8"/>
    </row>
    <row r="546">
      <c r="C546" s="8"/>
      <c r="I546" s="8"/>
      <c r="J546" s="8"/>
    </row>
    <row r="547">
      <c r="C547" s="8"/>
      <c r="I547" s="8"/>
      <c r="J547" s="8"/>
    </row>
    <row r="548">
      <c r="C548" s="8"/>
      <c r="I548" s="8"/>
      <c r="J548" s="8"/>
    </row>
    <row r="549">
      <c r="C549" s="8"/>
      <c r="I549" s="8"/>
      <c r="J549" s="8"/>
    </row>
    <row r="550">
      <c r="C550" s="8"/>
      <c r="I550" s="8"/>
      <c r="J550" s="8"/>
    </row>
    <row r="551">
      <c r="C551" s="8"/>
      <c r="I551" s="8"/>
      <c r="J551" s="8"/>
    </row>
    <row r="552">
      <c r="C552" s="8"/>
      <c r="I552" s="8"/>
      <c r="J552" s="8"/>
    </row>
    <row r="553">
      <c r="C553" s="8"/>
      <c r="I553" s="8"/>
      <c r="J553" s="8"/>
    </row>
    <row r="554">
      <c r="C554" s="8"/>
      <c r="I554" s="8"/>
      <c r="J554" s="8"/>
    </row>
    <row r="555">
      <c r="C555" s="8"/>
      <c r="I555" s="8"/>
      <c r="J555" s="8"/>
    </row>
    <row r="556">
      <c r="C556" s="8"/>
      <c r="I556" s="8"/>
      <c r="J556" s="8"/>
    </row>
    <row r="557">
      <c r="C557" s="8"/>
      <c r="I557" s="8"/>
      <c r="J557" s="8"/>
    </row>
    <row r="558">
      <c r="C558" s="8"/>
      <c r="I558" s="8"/>
      <c r="J558" s="8"/>
    </row>
    <row r="559">
      <c r="C559" s="8"/>
      <c r="I559" s="8"/>
      <c r="J559" s="8"/>
    </row>
    <row r="560">
      <c r="C560" s="8"/>
      <c r="I560" s="8"/>
      <c r="J560" s="8"/>
    </row>
    <row r="561">
      <c r="C561" s="8"/>
      <c r="I561" s="8"/>
      <c r="J561" s="8"/>
    </row>
    <row r="562">
      <c r="C562" s="8"/>
      <c r="I562" s="8"/>
      <c r="J562" s="8"/>
    </row>
    <row r="563">
      <c r="C563" s="8"/>
      <c r="I563" s="8"/>
      <c r="J563" s="8"/>
    </row>
    <row r="564">
      <c r="C564" s="8"/>
      <c r="I564" s="8"/>
      <c r="J564" s="8"/>
    </row>
    <row r="565">
      <c r="C565" s="8"/>
      <c r="I565" s="8"/>
      <c r="J565" s="8"/>
    </row>
    <row r="566">
      <c r="C566" s="8"/>
      <c r="I566" s="8"/>
      <c r="J566" s="8"/>
    </row>
    <row r="567">
      <c r="C567" s="8"/>
      <c r="I567" s="8"/>
      <c r="J567" s="8"/>
    </row>
    <row r="568">
      <c r="C568" s="8"/>
      <c r="I568" s="8"/>
      <c r="J568" s="8"/>
    </row>
    <row r="569">
      <c r="C569" s="8"/>
      <c r="I569" s="8"/>
      <c r="J569" s="8"/>
    </row>
    <row r="570">
      <c r="C570" s="8"/>
      <c r="I570" s="8"/>
      <c r="J570" s="8"/>
    </row>
    <row r="571">
      <c r="C571" s="8"/>
      <c r="I571" s="8"/>
      <c r="J571" s="8"/>
    </row>
    <row r="572">
      <c r="C572" s="8"/>
      <c r="I572" s="8"/>
      <c r="J572" s="8"/>
    </row>
    <row r="573">
      <c r="C573" s="8"/>
      <c r="I573" s="8"/>
      <c r="J573" s="8"/>
    </row>
    <row r="574">
      <c r="C574" s="8"/>
      <c r="I574" s="8"/>
      <c r="J574" s="8"/>
    </row>
    <row r="575">
      <c r="C575" s="8"/>
      <c r="I575" s="8"/>
      <c r="J575" s="8"/>
    </row>
    <row r="576">
      <c r="C576" s="8"/>
      <c r="I576" s="8"/>
      <c r="J576" s="8"/>
    </row>
    <row r="577">
      <c r="C577" s="8"/>
      <c r="I577" s="8"/>
      <c r="J577" s="8"/>
    </row>
    <row r="578">
      <c r="C578" s="8"/>
      <c r="I578" s="8"/>
      <c r="J578" s="8"/>
    </row>
    <row r="579">
      <c r="C579" s="8"/>
      <c r="I579" s="8"/>
      <c r="J579" s="8"/>
    </row>
    <row r="580">
      <c r="C580" s="8"/>
      <c r="I580" s="8"/>
      <c r="J580" s="8"/>
    </row>
    <row r="581">
      <c r="C581" s="8"/>
      <c r="I581" s="8"/>
      <c r="J581" s="8"/>
    </row>
    <row r="582">
      <c r="C582" s="8"/>
      <c r="I582" s="8"/>
      <c r="J582" s="8"/>
    </row>
    <row r="583">
      <c r="C583" s="8"/>
      <c r="I583" s="8"/>
      <c r="J583" s="8"/>
    </row>
    <row r="584">
      <c r="C584" s="8"/>
      <c r="I584" s="8"/>
      <c r="J584" s="8"/>
    </row>
    <row r="585">
      <c r="C585" s="8"/>
      <c r="I585" s="8"/>
      <c r="J585" s="8"/>
    </row>
    <row r="586">
      <c r="C586" s="8"/>
      <c r="I586" s="8"/>
      <c r="J586" s="8"/>
    </row>
    <row r="587">
      <c r="C587" s="8"/>
      <c r="I587" s="8"/>
      <c r="J587" s="8"/>
    </row>
    <row r="588">
      <c r="C588" s="8"/>
      <c r="I588" s="8"/>
      <c r="J588" s="8"/>
    </row>
    <row r="589">
      <c r="C589" s="8"/>
      <c r="I589" s="8"/>
      <c r="J589" s="8"/>
    </row>
    <row r="590">
      <c r="C590" s="8"/>
      <c r="I590" s="8"/>
      <c r="J590" s="8"/>
    </row>
    <row r="591">
      <c r="C591" s="8"/>
      <c r="I591" s="8"/>
      <c r="J591" s="8"/>
    </row>
    <row r="592">
      <c r="C592" s="8"/>
      <c r="I592" s="8"/>
      <c r="J592" s="8"/>
    </row>
    <row r="593">
      <c r="C593" s="8"/>
      <c r="I593" s="8"/>
      <c r="J593" s="8"/>
    </row>
    <row r="594">
      <c r="C594" s="8"/>
      <c r="I594" s="8"/>
      <c r="J594" s="8"/>
    </row>
    <row r="595">
      <c r="C595" s="8"/>
      <c r="I595" s="8"/>
      <c r="J595" s="8"/>
    </row>
    <row r="596">
      <c r="C596" s="8"/>
      <c r="I596" s="8"/>
      <c r="J596" s="8"/>
    </row>
    <row r="597">
      <c r="C597" s="8"/>
      <c r="I597" s="8"/>
      <c r="J597" s="8"/>
    </row>
    <row r="598">
      <c r="C598" s="8"/>
      <c r="I598" s="8"/>
      <c r="J598" s="8"/>
    </row>
    <row r="599">
      <c r="C599" s="8"/>
      <c r="I599" s="8"/>
      <c r="J599" s="8"/>
    </row>
    <row r="600">
      <c r="C600" s="8"/>
      <c r="I600" s="8"/>
      <c r="J600" s="8"/>
    </row>
    <row r="601">
      <c r="C601" s="8"/>
      <c r="I601" s="8"/>
      <c r="J601" s="8"/>
    </row>
    <row r="602">
      <c r="C602" s="8"/>
      <c r="I602" s="8"/>
      <c r="J602" s="8"/>
    </row>
    <row r="603">
      <c r="C603" s="8"/>
      <c r="I603" s="8"/>
      <c r="J603" s="8"/>
    </row>
    <row r="604">
      <c r="C604" s="8"/>
      <c r="I604" s="8"/>
      <c r="J604" s="8"/>
    </row>
    <row r="605">
      <c r="C605" s="8"/>
      <c r="I605" s="8"/>
      <c r="J605" s="8"/>
    </row>
    <row r="606">
      <c r="C606" s="8"/>
      <c r="I606" s="8"/>
      <c r="J606" s="8"/>
    </row>
    <row r="607">
      <c r="C607" s="8"/>
      <c r="I607" s="8"/>
      <c r="J607" s="8"/>
    </row>
    <row r="608">
      <c r="C608" s="8"/>
      <c r="I608" s="8"/>
      <c r="J608" s="8"/>
    </row>
    <row r="609">
      <c r="C609" s="8"/>
      <c r="I609" s="8"/>
      <c r="J609" s="8"/>
    </row>
    <row r="610">
      <c r="C610" s="8"/>
      <c r="I610" s="8"/>
      <c r="J610" s="8"/>
    </row>
    <row r="611">
      <c r="C611" s="8"/>
      <c r="I611" s="8"/>
      <c r="J611" s="8"/>
    </row>
    <row r="612">
      <c r="C612" s="8"/>
      <c r="I612" s="8"/>
      <c r="J612" s="8"/>
    </row>
    <row r="613">
      <c r="C613" s="8"/>
      <c r="I613" s="8"/>
      <c r="J613" s="8"/>
    </row>
    <row r="614">
      <c r="C614" s="8"/>
      <c r="I614" s="8"/>
      <c r="J614" s="8"/>
    </row>
    <row r="615">
      <c r="C615" s="8"/>
      <c r="I615" s="8"/>
      <c r="J615" s="8"/>
    </row>
    <row r="616">
      <c r="C616" s="8"/>
      <c r="I616" s="8"/>
      <c r="J616" s="8"/>
    </row>
    <row r="617">
      <c r="C617" s="8"/>
      <c r="I617" s="8"/>
      <c r="J617" s="8"/>
    </row>
    <row r="618">
      <c r="C618" s="8"/>
      <c r="I618" s="8"/>
      <c r="J618" s="8"/>
    </row>
    <row r="619">
      <c r="C619" s="8"/>
      <c r="I619" s="8"/>
      <c r="J619" s="8"/>
    </row>
    <row r="620">
      <c r="C620" s="8"/>
      <c r="I620" s="8"/>
      <c r="J620" s="8"/>
    </row>
    <row r="621">
      <c r="C621" s="8"/>
      <c r="I621" s="8"/>
      <c r="J621" s="8"/>
    </row>
    <row r="622">
      <c r="C622" s="8"/>
      <c r="I622" s="8"/>
      <c r="J622" s="8"/>
    </row>
    <row r="623">
      <c r="C623" s="8"/>
      <c r="I623" s="8"/>
      <c r="J623" s="8"/>
    </row>
    <row r="624">
      <c r="C624" s="8"/>
      <c r="I624" s="8"/>
      <c r="J624" s="8"/>
    </row>
    <row r="625">
      <c r="C625" s="8"/>
      <c r="I625" s="8"/>
      <c r="J625" s="8"/>
    </row>
    <row r="626">
      <c r="C626" s="8"/>
      <c r="I626" s="8"/>
      <c r="J626" s="8"/>
    </row>
    <row r="627">
      <c r="C627" s="8"/>
      <c r="I627" s="8"/>
      <c r="J627" s="8"/>
    </row>
    <row r="628">
      <c r="C628" s="8"/>
      <c r="I628" s="8"/>
      <c r="J628" s="8"/>
    </row>
    <row r="629">
      <c r="C629" s="8"/>
      <c r="I629" s="8"/>
      <c r="J629" s="8"/>
    </row>
    <row r="630">
      <c r="C630" s="8"/>
      <c r="I630" s="8"/>
      <c r="J630" s="8"/>
    </row>
    <row r="631">
      <c r="C631" s="8"/>
      <c r="I631" s="8"/>
      <c r="J631" s="8"/>
    </row>
    <row r="632">
      <c r="C632" s="8"/>
      <c r="I632" s="8"/>
      <c r="J632" s="8"/>
    </row>
    <row r="633">
      <c r="C633" s="8"/>
      <c r="I633" s="8"/>
      <c r="J633" s="8"/>
    </row>
    <row r="634">
      <c r="C634" s="8"/>
      <c r="I634" s="8"/>
      <c r="J634" s="8"/>
    </row>
    <row r="635">
      <c r="C635" s="8"/>
      <c r="I635" s="8"/>
      <c r="J635" s="8"/>
    </row>
    <row r="636">
      <c r="C636" s="8"/>
      <c r="I636" s="8"/>
      <c r="J636" s="8"/>
    </row>
    <row r="637">
      <c r="C637" s="8"/>
      <c r="I637" s="8"/>
      <c r="J637" s="8"/>
    </row>
    <row r="638">
      <c r="C638" s="8"/>
      <c r="I638" s="8"/>
      <c r="J638" s="8"/>
    </row>
    <row r="639">
      <c r="C639" s="8"/>
      <c r="I639" s="8"/>
      <c r="J639" s="8"/>
    </row>
    <row r="640">
      <c r="C640" s="8"/>
      <c r="I640" s="8"/>
      <c r="J640" s="8"/>
    </row>
    <row r="641">
      <c r="C641" s="8"/>
      <c r="I641" s="8"/>
      <c r="J641" s="8"/>
    </row>
    <row r="642">
      <c r="C642" s="8"/>
      <c r="I642" s="8"/>
      <c r="J642" s="8"/>
    </row>
    <row r="643">
      <c r="C643" s="8"/>
      <c r="I643" s="8"/>
      <c r="J643" s="8"/>
    </row>
    <row r="644">
      <c r="C644" s="8"/>
      <c r="I644" s="8"/>
      <c r="J644" s="8"/>
    </row>
    <row r="645">
      <c r="C645" s="8"/>
      <c r="I645" s="8"/>
      <c r="J645" s="8"/>
    </row>
    <row r="646">
      <c r="C646" s="8"/>
      <c r="I646" s="8"/>
      <c r="J646" s="8"/>
    </row>
    <row r="647">
      <c r="C647" s="8"/>
      <c r="I647" s="8"/>
      <c r="J647" s="8"/>
    </row>
    <row r="648">
      <c r="C648" s="8"/>
      <c r="I648" s="8"/>
      <c r="J648" s="8"/>
    </row>
    <row r="649">
      <c r="C649" s="8"/>
      <c r="I649" s="8"/>
      <c r="J649" s="8"/>
    </row>
    <row r="650">
      <c r="C650" s="8"/>
      <c r="I650" s="8"/>
      <c r="J650" s="8"/>
    </row>
    <row r="651">
      <c r="C651" s="8"/>
      <c r="I651" s="8"/>
      <c r="J651" s="8"/>
    </row>
    <row r="652">
      <c r="C652" s="8"/>
      <c r="I652" s="8"/>
      <c r="J652" s="8"/>
    </row>
    <row r="653">
      <c r="C653" s="8"/>
      <c r="I653" s="8"/>
      <c r="J653" s="8"/>
    </row>
    <row r="654">
      <c r="C654" s="8"/>
      <c r="I654" s="8"/>
      <c r="J654" s="8"/>
    </row>
    <row r="655">
      <c r="C655" s="8"/>
      <c r="I655" s="8"/>
      <c r="J655" s="8"/>
    </row>
    <row r="656">
      <c r="C656" s="8"/>
      <c r="I656" s="8"/>
      <c r="J656" s="8"/>
    </row>
    <row r="657">
      <c r="C657" s="8"/>
      <c r="I657" s="8"/>
      <c r="J657" s="8"/>
    </row>
    <row r="658">
      <c r="C658" s="8"/>
      <c r="I658" s="8"/>
      <c r="J658" s="8"/>
    </row>
    <row r="659">
      <c r="C659" s="8"/>
      <c r="I659" s="8"/>
      <c r="J659" s="8"/>
    </row>
    <row r="660">
      <c r="C660" s="8"/>
      <c r="I660" s="8"/>
      <c r="J660" s="8"/>
    </row>
    <row r="661">
      <c r="C661" s="8"/>
      <c r="I661" s="8"/>
      <c r="J661" s="8"/>
    </row>
    <row r="662">
      <c r="C662" s="8"/>
      <c r="I662" s="8"/>
      <c r="J662" s="8"/>
    </row>
    <row r="663">
      <c r="C663" s="8"/>
      <c r="I663" s="8"/>
      <c r="J663" s="8"/>
    </row>
    <row r="664">
      <c r="C664" s="8"/>
      <c r="I664" s="8"/>
      <c r="J664" s="8"/>
    </row>
    <row r="665">
      <c r="C665" s="8"/>
      <c r="I665" s="8"/>
      <c r="J665" s="8"/>
    </row>
    <row r="666">
      <c r="C666" s="8"/>
      <c r="I666" s="8"/>
      <c r="J666" s="8"/>
    </row>
    <row r="667">
      <c r="C667" s="8"/>
      <c r="I667" s="8"/>
      <c r="J667" s="8"/>
    </row>
    <row r="668">
      <c r="C668" s="8"/>
      <c r="I668" s="8"/>
      <c r="J668" s="8"/>
    </row>
    <row r="669">
      <c r="C669" s="8"/>
      <c r="I669" s="8"/>
      <c r="J669" s="8"/>
    </row>
    <row r="670">
      <c r="C670" s="8"/>
      <c r="I670" s="8"/>
      <c r="J670" s="8"/>
    </row>
    <row r="671">
      <c r="C671" s="8"/>
      <c r="I671" s="8"/>
      <c r="J671" s="8"/>
    </row>
    <row r="672">
      <c r="C672" s="8"/>
      <c r="I672" s="8"/>
      <c r="J672" s="8"/>
    </row>
    <row r="673">
      <c r="C673" s="8"/>
      <c r="I673" s="8"/>
      <c r="J673" s="8"/>
    </row>
    <row r="674">
      <c r="C674" s="8"/>
      <c r="I674" s="8"/>
      <c r="J674" s="8"/>
    </row>
    <row r="675">
      <c r="C675" s="8"/>
      <c r="I675" s="8"/>
      <c r="J675" s="8"/>
    </row>
    <row r="676">
      <c r="C676" s="8"/>
      <c r="I676" s="8"/>
      <c r="J676" s="8"/>
    </row>
    <row r="677">
      <c r="C677" s="8"/>
      <c r="I677" s="8"/>
      <c r="J677" s="8"/>
    </row>
    <row r="678">
      <c r="C678" s="8"/>
      <c r="I678" s="8"/>
      <c r="J678" s="8"/>
    </row>
    <row r="679">
      <c r="C679" s="8"/>
      <c r="I679" s="8"/>
      <c r="J679" s="8"/>
    </row>
    <row r="680">
      <c r="C680" s="8"/>
      <c r="I680" s="8"/>
      <c r="J680" s="8"/>
    </row>
    <row r="681">
      <c r="C681" s="8"/>
      <c r="I681" s="8"/>
      <c r="J681" s="8"/>
    </row>
    <row r="682">
      <c r="C682" s="8"/>
      <c r="I682" s="8"/>
      <c r="J682" s="8"/>
    </row>
    <row r="683">
      <c r="C683" s="8"/>
      <c r="I683" s="8"/>
      <c r="J683" s="8"/>
    </row>
    <row r="684">
      <c r="C684" s="8"/>
      <c r="I684" s="8"/>
      <c r="J684" s="8"/>
    </row>
    <row r="685">
      <c r="C685" s="8"/>
      <c r="I685" s="8"/>
      <c r="J685" s="8"/>
    </row>
    <row r="686">
      <c r="C686" s="8"/>
      <c r="I686" s="8"/>
      <c r="J686" s="8"/>
    </row>
    <row r="687">
      <c r="C687" s="8"/>
      <c r="I687" s="8"/>
      <c r="J687" s="8"/>
    </row>
    <row r="688">
      <c r="C688" s="8"/>
      <c r="I688" s="8"/>
      <c r="J688" s="8"/>
    </row>
    <row r="689">
      <c r="C689" s="8"/>
      <c r="I689" s="8"/>
      <c r="J689" s="8"/>
    </row>
    <row r="690">
      <c r="C690" s="8"/>
      <c r="I690" s="8"/>
      <c r="J690" s="8"/>
    </row>
    <row r="691">
      <c r="C691" s="8"/>
      <c r="I691" s="8"/>
      <c r="J691" s="8"/>
    </row>
    <row r="692">
      <c r="C692" s="8"/>
      <c r="I692" s="8"/>
      <c r="J692" s="8"/>
    </row>
    <row r="693">
      <c r="C693" s="8"/>
      <c r="I693" s="8"/>
      <c r="J693" s="8"/>
    </row>
    <row r="694">
      <c r="C694" s="8"/>
      <c r="I694" s="8"/>
      <c r="J694" s="8"/>
    </row>
    <row r="695">
      <c r="C695" s="8"/>
      <c r="I695" s="8"/>
      <c r="J695" s="8"/>
    </row>
    <row r="696">
      <c r="C696" s="8"/>
      <c r="I696" s="8"/>
      <c r="J696" s="8"/>
    </row>
    <row r="697">
      <c r="C697" s="8"/>
      <c r="I697" s="8"/>
      <c r="J697" s="8"/>
    </row>
    <row r="698">
      <c r="C698" s="8"/>
      <c r="I698" s="8"/>
      <c r="J698" s="8"/>
    </row>
    <row r="699">
      <c r="C699" s="8"/>
      <c r="I699" s="8"/>
      <c r="J699" s="8"/>
    </row>
    <row r="700">
      <c r="C700" s="8"/>
      <c r="I700" s="8"/>
      <c r="J700" s="8"/>
    </row>
    <row r="701">
      <c r="C701" s="8"/>
      <c r="I701" s="8"/>
      <c r="J701" s="8"/>
    </row>
    <row r="702">
      <c r="C702" s="8"/>
      <c r="I702" s="8"/>
      <c r="J702" s="8"/>
    </row>
    <row r="703">
      <c r="C703" s="8"/>
      <c r="I703" s="8"/>
      <c r="J703" s="8"/>
    </row>
    <row r="704">
      <c r="C704" s="8"/>
      <c r="I704" s="8"/>
      <c r="J704" s="8"/>
    </row>
    <row r="705">
      <c r="C705" s="8"/>
      <c r="I705" s="8"/>
      <c r="J705" s="8"/>
    </row>
    <row r="706">
      <c r="C706" s="8"/>
      <c r="I706" s="8"/>
      <c r="J706" s="8"/>
    </row>
    <row r="707">
      <c r="C707" s="8"/>
      <c r="I707" s="8"/>
      <c r="J707" s="8"/>
    </row>
    <row r="708">
      <c r="C708" s="8"/>
      <c r="I708" s="8"/>
      <c r="J708" s="8"/>
    </row>
    <row r="709">
      <c r="C709" s="8"/>
      <c r="I709" s="8"/>
      <c r="J709" s="8"/>
    </row>
    <row r="710">
      <c r="C710" s="8"/>
      <c r="I710" s="8"/>
      <c r="J710" s="8"/>
    </row>
    <row r="711">
      <c r="C711" s="8"/>
      <c r="I711" s="8"/>
      <c r="J711" s="8"/>
    </row>
    <row r="712">
      <c r="C712" s="8"/>
      <c r="I712" s="8"/>
      <c r="J712" s="8"/>
    </row>
    <row r="713">
      <c r="C713" s="8"/>
      <c r="I713" s="8"/>
      <c r="J713" s="8"/>
    </row>
    <row r="714">
      <c r="C714" s="8"/>
      <c r="I714" s="8"/>
      <c r="J714" s="8"/>
    </row>
    <row r="715">
      <c r="C715" s="8"/>
      <c r="I715" s="8"/>
      <c r="J715" s="8"/>
    </row>
    <row r="716">
      <c r="C716" s="8"/>
      <c r="I716" s="8"/>
      <c r="J716" s="8"/>
    </row>
    <row r="717">
      <c r="C717" s="8"/>
      <c r="I717" s="8"/>
      <c r="J717" s="8"/>
    </row>
    <row r="718">
      <c r="C718" s="8"/>
      <c r="I718" s="8"/>
      <c r="J718" s="8"/>
    </row>
    <row r="719">
      <c r="C719" s="8"/>
      <c r="I719" s="8"/>
      <c r="J719" s="8"/>
    </row>
    <row r="720">
      <c r="C720" s="8"/>
      <c r="I720" s="8"/>
      <c r="J720" s="8"/>
    </row>
    <row r="721">
      <c r="C721" s="8"/>
      <c r="I721" s="8"/>
      <c r="J721" s="8"/>
    </row>
    <row r="722">
      <c r="C722" s="8"/>
      <c r="I722" s="8"/>
      <c r="J722" s="8"/>
    </row>
    <row r="723">
      <c r="C723" s="8"/>
      <c r="I723" s="8"/>
      <c r="J723" s="8"/>
    </row>
    <row r="724">
      <c r="C724" s="8"/>
      <c r="I724" s="8"/>
      <c r="J724" s="8"/>
    </row>
    <row r="725">
      <c r="C725" s="8"/>
      <c r="I725" s="8"/>
      <c r="J725" s="8"/>
    </row>
    <row r="726">
      <c r="C726" s="8"/>
      <c r="I726" s="8"/>
      <c r="J726" s="8"/>
    </row>
    <row r="727">
      <c r="C727" s="8"/>
      <c r="I727" s="8"/>
      <c r="J727" s="8"/>
    </row>
    <row r="728">
      <c r="C728" s="8"/>
      <c r="I728" s="8"/>
      <c r="J728" s="8"/>
    </row>
    <row r="729">
      <c r="C729" s="8"/>
      <c r="I729" s="8"/>
      <c r="J729" s="8"/>
    </row>
    <row r="730">
      <c r="C730" s="8"/>
      <c r="I730" s="8"/>
      <c r="J730" s="8"/>
    </row>
    <row r="731">
      <c r="C731" s="8"/>
      <c r="I731" s="8"/>
      <c r="J731" s="8"/>
    </row>
    <row r="732">
      <c r="C732" s="8"/>
      <c r="I732" s="8"/>
      <c r="J732" s="8"/>
    </row>
    <row r="733">
      <c r="C733" s="8"/>
      <c r="I733" s="8"/>
      <c r="J733" s="8"/>
    </row>
    <row r="734">
      <c r="C734" s="8"/>
      <c r="I734" s="8"/>
      <c r="J734" s="8"/>
    </row>
    <row r="735">
      <c r="C735" s="8"/>
      <c r="I735" s="8"/>
      <c r="J735" s="8"/>
    </row>
    <row r="736">
      <c r="C736" s="8"/>
      <c r="I736" s="8"/>
      <c r="J736" s="8"/>
    </row>
    <row r="737">
      <c r="C737" s="8"/>
      <c r="I737" s="8"/>
      <c r="J737" s="8"/>
    </row>
    <row r="738">
      <c r="C738" s="8"/>
      <c r="I738" s="8"/>
      <c r="J738" s="8"/>
    </row>
    <row r="739">
      <c r="C739" s="8"/>
      <c r="I739" s="8"/>
      <c r="J739" s="8"/>
    </row>
    <row r="740">
      <c r="C740" s="8"/>
      <c r="I740" s="8"/>
      <c r="J740" s="8"/>
    </row>
    <row r="741">
      <c r="C741" s="8"/>
      <c r="I741" s="8"/>
      <c r="J741" s="8"/>
    </row>
    <row r="742">
      <c r="C742" s="8"/>
      <c r="I742" s="8"/>
      <c r="J742" s="8"/>
    </row>
    <row r="743">
      <c r="C743" s="8"/>
      <c r="I743" s="8"/>
      <c r="J743" s="8"/>
    </row>
    <row r="744">
      <c r="C744" s="8"/>
      <c r="I744" s="8"/>
      <c r="J744" s="8"/>
    </row>
    <row r="745">
      <c r="C745" s="8"/>
      <c r="I745" s="8"/>
      <c r="J745" s="8"/>
    </row>
    <row r="746">
      <c r="C746" s="8"/>
      <c r="I746" s="8"/>
      <c r="J746" s="8"/>
    </row>
    <row r="747">
      <c r="C747" s="8"/>
      <c r="I747" s="8"/>
      <c r="J747" s="8"/>
    </row>
    <row r="748">
      <c r="C748" s="8"/>
      <c r="I748" s="8"/>
      <c r="J748" s="8"/>
    </row>
    <row r="749">
      <c r="C749" s="8"/>
      <c r="I749" s="8"/>
      <c r="J749" s="8"/>
    </row>
    <row r="750">
      <c r="C750" s="8"/>
      <c r="I750" s="8"/>
      <c r="J750" s="8"/>
    </row>
    <row r="751">
      <c r="C751" s="8"/>
      <c r="I751" s="8"/>
      <c r="J751" s="8"/>
    </row>
    <row r="752">
      <c r="C752" s="8"/>
      <c r="I752" s="8"/>
      <c r="J752" s="8"/>
    </row>
    <row r="753">
      <c r="C753" s="8"/>
      <c r="I753" s="8"/>
      <c r="J753" s="8"/>
    </row>
    <row r="754">
      <c r="C754" s="8"/>
      <c r="I754" s="8"/>
      <c r="J754" s="8"/>
    </row>
    <row r="755">
      <c r="C755" s="8"/>
      <c r="I755" s="8"/>
      <c r="J755" s="8"/>
    </row>
    <row r="756">
      <c r="C756" s="8"/>
      <c r="I756" s="8"/>
      <c r="J756" s="8"/>
    </row>
    <row r="757">
      <c r="C757" s="8"/>
      <c r="I757" s="8"/>
      <c r="J757" s="8"/>
    </row>
    <row r="758">
      <c r="C758" s="8"/>
      <c r="I758" s="8"/>
      <c r="J758" s="8"/>
    </row>
    <row r="759">
      <c r="C759" s="8"/>
      <c r="I759" s="8"/>
      <c r="J759" s="8"/>
    </row>
    <row r="760">
      <c r="C760" s="8"/>
      <c r="I760" s="8"/>
      <c r="J760" s="8"/>
    </row>
    <row r="761">
      <c r="C761" s="8"/>
      <c r="I761" s="8"/>
      <c r="J761" s="8"/>
    </row>
    <row r="762">
      <c r="C762" s="8"/>
      <c r="I762" s="8"/>
      <c r="J762" s="8"/>
    </row>
    <row r="763">
      <c r="C763" s="8"/>
      <c r="I763" s="8"/>
      <c r="J763" s="8"/>
    </row>
    <row r="764">
      <c r="C764" s="8"/>
      <c r="I764" s="8"/>
      <c r="J764" s="8"/>
    </row>
    <row r="765">
      <c r="C765" s="8"/>
      <c r="I765" s="8"/>
      <c r="J765" s="8"/>
    </row>
    <row r="766">
      <c r="C766" s="8"/>
      <c r="I766" s="8"/>
      <c r="J766" s="8"/>
    </row>
    <row r="767">
      <c r="C767" s="8"/>
      <c r="I767" s="8"/>
      <c r="J767" s="8"/>
    </row>
    <row r="768">
      <c r="C768" s="8"/>
      <c r="I768" s="8"/>
      <c r="J768" s="8"/>
    </row>
    <row r="769">
      <c r="C769" s="8"/>
      <c r="I769" s="8"/>
      <c r="J769" s="8"/>
    </row>
    <row r="770">
      <c r="C770" s="8"/>
      <c r="I770" s="8"/>
      <c r="J770" s="8"/>
    </row>
    <row r="771">
      <c r="C771" s="8"/>
      <c r="I771" s="8"/>
      <c r="J771" s="8"/>
    </row>
    <row r="772">
      <c r="C772" s="8"/>
      <c r="I772" s="8"/>
      <c r="J772" s="8"/>
    </row>
    <row r="773">
      <c r="C773" s="8"/>
      <c r="I773" s="8"/>
      <c r="J773" s="8"/>
    </row>
    <row r="774">
      <c r="C774" s="8"/>
      <c r="I774" s="8"/>
      <c r="J774" s="8"/>
    </row>
    <row r="775">
      <c r="C775" s="8"/>
      <c r="I775" s="8"/>
      <c r="J775" s="8"/>
    </row>
    <row r="776">
      <c r="C776" s="8"/>
      <c r="I776" s="8"/>
      <c r="J776" s="8"/>
    </row>
    <row r="777">
      <c r="C777" s="8"/>
      <c r="I777" s="8"/>
      <c r="J777" s="8"/>
    </row>
    <row r="778">
      <c r="C778" s="8"/>
      <c r="I778" s="8"/>
      <c r="J778" s="8"/>
    </row>
    <row r="779">
      <c r="C779" s="8"/>
      <c r="I779" s="8"/>
      <c r="J779" s="8"/>
    </row>
    <row r="780">
      <c r="C780" s="8"/>
      <c r="I780" s="8"/>
      <c r="J780" s="8"/>
    </row>
    <row r="781">
      <c r="C781" s="8"/>
      <c r="I781" s="8"/>
      <c r="J781" s="8"/>
    </row>
    <row r="782">
      <c r="C782" s="8"/>
      <c r="I782" s="8"/>
      <c r="J782" s="8"/>
    </row>
    <row r="783">
      <c r="C783" s="8"/>
      <c r="I783" s="8"/>
      <c r="J783" s="8"/>
    </row>
    <row r="784">
      <c r="C784" s="8"/>
      <c r="I784" s="8"/>
      <c r="J784" s="8"/>
    </row>
    <row r="785">
      <c r="C785" s="8"/>
      <c r="I785" s="8"/>
      <c r="J785" s="8"/>
    </row>
    <row r="786">
      <c r="C786" s="8"/>
      <c r="I786" s="8"/>
      <c r="J786" s="8"/>
    </row>
    <row r="787">
      <c r="C787" s="8"/>
      <c r="I787" s="8"/>
      <c r="J787" s="8"/>
    </row>
    <row r="788">
      <c r="C788" s="8"/>
      <c r="I788" s="8"/>
      <c r="J788" s="8"/>
    </row>
    <row r="789">
      <c r="C789" s="8"/>
      <c r="I789" s="8"/>
      <c r="J789" s="8"/>
    </row>
    <row r="790">
      <c r="C790" s="8"/>
      <c r="I790" s="8"/>
      <c r="J790" s="8"/>
    </row>
    <row r="791">
      <c r="C791" s="8"/>
      <c r="I791" s="8"/>
      <c r="J791" s="8"/>
    </row>
    <row r="792">
      <c r="C792" s="8"/>
      <c r="I792" s="8"/>
      <c r="J792" s="8"/>
    </row>
    <row r="793">
      <c r="C793" s="8"/>
      <c r="I793" s="8"/>
      <c r="J793" s="8"/>
    </row>
    <row r="794">
      <c r="C794" s="8"/>
      <c r="I794" s="8"/>
      <c r="J794" s="8"/>
    </row>
    <row r="795">
      <c r="C795" s="8"/>
      <c r="I795" s="8"/>
      <c r="J795" s="8"/>
    </row>
    <row r="796">
      <c r="C796" s="8"/>
      <c r="I796" s="8"/>
      <c r="J796" s="8"/>
    </row>
    <row r="797">
      <c r="C797" s="8"/>
      <c r="I797" s="8"/>
      <c r="J797" s="8"/>
    </row>
    <row r="798">
      <c r="C798" s="8"/>
      <c r="I798" s="8"/>
      <c r="J798" s="8"/>
    </row>
    <row r="799">
      <c r="C799" s="8"/>
      <c r="I799" s="8"/>
      <c r="J799" s="8"/>
    </row>
    <row r="800">
      <c r="C800" s="8"/>
      <c r="I800" s="8"/>
      <c r="J800" s="8"/>
    </row>
    <row r="801">
      <c r="C801" s="8"/>
      <c r="I801" s="8"/>
      <c r="J801" s="8"/>
    </row>
    <row r="802">
      <c r="C802" s="8"/>
      <c r="I802" s="8"/>
      <c r="J802" s="8"/>
    </row>
    <row r="803">
      <c r="C803" s="8"/>
      <c r="I803" s="8"/>
      <c r="J803" s="8"/>
    </row>
    <row r="804">
      <c r="C804" s="8"/>
      <c r="I804" s="8"/>
      <c r="J804" s="8"/>
    </row>
    <row r="805">
      <c r="C805" s="8"/>
      <c r="I805" s="8"/>
      <c r="J805" s="8"/>
    </row>
    <row r="806">
      <c r="C806" s="8"/>
      <c r="I806" s="8"/>
      <c r="J806" s="8"/>
    </row>
    <row r="807">
      <c r="C807" s="8"/>
      <c r="I807" s="8"/>
      <c r="J807" s="8"/>
    </row>
    <row r="808">
      <c r="C808" s="8"/>
      <c r="I808" s="8"/>
      <c r="J808" s="8"/>
    </row>
    <row r="809">
      <c r="C809" s="8"/>
      <c r="I809" s="8"/>
      <c r="J809" s="8"/>
    </row>
    <row r="810">
      <c r="C810" s="8"/>
      <c r="I810" s="8"/>
      <c r="J810" s="8"/>
    </row>
    <row r="811">
      <c r="C811" s="8"/>
      <c r="I811" s="8"/>
      <c r="J811" s="8"/>
    </row>
    <row r="812">
      <c r="C812" s="8"/>
      <c r="I812" s="8"/>
      <c r="J812" s="8"/>
    </row>
    <row r="813">
      <c r="C813" s="8"/>
      <c r="I813" s="8"/>
      <c r="J813" s="8"/>
    </row>
    <row r="814">
      <c r="C814" s="8"/>
      <c r="I814" s="8"/>
      <c r="J814" s="8"/>
    </row>
    <row r="815">
      <c r="C815" s="8"/>
      <c r="I815" s="8"/>
      <c r="J815" s="8"/>
    </row>
    <row r="816">
      <c r="C816" s="8"/>
      <c r="I816" s="8"/>
      <c r="J816" s="8"/>
    </row>
    <row r="817">
      <c r="C817" s="8"/>
      <c r="I817" s="8"/>
      <c r="J817" s="8"/>
    </row>
    <row r="818">
      <c r="C818" s="8"/>
      <c r="I818" s="8"/>
      <c r="J818" s="8"/>
    </row>
    <row r="819">
      <c r="C819" s="8"/>
      <c r="I819" s="8"/>
      <c r="J819" s="8"/>
    </row>
    <row r="820">
      <c r="C820" s="8"/>
      <c r="I820" s="8"/>
      <c r="J820" s="8"/>
    </row>
    <row r="821">
      <c r="C821" s="8"/>
      <c r="I821" s="8"/>
      <c r="J821" s="8"/>
    </row>
    <row r="822">
      <c r="C822" s="8"/>
      <c r="I822" s="8"/>
      <c r="J822" s="8"/>
    </row>
    <row r="823">
      <c r="C823" s="8"/>
      <c r="I823" s="8"/>
      <c r="J823" s="8"/>
    </row>
    <row r="824">
      <c r="C824" s="8"/>
      <c r="I824" s="8"/>
      <c r="J824" s="8"/>
    </row>
    <row r="825">
      <c r="C825" s="8"/>
      <c r="I825" s="8"/>
      <c r="J825" s="8"/>
    </row>
    <row r="826">
      <c r="C826" s="8"/>
      <c r="I826" s="8"/>
      <c r="J826" s="8"/>
    </row>
    <row r="827">
      <c r="C827" s="8"/>
      <c r="I827" s="8"/>
      <c r="J827" s="8"/>
    </row>
    <row r="828">
      <c r="C828" s="8"/>
      <c r="I828" s="8"/>
      <c r="J828" s="8"/>
    </row>
    <row r="829">
      <c r="C829" s="8"/>
      <c r="I829" s="8"/>
      <c r="J829" s="8"/>
    </row>
    <row r="830">
      <c r="C830" s="8"/>
      <c r="I830" s="8"/>
      <c r="J830" s="8"/>
    </row>
    <row r="831">
      <c r="C831" s="8"/>
      <c r="I831" s="8"/>
      <c r="J831" s="8"/>
    </row>
    <row r="832">
      <c r="C832" s="8"/>
      <c r="I832" s="8"/>
      <c r="J832" s="8"/>
    </row>
    <row r="833">
      <c r="C833" s="8"/>
      <c r="I833" s="8"/>
      <c r="J833" s="8"/>
    </row>
    <row r="834">
      <c r="C834" s="8"/>
      <c r="I834" s="8"/>
      <c r="J834" s="8"/>
    </row>
    <row r="835">
      <c r="C835" s="8"/>
      <c r="I835" s="8"/>
      <c r="J835" s="8"/>
    </row>
    <row r="836">
      <c r="C836" s="8"/>
      <c r="I836" s="8"/>
      <c r="J836" s="8"/>
    </row>
    <row r="837">
      <c r="C837" s="8"/>
      <c r="I837" s="8"/>
      <c r="J837" s="8"/>
    </row>
    <row r="838">
      <c r="C838" s="8"/>
      <c r="I838" s="8"/>
      <c r="J838" s="8"/>
    </row>
    <row r="839">
      <c r="C839" s="8"/>
      <c r="I839" s="8"/>
      <c r="J839" s="8"/>
    </row>
    <row r="840">
      <c r="C840" s="8"/>
      <c r="I840" s="8"/>
      <c r="J840" s="8"/>
    </row>
    <row r="841">
      <c r="C841" s="8"/>
      <c r="I841" s="8"/>
      <c r="J841" s="8"/>
    </row>
    <row r="842">
      <c r="C842" s="8"/>
      <c r="I842" s="8"/>
      <c r="J842" s="8"/>
    </row>
    <row r="843">
      <c r="C843" s="8"/>
      <c r="I843" s="8"/>
      <c r="J843" s="8"/>
    </row>
    <row r="844">
      <c r="C844" s="8"/>
      <c r="I844" s="8"/>
      <c r="J844" s="8"/>
    </row>
    <row r="845">
      <c r="C845" s="8"/>
      <c r="I845" s="8"/>
      <c r="J845" s="8"/>
    </row>
    <row r="846">
      <c r="C846" s="8"/>
      <c r="I846" s="8"/>
      <c r="J846" s="8"/>
    </row>
    <row r="847">
      <c r="C847" s="8"/>
      <c r="I847" s="8"/>
      <c r="J847" s="8"/>
    </row>
    <row r="848">
      <c r="C848" s="8"/>
      <c r="I848" s="8"/>
      <c r="J848" s="8"/>
    </row>
    <row r="849">
      <c r="C849" s="8"/>
      <c r="I849" s="8"/>
      <c r="J849" s="8"/>
    </row>
    <row r="850">
      <c r="C850" s="8"/>
      <c r="I850" s="8"/>
      <c r="J850" s="8"/>
    </row>
    <row r="851">
      <c r="C851" s="8"/>
      <c r="I851" s="8"/>
      <c r="J851" s="8"/>
    </row>
    <row r="852">
      <c r="C852" s="8"/>
      <c r="I852" s="8"/>
      <c r="J852" s="8"/>
    </row>
    <row r="853">
      <c r="C853" s="8"/>
      <c r="I853" s="8"/>
      <c r="J853" s="8"/>
    </row>
    <row r="854">
      <c r="C854" s="8"/>
      <c r="I854" s="8"/>
      <c r="J854" s="8"/>
    </row>
    <row r="855">
      <c r="C855" s="8"/>
      <c r="I855" s="8"/>
      <c r="J855" s="8"/>
    </row>
    <row r="856">
      <c r="C856" s="8"/>
      <c r="I856" s="8"/>
      <c r="J856" s="8"/>
    </row>
    <row r="857">
      <c r="C857" s="8"/>
      <c r="I857" s="8"/>
      <c r="J857" s="8"/>
    </row>
    <row r="858">
      <c r="C858" s="8"/>
      <c r="I858" s="8"/>
      <c r="J858" s="8"/>
    </row>
    <row r="859">
      <c r="C859" s="8"/>
      <c r="I859" s="8"/>
      <c r="J859" s="8"/>
    </row>
    <row r="860">
      <c r="C860" s="8"/>
      <c r="I860" s="8"/>
      <c r="J860" s="8"/>
    </row>
    <row r="861">
      <c r="C861" s="8"/>
      <c r="I861" s="8"/>
      <c r="J861" s="8"/>
    </row>
    <row r="862">
      <c r="C862" s="8"/>
      <c r="I862" s="8"/>
      <c r="J862" s="8"/>
    </row>
    <row r="863">
      <c r="C863" s="8"/>
      <c r="I863" s="8"/>
      <c r="J863" s="8"/>
    </row>
    <row r="864">
      <c r="C864" s="8"/>
      <c r="I864" s="8"/>
      <c r="J864" s="8"/>
    </row>
    <row r="865">
      <c r="C865" s="8"/>
      <c r="I865" s="8"/>
      <c r="J865" s="8"/>
    </row>
    <row r="866">
      <c r="C866" s="8"/>
      <c r="I866" s="8"/>
      <c r="J866" s="8"/>
    </row>
    <row r="867">
      <c r="C867" s="8"/>
      <c r="I867" s="8"/>
      <c r="J867" s="8"/>
    </row>
    <row r="868">
      <c r="C868" s="8"/>
      <c r="I868" s="8"/>
      <c r="J868" s="8"/>
    </row>
    <row r="869">
      <c r="C869" s="8"/>
      <c r="I869" s="8"/>
      <c r="J869" s="8"/>
    </row>
    <row r="870">
      <c r="C870" s="8"/>
      <c r="I870" s="8"/>
      <c r="J870" s="8"/>
    </row>
    <row r="871">
      <c r="C871" s="8"/>
      <c r="I871" s="8"/>
      <c r="J871" s="8"/>
    </row>
    <row r="872">
      <c r="C872" s="8"/>
      <c r="I872" s="8"/>
      <c r="J872" s="8"/>
    </row>
    <row r="873">
      <c r="C873" s="8"/>
      <c r="I873" s="8"/>
      <c r="J873" s="8"/>
    </row>
    <row r="874">
      <c r="C874" s="8"/>
      <c r="I874" s="8"/>
      <c r="J874" s="8"/>
    </row>
    <row r="875">
      <c r="C875" s="8"/>
      <c r="I875" s="8"/>
      <c r="J875" s="8"/>
    </row>
    <row r="876">
      <c r="C876" s="8"/>
      <c r="I876" s="8"/>
      <c r="J876" s="8"/>
    </row>
    <row r="877">
      <c r="C877" s="8"/>
      <c r="I877" s="8"/>
      <c r="J877" s="8"/>
    </row>
    <row r="878">
      <c r="C878" s="8"/>
      <c r="I878" s="8"/>
      <c r="J878" s="8"/>
    </row>
    <row r="879">
      <c r="C879" s="8"/>
      <c r="I879" s="8"/>
      <c r="J879" s="8"/>
    </row>
    <row r="880">
      <c r="C880" s="8"/>
      <c r="I880" s="8"/>
      <c r="J880" s="8"/>
    </row>
    <row r="881">
      <c r="C881" s="8"/>
      <c r="I881" s="8"/>
      <c r="J881" s="8"/>
    </row>
    <row r="882">
      <c r="C882" s="8"/>
      <c r="I882" s="8"/>
      <c r="J882" s="8"/>
    </row>
    <row r="883">
      <c r="C883" s="8"/>
      <c r="I883" s="8"/>
      <c r="J883" s="8"/>
    </row>
    <row r="884">
      <c r="C884" s="8"/>
      <c r="I884" s="8"/>
      <c r="J884" s="8"/>
    </row>
    <row r="885">
      <c r="C885" s="8"/>
      <c r="I885" s="8"/>
      <c r="J885" s="8"/>
    </row>
    <row r="886">
      <c r="C886" s="8"/>
      <c r="I886" s="8"/>
      <c r="J886" s="8"/>
    </row>
    <row r="887">
      <c r="C887" s="8"/>
      <c r="I887" s="8"/>
      <c r="J887" s="8"/>
    </row>
    <row r="888">
      <c r="C888" s="8"/>
      <c r="I888" s="8"/>
      <c r="J888" s="8"/>
    </row>
    <row r="889">
      <c r="C889" s="8"/>
      <c r="I889" s="8"/>
      <c r="J889" s="8"/>
    </row>
    <row r="890">
      <c r="C890" s="8"/>
      <c r="I890" s="8"/>
      <c r="J890" s="8"/>
    </row>
    <row r="891">
      <c r="C891" s="8"/>
      <c r="I891" s="8"/>
      <c r="J891" s="8"/>
    </row>
    <row r="892">
      <c r="C892" s="8"/>
      <c r="I892" s="8"/>
      <c r="J892" s="8"/>
    </row>
    <row r="893">
      <c r="C893" s="8"/>
      <c r="I893" s="8"/>
      <c r="J893" s="8"/>
    </row>
    <row r="894">
      <c r="C894" s="8"/>
      <c r="I894" s="8"/>
      <c r="J894" s="8"/>
    </row>
    <row r="895">
      <c r="C895" s="8"/>
      <c r="I895" s="8"/>
      <c r="J895" s="8"/>
    </row>
    <row r="896">
      <c r="C896" s="8"/>
      <c r="I896" s="8"/>
      <c r="J896" s="8"/>
    </row>
    <row r="897">
      <c r="C897" s="8"/>
      <c r="I897" s="8"/>
      <c r="J897" s="8"/>
    </row>
    <row r="898">
      <c r="C898" s="8"/>
      <c r="I898" s="8"/>
      <c r="J898" s="8"/>
    </row>
    <row r="899">
      <c r="C899" s="8"/>
      <c r="I899" s="8"/>
      <c r="J899" s="8"/>
    </row>
    <row r="900">
      <c r="C900" s="8"/>
      <c r="I900" s="8"/>
      <c r="J900" s="8"/>
    </row>
    <row r="901">
      <c r="C901" s="8"/>
      <c r="I901" s="8"/>
      <c r="J901" s="8"/>
    </row>
    <row r="902">
      <c r="C902" s="8"/>
      <c r="I902" s="8"/>
      <c r="J902" s="8"/>
    </row>
    <row r="903">
      <c r="C903" s="8"/>
      <c r="I903" s="8"/>
      <c r="J903" s="8"/>
    </row>
    <row r="904">
      <c r="C904" s="8"/>
      <c r="I904" s="8"/>
      <c r="J904" s="8"/>
    </row>
    <row r="905">
      <c r="C905" s="8"/>
      <c r="I905" s="8"/>
      <c r="J905" s="8"/>
    </row>
    <row r="906">
      <c r="C906" s="8"/>
      <c r="I906" s="8"/>
      <c r="J906" s="8"/>
    </row>
    <row r="907">
      <c r="C907" s="8"/>
      <c r="I907" s="8"/>
      <c r="J907" s="8"/>
    </row>
    <row r="908">
      <c r="C908" s="8"/>
      <c r="I908" s="8"/>
      <c r="J908" s="8"/>
    </row>
    <row r="909">
      <c r="C909" s="8"/>
      <c r="I909" s="8"/>
      <c r="J909" s="8"/>
    </row>
    <row r="910">
      <c r="C910" s="8"/>
      <c r="I910" s="8"/>
      <c r="J910" s="8"/>
    </row>
    <row r="911">
      <c r="C911" s="8"/>
      <c r="I911" s="8"/>
      <c r="J911" s="8"/>
    </row>
    <row r="912">
      <c r="C912" s="8"/>
      <c r="I912" s="8"/>
      <c r="J912" s="8"/>
    </row>
    <row r="913">
      <c r="C913" s="8"/>
      <c r="I913" s="8"/>
      <c r="J913" s="8"/>
    </row>
    <row r="914">
      <c r="C914" s="8"/>
      <c r="I914" s="8"/>
      <c r="J914" s="8"/>
    </row>
    <row r="915">
      <c r="C915" s="8"/>
      <c r="I915" s="8"/>
      <c r="J915" s="8"/>
    </row>
    <row r="916">
      <c r="C916" s="8"/>
      <c r="I916" s="8"/>
      <c r="J916" s="8"/>
    </row>
    <row r="917">
      <c r="C917" s="8"/>
      <c r="I917" s="8"/>
      <c r="J917" s="8"/>
    </row>
    <row r="918">
      <c r="C918" s="8"/>
      <c r="I918" s="8"/>
      <c r="J918" s="8"/>
    </row>
    <row r="919">
      <c r="C919" s="8"/>
      <c r="I919" s="8"/>
      <c r="J919" s="8"/>
    </row>
    <row r="920">
      <c r="C920" s="8"/>
      <c r="I920" s="8"/>
      <c r="J920" s="8"/>
    </row>
    <row r="921">
      <c r="C921" s="8"/>
      <c r="I921" s="8"/>
      <c r="J921" s="8"/>
    </row>
    <row r="922">
      <c r="C922" s="8"/>
      <c r="I922" s="8"/>
      <c r="J922" s="8"/>
    </row>
    <row r="923">
      <c r="C923" s="8"/>
      <c r="I923" s="8"/>
      <c r="J923" s="8"/>
    </row>
    <row r="924">
      <c r="C924" s="8"/>
      <c r="I924" s="8"/>
      <c r="J924" s="8"/>
    </row>
    <row r="925">
      <c r="C925" s="8"/>
      <c r="I925" s="8"/>
      <c r="J925" s="8"/>
    </row>
    <row r="926">
      <c r="C926" s="8"/>
      <c r="I926" s="8"/>
      <c r="J926" s="8"/>
    </row>
    <row r="927">
      <c r="C927" s="8"/>
      <c r="I927" s="8"/>
      <c r="J927" s="8"/>
    </row>
    <row r="928">
      <c r="C928" s="8"/>
      <c r="I928" s="8"/>
      <c r="J928" s="8"/>
    </row>
    <row r="929">
      <c r="C929" s="8"/>
      <c r="I929" s="8"/>
      <c r="J929" s="8"/>
    </row>
    <row r="930">
      <c r="C930" s="8"/>
      <c r="I930" s="8"/>
      <c r="J930" s="8"/>
    </row>
    <row r="931">
      <c r="C931" s="8"/>
      <c r="I931" s="8"/>
      <c r="J931" s="8"/>
    </row>
    <row r="932">
      <c r="C932" s="8"/>
      <c r="I932" s="8"/>
      <c r="J932" s="8"/>
    </row>
    <row r="933">
      <c r="C933" s="8"/>
      <c r="I933" s="8"/>
      <c r="J933" s="8"/>
    </row>
    <row r="934">
      <c r="C934" s="8"/>
      <c r="I934" s="8"/>
      <c r="J934" s="8"/>
    </row>
    <row r="935">
      <c r="C935" s="8"/>
      <c r="I935" s="8"/>
      <c r="J935" s="8"/>
    </row>
    <row r="936">
      <c r="C936" s="8"/>
      <c r="I936" s="8"/>
      <c r="J936" s="8"/>
    </row>
    <row r="937">
      <c r="C937" s="8"/>
      <c r="I937" s="8"/>
      <c r="J937" s="8"/>
    </row>
    <row r="938">
      <c r="C938" s="8"/>
      <c r="I938" s="8"/>
      <c r="J938" s="8"/>
    </row>
    <row r="939">
      <c r="C939" s="8"/>
      <c r="I939" s="8"/>
      <c r="J939" s="8"/>
    </row>
    <row r="940">
      <c r="C940" s="8"/>
      <c r="I940" s="8"/>
      <c r="J940" s="8"/>
    </row>
    <row r="941">
      <c r="C941" s="8"/>
      <c r="I941" s="8"/>
      <c r="J941" s="8"/>
    </row>
    <row r="942">
      <c r="C942" s="8"/>
      <c r="I942" s="8"/>
      <c r="J942" s="8"/>
    </row>
    <row r="943">
      <c r="C943" s="8"/>
      <c r="I943" s="8"/>
      <c r="J943" s="8"/>
    </row>
    <row r="944">
      <c r="C944" s="8"/>
      <c r="I944" s="8"/>
      <c r="J944" s="8"/>
    </row>
    <row r="945">
      <c r="C945" s="8"/>
      <c r="I945" s="8"/>
      <c r="J945" s="8"/>
    </row>
    <row r="946">
      <c r="C946" s="8"/>
      <c r="I946" s="8"/>
      <c r="J946" s="8"/>
    </row>
    <row r="947">
      <c r="C947" s="8"/>
      <c r="I947" s="8"/>
      <c r="J947" s="8"/>
    </row>
    <row r="948">
      <c r="C948" s="8"/>
      <c r="I948" s="8"/>
      <c r="J948" s="8"/>
    </row>
    <row r="949">
      <c r="C949" s="8"/>
      <c r="I949" s="8"/>
      <c r="J949" s="8"/>
    </row>
    <row r="950">
      <c r="C950" s="8"/>
      <c r="I950" s="8"/>
      <c r="J950" s="8"/>
    </row>
    <row r="951">
      <c r="C951" s="8"/>
      <c r="I951" s="8"/>
      <c r="J951" s="8"/>
    </row>
    <row r="952">
      <c r="C952" s="8"/>
      <c r="I952" s="8"/>
      <c r="J952" s="8"/>
    </row>
    <row r="953">
      <c r="C953" s="8"/>
      <c r="I953" s="8"/>
      <c r="J953" s="8"/>
    </row>
    <row r="954">
      <c r="C954" s="8"/>
      <c r="I954" s="8"/>
      <c r="J954" s="8"/>
    </row>
    <row r="955">
      <c r="C955" s="8"/>
      <c r="I955" s="8"/>
      <c r="J955" s="8"/>
    </row>
    <row r="956">
      <c r="C956" s="8"/>
      <c r="I956" s="8"/>
      <c r="J956" s="8"/>
    </row>
    <row r="957">
      <c r="C957" s="8"/>
      <c r="I957" s="8"/>
      <c r="J957" s="8"/>
    </row>
    <row r="958">
      <c r="C958" s="8"/>
      <c r="I958" s="8"/>
      <c r="J958" s="8"/>
    </row>
    <row r="959">
      <c r="C959" s="8"/>
      <c r="I959" s="8"/>
      <c r="J959" s="8"/>
    </row>
    <row r="960">
      <c r="C960" s="8"/>
      <c r="I960" s="8"/>
      <c r="J960" s="8"/>
    </row>
    <row r="961">
      <c r="C961" s="8"/>
      <c r="I961" s="8"/>
      <c r="J961" s="8"/>
    </row>
    <row r="962">
      <c r="C962" s="8"/>
      <c r="I962" s="8"/>
      <c r="J962" s="8"/>
    </row>
    <row r="963">
      <c r="C963" s="8"/>
      <c r="I963" s="8"/>
      <c r="J963" s="8"/>
    </row>
    <row r="964">
      <c r="C964" s="8"/>
      <c r="I964" s="8"/>
      <c r="J964" s="8"/>
    </row>
    <row r="965">
      <c r="C965" s="8"/>
      <c r="I965" s="8"/>
      <c r="J965" s="8"/>
    </row>
    <row r="966">
      <c r="C966" s="8"/>
      <c r="I966" s="8"/>
      <c r="J966" s="8"/>
    </row>
    <row r="967">
      <c r="C967" s="8"/>
      <c r="I967" s="8"/>
      <c r="J967" s="8"/>
    </row>
    <row r="968">
      <c r="C968" s="8"/>
      <c r="I968" s="8"/>
      <c r="J968" s="8"/>
    </row>
    <row r="969">
      <c r="C969" s="8"/>
      <c r="I969" s="8"/>
      <c r="J969" s="8"/>
    </row>
    <row r="970">
      <c r="C970" s="8"/>
      <c r="I970" s="8"/>
      <c r="J970" s="8"/>
    </row>
    <row r="971">
      <c r="C971" s="8"/>
      <c r="I971" s="8"/>
      <c r="J971" s="8"/>
    </row>
    <row r="972">
      <c r="C972" s="8"/>
      <c r="I972" s="8"/>
      <c r="J972" s="8"/>
    </row>
    <row r="973">
      <c r="C973" s="8"/>
      <c r="I973" s="8"/>
      <c r="J973" s="8"/>
    </row>
    <row r="974">
      <c r="C974" s="8"/>
      <c r="I974" s="8"/>
      <c r="J974" s="8"/>
    </row>
    <row r="975">
      <c r="C975" s="8"/>
      <c r="I975" s="8"/>
      <c r="J975" s="8"/>
    </row>
    <row r="976">
      <c r="C976" s="8"/>
      <c r="I976" s="8"/>
      <c r="J976" s="8"/>
    </row>
    <row r="977">
      <c r="C977" s="8"/>
      <c r="I977" s="8"/>
      <c r="J977" s="8"/>
    </row>
    <row r="978">
      <c r="C978" s="8"/>
      <c r="I978" s="8"/>
      <c r="J978" s="8"/>
    </row>
    <row r="979">
      <c r="C979" s="8"/>
      <c r="I979" s="8"/>
      <c r="J979" s="8"/>
    </row>
    <row r="980">
      <c r="C980" s="8"/>
      <c r="I980" s="8"/>
      <c r="J980" s="8"/>
    </row>
    <row r="981">
      <c r="C981" s="8"/>
      <c r="I981" s="8"/>
      <c r="J981" s="8"/>
    </row>
    <row r="982">
      <c r="C982" s="8"/>
      <c r="I982" s="8"/>
      <c r="J982" s="8"/>
    </row>
    <row r="983">
      <c r="C983" s="8"/>
      <c r="I983" s="8"/>
      <c r="J983" s="8"/>
    </row>
    <row r="984">
      <c r="C984" s="8"/>
      <c r="I984" s="8"/>
      <c r="J984" s="8"/>
    </row>
    <row r="985">
      <c r="C985" s="8"/>
      <c r="I985" s="8"/>
      <c r="J985" s="8"/>
    </row>
    <row r="986">
      <c r="C986" s="8"/>
      <c r="I986" s="8"/>
      <c r="J986" s="8"/>
    </row>
    <row r="987">
      <c r="C987" s="8"/>
      <c r="I987" s="8"/>
      <c r="J987" s="8"/>
    </row>
    <row r="988">
      <c r="C988" s="8"/>
      <c r="I988" s="8"/>
      <c r="J988" s="8"/>
    </row>
    <row r="989">
      <c r="C989" s="8"/>
      <c r="I989" s="8"/>
      <c r="J989" s="8"/>
    </row>
    <row r="990">
      <c r="C990" s="8"/>
      <c r="I990" s="8"/>
      <c r="J990" s="8"/>
    </row>
    <row r="991">
      <c r="C991" s="8"/>
      <c r="I991" s="8"/>
      <c r="J991" s="8"/>
    </row>
    <row r="992">
      <c r="C992" s="8"/>
      <c r="I992" s="8"/>
      <c r="J992" s="8"/>
    </row>
    <row r="993">
      <c r="C993" s="8"/>
      <c r="I993" s="8"/>
      <c r="J993" s="8"/>
    </row>
    <row r="994">
      <c r="C994" s="8"/>
      <c r="I994" s="8"/>
      <c r="J994" s="8"/>
    </row>
    <row r="995">
      <c r="C995" s="8"/>
      <c r="I995" s="8"/>
      <c r="J995" s="8"/>
    </row>
    <row r="996">
      <c r="C996" s="8"/>
      <c r="I996" s="8"/>
      <c r="J996" s="8"/>
    </row>
    <row r="997">
      <c r="C997" s="8"/>
      <c r="I997" s="8"/>
      <c r="J997" s="8"/>
    </row>
    <row r="998">
      <c r="C998" s="8"/>
      <c r="I998" s="8"/>
      <c r="J998" s="8"/>
    </row>
    <row r="999">
      <c r="C999" s="8"/>
      <c r="I999" s="8"/>
      <c r="J999" s="8"/>
    </row>
    <row r="1000">
      <c r="C1000" s="8"/>
      <c r="I1000" s="8"/>
      <c r="J1000" s="8"/>
    </row>
  </sheetData>
  <mergeCells count="1">
    <mergeCell ref="A1:O2"/>
  </mergeCells>
  <dataValidations>
    <dataValidation type="list" allowBlank="1" showErrorMessage="1" sqref="B3">
      <formula1>"Mout,Hop,Gist,Suiker,Fruit,Adjunct"</formula1>
    </dataValidation>
    <dataValidation type="list" allowBlank="1" showErrorMessage="1" sqref="J6:J1000">
      <formula1>Uitleg!$C$2:$C$5</formula1>
    </dataValidation>
    <dataValidation type="list" allowBlank="1" showErrorMessage="1" sqref="I6:I1000">
      <formula1>Uitleg!$B$2:$B$7</formula1>
    </dataValidation>
    <dataValidation type="list" allowBlank="1" showErrorMessage="1" sqref="C6:C1000">
      <formula1>Uitleg!$A$2:$A$3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63"/>
    <col customWidth="1" min="3" max="3" width="14.0"/>
    <col customWidth="1" min="7" max="11" width="13.5"/>
    <col customWidth="1" min="12" max="12" width="3.38"/>
    <col customWidth="1" min="15" max="15" width="13.88"/>
  </cols>
  <sheetData>
    <row r="1">
      <c r="A1" s="1" t="s">
        <v>508</v>
      </c>
    </row>
    <row r="3">
      <c r="A3" s="2" t="s">
        <v>559</v>
      </c>
      <c r="B3" s="2" t="s">
        <v>498</v>
      </c>
      <c r="M3" s="2" t="s">
        <v>560</v>
      </c>
      <c r="N3" s="8">
        <f>SUM(H6:H1000) - SUM(O6:O1000)</f>
        <v>25</v>
      </c>
      <c r="O3" s="2" t="s">
        <v>561</v>
      </c>
    </row>
    <row r="5">
      <c r="A5" s="22" t="s">
        <v>104</v>
      </c>
      <c r="B5" s="22" t="s">
        <v>105</v>
      </c>
      <c r="C5" s="22" t="s">
        <v>106</v>
      </c>
      <c r="D5" s="22" t="s">
        <v>107</v>
      </c>
      <c r="E5" s="22" t="s">
        <v>108</v>
      </c>
      <c r="F5" s="22" t="s">
        <v>111</v>
      </c>
      <c r="G5" s="22" t="s">
        <v>112</v>
      </c>
      <c r="H5" s="22" t="s">
        <v>113</v>
      </c>
      <c r="I5" s="22" t="s">
        <v>115</v>
      </c>
      <c r="J5" s="22" t="s">
        <v>116</v>
      </c>
      <c r="K5" s="22" t="s">
        <v>117</v>
      </c>
      <c r="M5" s="23" t="s">
        <v>118</v>
      </c>
      <c r="N5" s="23" t="s">
        <v>107</v>
      </c>
      <c r="O5" s="23" t="s">
        <v>113</v>
      </c>
      <c r="P5" s="23" t="s">
        <v>111</v>
      </c>
    </row>
    <row r="6">
      <c r="C6" s="2" t="s">
        <v>120</v>
      </c>
      <c r="D6" s="24">
        <v>45009.0</v>
      </c>
      <c r="E6" s="2" t="s">
        <v>159</v>
      </c>
      <c r="F6" s="2" t="s">
        <v>128</v>
      </c>
      <c r="G6" s="25">
        <v>45505.0</v>
      </c>
      <c r="H6" s="2">
        <v>75.0</v>
      </c>
      <c r="I6" s="2"/>
      <c r="J6" s="2"/>
      <c r="K6" s="2"/>
      <c r="M6" s="2" t="s">
        <v>66</v>
      </c>
      <c r="N6" s="24">
        <v>45020.0</v>
      </c>
      <c r="O6" s="2">
        <v>50.0</v>
      </c>
      <c r="P6" s="2" t="s">
        <v>128</v>
      </c>
    </row>
    <row r="7">
      <c r="C7" s="28"/>
      <c r="D7" s="28"/>
      <c r="E7" s="28"/>
      <c r="F7" s="28"/>
      <c r="I7" s="8"/>
      <c r="J7" s="8"/>
      <c r="N7" s="24"/>
    </row>
    <row r="8">
      <c r="C8" s="28"/>
      <c r="D8" s="28"/>
      <c r="E8" s="28"/>
      <c r="F8" s="28"/>
      <c r="I8" s="8"/>
      <c r="J8" s="8"/>
      <c r="N8" s="28"/>
    </row>
    <row r="9">
      <c r="C9" s="28"/>
      <c r="D9" s="28"/>
      <c r="E9" s="28"/>
      <c r="F9" s="28"/>
      <c r="I9" s="8"/>
      <c r="J9" s="8"/>
      <c r="N9" s="28"/>
    </row>
    <row r="10">
      <c r="C10" s="28"/>
      <c r="D10" s="28"/>
      <c r="E10" s="28"/>
      <c r="F10" s="28"/>
      <c r="I10" s="8"/>
      <c r="J10" s="8"/>
      <c r="N10" s="28"/>
    </row>
    <row r="11">
      <c r="C11" s="28"/>
      <c r="D11" s="28"/>
      <c r="E11" s="28"/>
      <c r="F11" s="28"/>
      <c r="I11" s="8"/>
      <c r="J11" s="8"/>
      <c r="N11" s="28"/>
    </row>
    <row r="12">
      <c r="C12" s="28"/>
      <c r="D12" s="28"/>
      <c r="E12" s="28"/>
      <c r="F12" s="28"/>
      <c r="I12" s="8"/>
      <c r="J12" s="8"/>
      <c r="N12" s="28"/>
    </row>
    <row r="13">
      <c r="C13" s="28"/>
      <c r="D13" s="28"/>
      <c r="E13" s="28"/>
      <c r="F13" s="28"/>
      <c r="I13" s="8"/>
      <c r="J13" s="8"/>
      <c r="N13" s="28"/>
    </row>
    <row r="14">
      <c r="C14" s="28"/>
      <c r="D14" s="28"/>
      <c r="E14" s="28"/>
      <c r="F14" s="28"/>
      <c r="I14" s="8"/>
      <c r="J14" s="8"/>
      <c r="N14" s="28"/>
    </row>
    <row r="15">
      <c r="C15" s="28"/>
      <c r="D15" s="28"/>
      <c r="E15" s="28"/>
      <c r="F15" s="28"/>
      <c r="I15" s="8"/>
      <c r="J15" s="8"/>
      <c r="N15" s="28"/>
    </row>
    <row r="16">
      <c r="C16" s="28"/>
      <c r="D16" s="28"/>
      <c r="E16" s="28"/>
      <c r="F16" s="28"/>
      <c r="I16" s="8"/>
      <c r="J16" s="8"/>
      <c r="N16" s="28"/>
    </row>
    <row r="17">
      <c r="C17" s="28"/>
      <c r="D17" s="28"/>
      <c r="E17" s="28"/>
      <c r="F17" s="28"/>
      <c r="I17" s="8"/>
      <c r="J17" s="8"/>
      <c r="N17" s="28"/>
    </row>
    <row r="18">
      <c r="C18" s="28"/>
      <c r="D18" s="28"/>
      <c r="E18" s="28"/>
      <c r="F18" s="28"/>
      <c r="I18" s="8"/>
      <c r="J18" s="8"/>
      <c r="N18" s="28"/>
    </row>
    <row r="19">
      <c r="C19" s="28"/>
      <c r="D19" s="28"/>
      <c r="E19" s="28"/>
      <c r="F19" s="28"/>
      <c r="I19" s="8"/>
      <c r="J19" s="8"/>
      <c r="N19" s="28"/>
    </row>
    <row r="20">
      <c r="C20" s="28"/>
      <c r="D20" s="28"/>
      <c r="E20" s="28"/>
      <c r="F20" s="28"/>
      <c r="I20" s="8"/>
      <c r="J20" s="8"/>
      <c r="N20" s="28"/>
    </row>
    <row r="21">
      <c r="C21" s="28"/>
      <c r="D21" s="28"/>
      <c r="E21" s="28"/>
      <c r="F21" s="28"/>
      <c r="I21" s="8"/>
      <c r="J21" s="8"/>
      <c r="N21" s="28"/>
    </row>
    <row r="22">
      <c r="C22" s="28"/>
      <c r="D22" s="28"/>
      <c r="E22" s="28"/>
      <c r="F22" s="28"/>
      <c r="I22" s="8"/>
      <c r="J22" s="8"/>
      <c r="N22" s="28"/>
    </row>
    <row r="23">
      <c r="C23" s="28"/>
      <c r="D23" s="28"/>
      <c r="E23" s="28"/>
      <c r="F23" s="28"/>
      <c r="I23" s="8"/>
      <c r="J23" s="8"/>
      <c r="N23" s="28"/>
    </row>
    <row r="24">
      <c r="C24" s="28"/>
      <c r="D24" s="28"/>
      <c r="E24" s="28"/>
      <c r="F24" s="28"/>
      <c r="I24" s="8"/>
      <c r="J24" s="8"/>
      <c r="N24" s="28"/>
    </row>
    <row r="25">
      <c r="C25" s="28"/>
      <c r="D25" s="28"/>
      <c r="E25" s="28"/>
      <c r="F25" s="28"/>
      <c r="I25" s="8"/>
      <c r="J25" s="8"/>
      <c r="N25" s="28"/>
    </row>
    <row r="26">
      <c r="C26" s="28"/>
      <c r="D26" s="28"/>
      <c r="E26" s="28"/>
      <c r="F26" s="28"/>
      <c r="I26" s="8"/>
      <c r="J26" s="8"/>
      <c r="N26" s="28"/>
    </row>
    <row r="27">
      <c r="C27" s="28"/>
      <c r="D27" s="28"/>
      <c r="E27" s="28"/>
      <c r="F27" s="28"/>
      <c r="I27" s="8"/>
      <c r="J27" s="8"/>
      <c r="N27" s="28"/>
    </row>
    <row r="28">
      <c r="C28" s="28"/>
      <c r="D28" s="28"/>
      <c r="E28" s="28"/>
      <c r="F28" s="28"/>
      <c r="I28" s="8"/>
      <c r="J28" s="8"/>
      <c r="N28" s="28"/>
    </row>
    <row r="29">
      <c r="C29" s="28"/>
      <c r="D29" s="28"/>
      <c r="E29" s="28"/>
      <c r="F29" s="28"/>
      <c r="I29" s="8"/>
      <c r="J29" s="8"/>
      <c r="N29" s="28"/>
    </row>
    <row r="30">
      <c r="C30" s="28"/>
      <c r="D30" s="28"/>
      <c r="E30" s="28"/>
      <c r="F30" s="28"/>
      <c r="I30" s="8"/>
      <c r="J30" s="8"/>
      <c r="N30" s="28"/>
    </row>
    <row r="31">
      <c r="C31" s="28"/>
      <c r="D31" s="28"/>
      <c r="E31" s="28"/>
      <c r="F31" s="28"/>
      <c r="I31" s="8"/>
      <c r="J31" s="8"/>
      <c r="N31" s="28"/>
    </row>
    <row r="32">
      <c r="C32" s="28"/>
      <c r="D32" s="28"/>
      <c r="E32" s="28"/>
      <c r="F32" s="28"/>
      <c r="I32" s="8"/>
      <c r="J32" s="8"/>
      <c r="N32" s="28"/>
    </row>
    <row r="33">
      <c r="C33" s="8"/>
      <c r="I33" s="8"/>
      <c r="J33" s="8"/>
      <c r="N33" s="28"/>
    </row>
    <row r="34">
      <c r="C34" s="8"/>
      <c r="I34" s="8"/>
      <c r="J34" s="8"/>
    </row>
    <row r="35">
      <c r="C35" s="8"/>
      <c r="I35" s="8"/>
      <c r="J35" s="8"/>
    </row>
    <row r="36">
      <c r="C36" s="8"/>
      <c r="I36" s="8"/>
      <c r="J36" s="8"/>
    </row>
    <row r="37">
      <c r="C37" s="8"/>
      <c r="I37" s="8"/>
      <c r="J37" s="8"/>
    </row>
    <row r="38">
      <c r="C38" s="8"/>
      <c r="I38" s="8"/>
      <c r="J38" s="8"/>
    </row>
    <row r="39">
      <c r="C39" s="8"/>
      <c r="I39" s="8"/>
      <c r="J39" s="8"/>
    </row>
    <row r="40">
      <c r="C40" s="8"/>
      <c r="I40" s="8"/>
      <c r="J40" s="8"/>
    </row>
    <row r="41">
      <c r="C41" s="8"/>
      <c r="I41" s="8"/>
      <c r="J41" s="8"/>
    </row>
    <row r="42">
      <c r="C42" s="8"/>
      <c r="I42" s="8"/>
      <c r="J42" s="8"/>
    </row>
    <row r="43">
      <c r="C43" s="8"/>
      <c r="I43" s="8"/>
      <c r="J43" s="8"/>
    </row>
    <row r="44">
      <c r="C44" s="8"/>
      <c r="I44" s="8"/>
      <c r="J44" s="8"/>
    </row>
    <row r="45">
      <c r="C45" s="8"/>
      <c r="I45" s="8"/>
      <c r="J45" s="8"/>
    </row>
    <row r="46">
      <c r="C46" s="8"/>
      <c r="I46" s="8"/>
      <c r="J46" s="8"/>
    </row>
    <row r="47">
      <c r="C47" s="8"/>
      <c r="I47" s="8"/>
      <c r="J47" s="8"/>
    </row>
    <row r="48">
      <c r="C48" s="8"/>
      <c r="I48" s="8"/>
      <c r="J48" s="8"/>
    </row>
    <row r="49">
      <c r="C49" s="8"/>
      <c r="I49" s="8"/>
      <c r="J49" s="8"/>
    </row>
    <row r="50">
      <c r="C50" s="8"/>
      <c r="I50" s="8"/>
      <c r="J50" s="8"/>
    </row>
    <row r="51">
      <c r="C51" s="8"/>
      <c r="I51" s="8"/>
      <c r="J51" s="8"/>
    </row>
    <row r="52">
      <c r="C52" s="8"/>
      <c r="I52" s="8"/>
      <c r="J52" s="8"/>
    </row>
    <row r="53">
      <c r="C53" s="8"/>
      <c r="I53" s="8"/>
      <c r="J53" s="8"/>
    </row>
    <row r="54">
      <c r="C54" s="8"/>
      <c r="I54" s="8"/>
      <c r="J54" s="8"/>
    </row>
    <row r="55">
      <c r="C55" s="8"/>
      <c r="I55" s="8"/>
      <c r="J55" s="8"/>
    </row>
    <row r="56">
      <c r="C56" s="8"/>
      <c r="I56" s="8"/>
      <c r="J56" s="8"/>
    </row>
    <row r="57">
      <c r="C57" s="8"/>
      <c r="I57" s="8"/>
      <c r="J57" s="8"/>
    </row>
    <row r="58">
      <c r="C58" s="8"/>
      <c r="I58" s="8"/>
      <c r="J58" s="8"/>
    </row>
    <row r="59">
      <c r="C59" s="8"/>
      <c r="I59" s="8"/>
      <c r="J59" s="8"/>
    </row>
    <row r="60">
      <c r="C60" s="8"/>
      <c r="I60" s="8"/>
      <c r="J60" s="8"/>
    </row>
    <row r="61">
      <c r="C61" s="8"/>
      <c r="I61" s="8"/>
      <c r="J61" s="8"/>
    </row>
    <row r="62">
      <c r="C62" s="8"/>
      <c r="I62" s="8"/>
      <c r="J62" s="8"/>
    </row>
    <row r="63">
      <c r="C63" s="8"/>
      <c r="I63" s="8"/>
      <c r="J63" s="8"/>
    </row>
    <row r="64">
      <c r="C64" s="8"/>
      <c r="I64" s="8"/>
      <c r="J64" s="8"/>
    </row>
    <row r="65">
      <c r="C65" s="8"/>
      <c r="I65" s="8"/>
      <c r="J65" s="8"/>
    </row>
    <row r="66">
      <c r="C66" s="8"/>
      <c r="I66" s="8"/>
      <c r="J66" s="8"/>
    </row>
    <row r="67">
      <c r="C67" s="8"/>
      <c r="I67" s="8"/>
      <c r="J67" s="8"/>
    </row>
    <row r="68">
      <c r="C68" s="8"/>
      <c r="I68" s="8"/>
      <c r="J68" s="8"/>
    </row>
    <row r="69">
      <c r="C69" s="8"/>
      <c r="I69" s="8"/>
      <c r="J69" s="8"/>
    </row>
    <row r="70">
      <c r="C70" s="8"/>
      <c r="I70" s="8"/>
      <c r="J70" s="8"/>
    </row>
    <row r="71">
      <c r="C71" s="8"/>
      <c r="I71" s="8"/>
      <c r="J71" s="8"/>
    </row>
    <row r="72">
      <c r="C72" s="8"/>
      <c r="I72" s="8"/>
      <c r="J72" s="8"/>
    </row>
    <row r="73">
      <c r="C73" s="8"/>
      <c r="I73" s="8"/>
      <c r="J73" s="8"/>
    </row>
    <row r="74">
      <c r="C74" s="8"/>
      <c r="I74" s="8"/>
      <c r="J74" s="8"/>
    </row>
    <row r="75">
      <c r="C75" s="8"/>
      <c r="I75" s="8"/>
      <c r="J75" s="8"/>
    </row>
    <row r="76">
      <c r="C76" s="8"/>
      <c r="I76" s="8"/>
      <c r="J76" s="8"/>
    </row>
    <row r="77">
      <c r="C77" s="8"/>
      <c r="I77" s="8"/>
      <c r="J77" s="8"/>
    </row>
    <row r="78">
      <c r="C78" s="8"/>
      <c r="I78" s="8"/>
      <c r="J78" s="8"/>
    </row>
    <row r="79">
      <c r="C79" s="8"/>
      <c r="I79" s="8"/>
      <c r="J79" s="8"/>
    </row>
    <row r="80">
      <c r="C80" s="8"/>
      <c r="I80" s="8"/>
      <c r="J80" s="8"/>
    </row>
    <row r="81">
      <c r="C81" s="8"/>
      <c r="I81" s="8"/>
      <c r="J81" s="8"/>
    </row>
    <row r="82">
      <c r="C82" s="8"/>
      <c r="I82" s="8"/>
      <c r="J82" s="8"/>
    </row>
    <row r="83">
      <c r="C83" s="8"/>
      <c r="I83" s="8"/>
      <c r="J83" s="8"/>
    </row>
    <row r="84">
      <c r="C84" s="8"/>
      <c r="I84" s="8"/>
      <c r="J84" s="8"/>
    </row>
    <row r="85">
      <c r="C85" s="8"/>
      <c r="I85" s="8"/>
      <c r="J85" s="8"/>
    </row>
    <row r="86">
      <c r="C86" s="8"/>
      <c r="I86" s="8"/>
      <c r="J86" s="8"/>
    </row>
    <row r="87">
      <c r="C87" s="8"/>
      <c r="I87" s="8"/>
      <c r="J87" s="8"/>
    </row>
    <row r="88">
      <c r="C88" s="8"/>
      <c r="I88" s="8"/>
      <c r="J88" s="8"/>
    </row>
    <row r="89">
      <c r="C89" s="8"/>
      <c r="I89" s="8"/>
      <c r="J89" s="8"/>
    </row>
    <row r="90">
      <c r="C90" s="8"/>
      <c r="I90" s="8"/>
      <c r="J90" s="8"/>
    </row>
    <row r="91">
      <c r="C91" s="8"/>
      <c r="I91" s="8"/>
      <c r="J91" s="8"/>
    </row>
    <row r="92">
      <c r="C92" s="8"/>
      <c r="I92" s="8"/>
      <c r="J92" s="8"/>
    </row>
    <row r="93">
      <c r="C93" s="8"/>
      <c r="I93" s="8"/>
      <c r="J93" s="8"/>
    </row>
    <row r="94">
      <c r="C94" s="8"/>
      <c r="I94" s="8"/>
      <c r="J94" s="8"/>
    </row>
    <row r="95">
      <c r="C95" s="8"/>
      <c r="I95" s="8"/>
      <c r="J95" s="8"/>
    </row>
    <row r="96">
      <c r="C96" s="8"/>
      <c r="I96" s="8"/>
      <c r="J96" s="8"/>
    </row>
    <row r="97">
      <c r="C97" s="8"/>
      <c r="I97" s="8"/>
      <c r="J97" s="8"/>
    </row>
    <row r="98">
      <c r="C98" s="8"/>
      <c r="I98" s="8"/>
      <c r="J98" s="8"/>
    </row>
    <row r="99">
      <c r="C99" s="8"/>
      <c r="I99" s="8"/>
      <c r="J99" s="8"/>
    </row>
    <row r="100">
      <c r="C100" s="8"/>
      <c r="I100" s="8"/>
      <c r="J100" s="8"/>
    </row>
    <row r="101">
      <c r="C101" s="8"/>
      <c r="I101" s="8"/>
      <c r="J101" s="8"/>
    </row>
    <row r="102">
      <c r="C102" s="8"/>
      <c r="I102" s="8"/>
      <c r="J102" s="8"/>
    </row>
    <row r="103">
      <c r="C103" s="8"/>
      <c r="I103" s="8"/>
      <c r="J103" s="8"/>
    </row>
    <row r="104">
      <c r="C104" s="8"/>
      <c r="I104" s="8"/>
      <c r="J104" s="8"/>
    </row>
    <row r="105">
      <c r="C105" s="8"/>
      <c r="I105" s="8"/>
      <c r="J105" s="8"/>
    </row>
    <row r="106">
      <c r="C106" s="8"/>
      <c r="I106" s="8"/>
      <c r="J106" s="8"/>
    </row>
    <row r="107">
      <c r="C107" s="8"/>
      <c r="I107" s="8"/>
      <c r="J107" s="8"/>
    </row>
    <row r="108">
      <c r="C108" s="8"/>
      <c r="I108" s="8"/>
      <c r="J108" s="8"/>
    </row>
    <row r="109">
      <c r="C109" s="8"/>
      <c r="I109" s="8"/>
      <c r="J109" s="8"/>
    </row>
    <row r="110">
      <c r="C110" s="8"/>
      <c r="I110" s="8"/>
      <c r="J110" s="8"/>
    </row>
    <row r="111">
      <c r="C111" s="8"/>
      <c r="I111" s="8"/>
      <c r="J111" s="8"/>
    </row>
    <row r="112">
      <c r="C112" s="8"/>
      <c r="I112" s="8"/>
      <c r="J112" s="8"/>
    </row>
    <row r="113">
      <c r="C113" s="8"/>
      <c r="I113" s="8"/>
      <c r="J113" s="8"/>
    </row>
    <row r="114">
      <c r="C114" s="8"/>
      <c r="I114" s="8"/>
      <c r="J114" s="8"/>
    </row>
    <row r="115">
      <c r="C115" s="8"/>
      <c r="I115" s="8"/>
      <c r="J115" s="8"/>
    </row>
    <row r="116">
      <c r="C116" s="8"/>
      <c r="I116" s="8"/>
      <c r="J116" s="8"/>
    </row>
    <row r="117">
      <c r="C117" s="8"/>
      <c r="I117" s="8"/>
      <c r="J117" s="8"/>
    </row>
    <row r="118">
      <c r="C118" s="8"/>
      <c r="I118" s="8"/>
      <c r="J118" s="8"/>
    </row>
    <row r="119">
      <c r="C119" s="8"/>
      <c r="I119" s="8"/>
      <c r="J119" s="8"/>
    </row>
    <row r="120">
      <c r="C120" s="8"/>
      <c r="I120" s="8"/>
      <c r="J120" s="8"/>
    </row>
    <row r="121">
      <c r="C121" s="8"/>
      <c r="I121" s="8"/>
      <c r="J121" s="8"/>
    </row>
    <row r="122">
      <c r="C122" s="8"/>
      <c r="I122" s="8"/>
      <c r="J122" s="8"/>
    </row>
    <row r="123">
      <c r="C123" s="8"/>
      <c r="I123" s="8"/>
      <c r="J123" s="8"/>
    </row>
    <row r="124">
      <c r="C124" s="8"/>
      <c r="I124" s="8"/>
      <c r="J124" s="8"/>
    </row>
    <row r="125">
      <c r="C125" s="8"/>
      <c r="I125" s="8"/>
      <c r="J125" s="8"/>
    </row>
    <row r="126">
      <c r="C126" s="8"/>
      <c r="I126" s="8"/>
      <c r="J126" s="8"/>
    </row>
    <row r="127">
      <c r="C127" s="8"/>
      <c r="I127" s="8"/>
      <c r="J127" s="8"/>
    </row>
    <row r="128">
      <c r="C128" s="8"/>
      <c r="I128" s="8"/>
      <c r="J128" s="8"/>
    </row>
    <row r="129">
      <c r="C129" s="8"/>
      <c r="I129" s="8"/>
      <c r="J129" s="8"/>
    </row>
    <row r="130">
      <c r="C130" s="8"/>
      <c r="I130" s="8"/>
      <c r="J130" s="8"/>
    </row>
    <row r="131">
      <c r="C131" s="8"/>
      <c r="I131" s="8"/>
      <c r="J131" s="8"/>
    </row>
    <row r="132">
      <c r="C132" s="8"/>
      <c r="I132" s="8"/>
      <c r="J132" s="8"/>
    </row>
    <row r="133">
      <c r="C133" s="8"/>
      <c r="I133" s="8"/>
      <c r="J133" s="8"/>
    </row>
    <row r="134">
      <c r="C134" s="8"/>
      <c r="I134" s="8"/>
      <c r="J134" s="8"/>
    </row>
    <row r="135">
      <c r="C135" s="8"/>
      <c r="I135" s="8"/>
      <c r="J135" s="8"/>
    </row>
    <row r="136">
      <c r="C136" s="8"/>
      <c r="I136" s="8"/>
      <c r="J136" s="8"/>
    </row>
    <row r="137">
      <c r="C137" s="8"/>
      <c r="I137" s="8"/>
      <c r="J137" s="8"/>
    </row>
    <row r="138">
      <c r="C138" s="8"/>
      <c r="I138" s="8"/>
      <c r="J138" s="8"/>
    </row>
    <row r="139">
      <c r="C139" s="8"/>
      <c r="I139" s="8"/>
      <c r="J139" s="8"/>
    </row>
    <row r="140">
      <c r="C140" s="8"/>
      <c r="I140" s="8"/>
      <c r="J140" s="8"/>
    </row>
    <row r="141">
      <c r="C141" s="8"/>
      <c r="I141" s="8"/>
      <c r="J141" s="8"/>
    </row>
    <row r="142">
      <c r="C142" s="8"/>
      <c r="I142" s="8"/>
      <c r="J142" s="8"/>
    </row>
    <row r="143">
      <c r="C143" s="8"/>
      <c r="I143" s="8"/>
      <c r="J143" s="8"/>
    </row>
    <row r="144">
      <c r="C144" s="8"/>
      <c r="I144" s="8"/>
      <c r="J144" s="8"/>
    </row>
    <row r="145">
      <c r="C145" s="8"/>
      <c r="I145" s="8"/>
      <c r="J145" s="8"/>
    </row>
    <row r="146">
      <c r="C146" s="8"/>
      <c r="I146" s="8"/>
      <c r="J146" s="8"/>
    </row>
    <row r="147">
      <c r="C147" s="8"/>
      <c r="I147" s="8"/>
      <c r="J147" s="8"/>
    </row>
    <row r="148">
      <c r="C148" s="8"/>
      <c r="I148" s="8"/>
      <c r="J148" s="8"/>
    </row>
    <row r="149">
      <c r="C149" s="8"/>
      <c r="I149" s="8"/>
      <c r="J149" s="8"/>
    </row>
    <row r="150">
      <c r="C150" s="8"/>
      <c r="I150" s="8"/>
      <c r="J150" s="8"/>
    </row>
    <row r="151">
      <c r="C151" s="8"/>
      <c r="I151" s="8"/>
      <c r="J151" s="8"/>
    </row>
    <row r="152">
      <c r="C152" s="8"/>
      <c r="I152" s="8"/>
      <c r="J152" s="8"/>
    </row>
    <row r="153">
      <c r="C153" s="8"/>
      <c r="I153" s="8"/>
      <c r="J153" s="8"/>
    </row>
    <row r="154">
      <c r="C154" s="8"/>
      <c r="I154" s="8"/>
      <c r="J154" s="8"/>
    </row>
    <row r="155">
      <c r="C155" s="8"/>
      <c r="I155" s="8"/>
      <c r="J155" s="8"/>
    </row>
    <row r="156">
      <c r="C156" s="8"/>
      <c r="I156" s="8"/>
      <c r="J156" s="8"/>
    </row>
    <row r="157">
      <c r="C157" s="8"/>
      <c r="I157" s="8"/>
      <c r="J157" s="8"/>
    </row>
    <row r="158">
      <c r="C158" s="8"/>
      <c r="I158" s="8"/>
      <c r="J158" s="8"/>
    </row>
    <row r="159">
      <c r="C159" s="8"/>
      <c r="I159" s="8"/>
      <c r="J159" s="8"/>
    </row>
    <row r="160">
      <c r="C160" s="8"/>
      <c r="I160" s="8"/>
      <c r="J160" s="8"/>
    </row>
    <row r="161">
      <c r="C161" s="8"/>
      <c r="I161" s="8"/>
      <c r="J161" s="8"/>
    </row>
    <row r="162">
      <c r="C162" s="8"/>
      <c r="I162" s="8"/>
      <c r="J162" s="8"/>
    </row>
    <row r="163">
      <c r="C163" s="8"/>
      <c r="I163" s="8"/>
      <c r="J163" s="8"/>
    </row>
    <row r="164">
      <c r="C164" s="8"/>
      <c r="I164" s="8"/>
      <c r="J164" s="8"/>
    </row>
    <row r="165">
      <c r="C165" s="8"/>
      <c r="I165" s="8"/>
      <c r="J165" s="8"/>
    </row>
    <row r="166">
      <c r="C166" s="8"/>
      <c r="I166" s="8"/>
      <c r="J166" s="8"/>
    </row>
    <row r="167">
      <c r="C167" s="8"/>
      <c r="I167" s="8"/>
      <c r="J167" s="8"/>
    </row>
    <row r="168">
      <c r="C168" s="8"/>
      <c r="I168" s="8"/>
      <c r="J168" s="8"/>
    </row>
    <row r="169">
      <c r="C169" s="8"/>
      <c r="I169" s="8"/>
      <c r="J169" s="8"/>
    </row>
    <row r="170">
      <c r="C170" s="8"/>
      <c r="I170" s="8"/>
      <c r="J170" s="8"/>
    </row>
    <row r="171">
      <c r="C171" s="8"/>
      <c r="I171" s="8"/>
      <c r="J171" s="8"/>
    </row>
    <row r="172">
      <c r="C172" s="8"/>
      <c r="I172" s="8"/>
      <c r="J172" s="8"/>
    </row>
    <row r="173">
      <c r="C173" s="8"/>
      <c r="I173" s="8"/>
      <c r="J173" s="8"/>
    </row>
    <row r="174">
      <c r="C174" s="8"/>
      <c r="I174" s="8"/>
      <c r="J174" s="8"/>
    </row>
    <row r="175">
      <c r="C175" s="8"/>
      <c r="I175" s="8"/>
      <c r="J175" s="8"/>
    </row>
    <row r="176">
      <c r="C176" s="8"/>
      <c r="I176" s="8"/>
      <c r="J176" s="8"/>
    </row>
    <row r="177">
      <c r="C177" s="8"/>
      <c r="I177" s="8"/>
      <c r="J177" s="8"/>
    </row>
    <row r="178">
      <c r="C178" s="8"/>
      <c r="I178" s="8"/>
      <c r="J178" s="8"/>
    </row>
    <row r="179">
      <c r="C179" s="8"/>
      <c r="I179" s="8"/>
      <c r="J179" s="8"/>
    </row>
    <row r="180">
      <c r="C180" s="8"/>
      <c r="I180" s="8"/>
      <c r="J180" s="8"/>
    </row>
    <row r="181">
      <c r="C181" s="8"/>
      <c r="I181" s="8"/>
      <c r="J181" s="8"/>
    </row>
    <row r="182">
      <c r="C182" s="8"/>
      <c r="I182" s="8"/>
      <c r="J182" s="8"/>
    </row>
    <row r="183">
      <c r="C183" s="8"/>
      <c r="I183" s="8"/>
      <c r="J183" s="8"/>
    </row>
    <row r="184">
      <c r="C184" s="8"/>
      <c r="I184" s="8"/>
      <c r="J184" s="8"/>
    </row>
    <row r="185">
      <c r="C185" s="8"/>
      <c r="I185" s="8"/>
      <c r="J185" s="8"/>
    </row>
    <row r="186">
      <c r="C186" s="8"/>
      <c r="I186" s="8"/>
      <c r="J186" s="8"/>
    </row>
    <row r="187">
      <c r="C187" s="8"/>
      <c r="I187" s="8"/>
      <c r="J187" s="8"/>
    </row>
    <row r="188">
      <c r="C188" s="8"/>
      <c r="I188" s="8"/>
      <c r="J188" s="8"/>
    </row>
    <row r="189">
      <c r="C189" s="8"/>
      <c r="I189" s="8"/>
      <c r="J189" s="8"/>
    </row>
    <row r="190">
      <c r="C190" s="8"/>
      <c r="I190" s="8"/>
      <c r="J190" s="8"/>
    </row>
    <row r="191">
      <c r="C191" s="8"/>
      <c r="I191" s="8"/>
      <c r="J191" s="8"/>
    </row>
    <row r="192">
      <c r="C192" s="8"/>
      <c r="I192" s="8"/>
      <c r="J192" s="8"/>
    </row>
    <row r="193">
      <c r="C193" s="8"/>
      <c r="I193" s="8"/>
      <c r="J193" s="8"/>
    </row>
    <row r="194">
      <c r="C194" s="8"/>
      <c r="I194" s="8"/>
      <c r="J194" s="8"/>
    </row>
    <row r="195">
      <c r="C195" s="8"/>
      <c r="I195" s="8"/>
      <c r="J195" s="8"/>
    </row>
    <row r="196">
      <c r="C196" s="8"/>
      <c r="I196" s="8"/>
      <c r="J196" s="8"/>
    </row>
    <row r="197">
      <c r="C197" s="8"/>
      <c r="I197" s="8"/>
      <c r="J197" s="8"/>
    </row>
    <row r="198">
      <c r="C198" s="8"/>
      <c r="I198" s="8"/>
      <c r="J198" s="8"/>
    </row>
    <row r="199">
      <c r="C199" s="8"/>
      <c r="I199" s="8"/>
      <c r="J199" s="8"/>
    </row>
    <row r="200">
      <c r="C200" s="8"/>
      <c r="I200" s="8"/>
      <c r="J200" s="8"/>
    </row>
    <row r="201">
      <c r="C201" s="8"/>
      <c r="I201" s="8"/>
      <c r="J201" s="8"/>
    </row>
    <row r="202">
      <c r="C202" s="8"/>
      <c r="I202" s="8"/>
      <c r="J202" s="8"/>
    </row>
    <row r="203">
      <c r="C203" s="8"/>
      <c r="I203" s="8"/>
      <c r="J203" s="8"/>
    </row>
    <row r="204">
      <c r="C204" s="8"/>
      <c r="I204" s="8"/>
      <c r="J204" s="8"/>
    </row>
    <row r="205">
      <c r="C205" s="8"/>
      <c r="I205" s="8"/>
      <c r="J205" s="8"/>
    </row>
    <row r="206">
      <c r="C206" s="8"/>
      <c r="I206" s="8"/>
      <c r="J206" s="8"/>
    </row>
    <row r="207">
      <c r="C207" s="8"/>
      <c r="I207" s="8"/>
      <c r="J207" s="8"/>
    </row>
    <row r="208">
      <c r="C208" s="8"/>
      <c r="I208" s="8"/>
      <c r="J208" s="8"/>
    </row>
    <row r="209">
      <c r="C209" s="8"/>
      <c r="I209" s="8"/>
      <c r="J209" s="8"/>
    </row>
    <row r="210">
      <c r="C210" s="8"/>
      <c r="I210" s="8"/>
      <c r="J210" s="8"/>
    </row>
    <row r="211">
      <c r="C211" s="8"/>
      <c r="I211" s="8"/>
      <c r="J211" s="8"/>
    </row>
    <row r="212">
      <c r="C212" s="8"/>
      <c r="I212" s="8"/>
      <c r="J212" s="8"/>
    </row>
    <row r="213">
      <c r="C213" s="8"/>
      <c r="I213" s="8"/>
      <c r="J213" s="8"/>
    </row>
    <row r="214">
      <c r="C214" s="8"/>
      <c r="I214" s="8"/>
      <c r="J214" s="8"/>
    </row>
    <row r="215">
      <c r="C215" s="8"/>
      <c r="I215" s="8"/>
      <c r="J215" s="8"/>
    </row>
    <row r="216">
      <c r="C216" s="8"/>
      <c r="I216" s="8"/>
      <c r="J216" s="8"/>
    </row>
    <row r="217">
      <c r="C217" s="8"/>
      <c r="I217" s="8"/>
      <c r="J217" s="8"/>
    </row>
    <row r="218">
      <c r="C218" s="8"/>
      <c r="I218" s="8"/>
      <c r="J218" s="8"/>
    </row>
    <row r="219">
      <c r="C219" s="8"/>
      <c r="I219" s="8"/>
      <c r="J219" s="8"/>
    </row>
    <row r="220">
      <c r="C220" s="8"/>
      <c r="I220" s="8"/>
      <c r="J220" s="8"/>
    </row>
    <row r="221">
      <c r="C221" s="8"/>
      <c r="I221" s="8"/>
      <c r="J221" s="8"/>
    </row>
    <row r="222">
      <c r="C222" s="8"/>
      <c r="I222" s="8"/>
      <c r="J222" s="8"/>
    </row>
    <row r="223">
      <c r="C223" s="8"/>
      <c r="I223" s="8"/>
      <c r="J223" s="8"/>
    </row>
    <row r="224">
      <c r="C224" s="8"/>
      <c r="I224" s="8"/>
      <c r="J224" s="8"/>
    </row>
    <row r="225">
      <c r="C225" s="8"/>
      <c r="I225" s="8"/>
      <c r="J225" s="8"/>
    </row>
    <row r="226">
      <c r="C226" s="8"/>
      <c r="I226" s="8"/>
      <c r="J226" s="8"/>
    </row>
    <row r="227">
      <c r="C227" s="8"/>
      <c r="I227" s="8"/>
      <c r="J227" s="8"/>
    </row>
    <row r="228">
      <c r="C228" s="8"/>
      <c r="I228" s="8"/>
      <c r="J228" s="8"/>
    </row>
    <row r="229">
      <c r="C229" s="8"/>
      <c r="I229" s="8"/>
      <c r="J229" s="8"/>
    </row>
    <row r="230">
      <c r="C230" s="8"/>
      <c r="I230" s="8"/>
      <c r="J230" s="8"/>
    </row>
    <row r="231">
      <c r="C231" s="8"/>
      <c r="I231" s="8"/>
      <c r="J231" s="8"/>
    </row>
    <row r="232">
      <c r="C232" s="8"/>
      <c r="I232" s="8"/>
      <c r="J232" s="8"/>
    </row>
    <row r="233">
      <c r="C233" s="8"/>
      <c r="I233" s="8"/>
      <c r="J233" s="8"/>
    </row>
    <row r="234">
      <c r="C234" s="8"/>
      <c r="I234" s="8"/>
      <c r="J234" s="8"/>
    </row>
    <row r="235">
      <c r="C235" s="8"/>
      <c r="I235" s="8"/>
      <c r="J235" s="8"/>
    </row>
    <row r="236">
      <c r="C236" s="8"/>
      <c r="I236" s="8"/>
      <c r="J236" s="8"/>
    </row>
    <row r="237">
      <c r="C237" s="8"/>
      <c r="I237" s="8"/>
      <c r="J237" s="8"/>
    </row>
    <row r="238">
      <c r="C238" s="8"/>
      <c r="I238" s="8"/>
      <c r="J238" s="8"/>
    </row>
    <row r="239">
      <c r="C239" s="8"/>
      <c r="I239" s="8"/>
      <c r="J239" s="8"/>
    </row>
    <row r="240">
      <c r="C240" s="8"/>
      <c r="I240" s="8"/>
      <c r="J240" s="8"/>
    </row>
    <row r="241">
      <c r="C241" s="8"/>
      <c r="I241" s="8"/>
      <c r="J241" s="8"/>
    </row>
    <row r="242">
      <c r="C242" s="8"/>
      <c r="I242" s="8"/>
      <c r="J242" s="8"/>
    </row>
    <row r="243">
      <c r="C243" s="8"/>
      <c r="I243" s="8"/>
      <c r="J243" s="8"/>
    </row>
    <row r="244">
      <c r="C244" s="8"/>
      <c r="I244" s="8"/>
      <c r="J244" s="8"/>
    </row>
    <row r="245">
      <c r="C245" s="8"/>
      <c r="I245" s="8"/>
      <c r="J245" s="8"/>
    </row>
    <row r="246">
      <c r="C246" s="8"/>
      <c r="I246" s="8"/>
      <c r="J246" s="8"/>
    </row>
    <row r="247">
      <c r="C247" s="8"/>
      <c r="I247" s="8"/>
      <c r="J247" s="8"/>
    </row>
    <row r="248">
      <c r="C248" s="8"/>
      <c r="I248" s="8"/>
      <c r="J248" s="8"/>
    </row>
    <row r="249">
      <c r="C249" s="8"/>
      <c r="I249" s="8"/>
      <c r="J249" s="8"/>
    </row>
    <row r="250">
      <c r="C250" s="8"/>
      <c r="I250" s="8"/>
      <c r="J250" s="8"/>
    </row>
    <row r="251">
      <c r="C251" s="8"/>
      <c r="I251" s="8"/>
      <c r="J251" s="8"/>
    </row>
    <row r="252">
      <c r="C252" s="8"/>
      <c r="I252" s="8"/>
      <c r="J252" s="8"/>
    </row>
    <row r="253">
      <c r="C253" s="8"/>
      <c r="I253" s="8"/>
      <c r="J253" s="8"/>
    </row>
    <row r="254">
      <c r="C254" s="8"/>
      <c r="I254" s="8"/>
      <c r="J254" s="8"/>
    </row>
    <row r="255">
      <c r="C255" s="8"/>
      <c r="I255" s="8"/>
      <c r="J255" s="8"/>
    </row>
    <row r="256">
      <c r="C256" s="8"/>
      <c r="I256" s="8"/>
      <c r="J256" s="8"/>
    </row>
    <row r="257">
      <c r="C257" s="8"/>
      <c r="I257" s="8"/>
      <c r="J257" s="8"/>
    </row>
    <row r="258">
      <c r="C258" s="8"/>
      <c r="I258" s="8"/>
      <c r="J258" s="8"/>
    </row>
    <row r="259">
      <c r="C259" s="8"/>
      <c r="I259" s="8"/>
      <c r="J259" s="8"/>
    </row>
    <row r="260">
      <c r="C260" s="8"/>
      <c r="I260" s="8"/>
      <c r="J260" s="8"/>
    </row>
    <row r="261">
      <c r="C261" s="8"/>
      <c r="I261" s="8"/>
      <c r="J261" s="8"/>
    </row>
    <row r="262">
      <c r="C262" s="8"/>
      <c r="I262" s="8"/>
      <c r="J262" s="8"/>
    </row>
    <row r="263">
      <c r="C263" s="8"/>
      <c r="I263" s="8"/>
      <c r="J263" s="8"/>
    </row>
    <row r="264">
      <c r="C264" s="8"/>
      <c r="I264" s="8"/>
      <c r="J264" s="8"/>
    </row>
    <row r="265">
      <c r="C265" s="8"/>
      <c r="I265" s="8"/>
      <c r="J265" s="8"/>
    </row>
    <row r="266">
      <c r="C266" s="8"/>
      <c r="I266" s="8"/>
      <c r="J266" s="8"/>
    </row>
    <row r="267">
      <c r="C267" s="8"/>
      <c r="I267" s="8"/>
      <c r="J267" s="8"/>
    </row>
    <row r="268">
      <c r="C268" s="8"/>
      <c r="I268" s="8"/>
      <c r="J268" s="8"/>
    </row>
    <row r="269">
      <c r="C269" s="8"/>
      <c r="I269" s="8"/>
      <c r="J269" s="8"/>
    </row>
    <row r="270">
      <c r="C270" s="8"/>
      <c r="I270" s="8"/>
      <c r="J270" s="8"/>
    </row>
    <row r="271">
      <c r="C271" s="8"/>
      <c r="I271" s="8"/>
      <c r="J271" s="8"/>
    </row>
    <row r="272">
      <c r="C272" s="8"/>
      <c r="I272" s="8"/>
      <c r="J272" s="8"/>
    </row>
    <row r="273">
      <c r="C273" s="8"/>
      <c r="I273" s="8"/>
      <c r="J273" s="8"/>
    </row>
    <row r="274">
      <c r="C274" s="8"/>
      <c r="I274" s="8"/>
      <c r="J274" s="8"/>
    </row>
    <row r="275">
      <c r="C275" s="8"/>
      <c r="I275" s="8"/>
      <c r="J275" s="8"/>
    </row>
    <row r="276">
      <c r="C276" s="8"/>
      <c r="I276" s="8"/>
      <c r="J276" s="8"/>
    </row>
    <row r="277">
      <c r="C277" s="8"/>
      <c r="I277" s="8"/>
      <c r="J277" s="8"/>
    </row>
    <row r="278">
      <c r="C278" s="8"/>
      <c r="I278" s="8"/>
      <c r="J278" s="8"/>
    </row>
    <row r="279">
      <c r="C279" s="8"/>
      <c r="I279" s="8"/>
      <c r="J279" s="8"/>
    </row>
    <row r="280">
      <c r="C280" s="8"/>
      <c r="I280" s="8"/>
      <c r="J280" s="8"/>
    </row>
    <row r="281">
      <c r="C281" s="8"/>
      <c r="I281" s="8"/>
      <c r="J281" s="8"/>
    </row>
    <row r="282">
      <c r="C282" s="8"/>
      <c r="I282" s="8"/>
      <c r="J282" s="8"/>
    </row>
    <row r="283">
      <c r="C283" s="8"/>
      <c r="I283" s="8"/>
      <c r="J283" s="8"/>
    </row>
    <row r="284">
      <c r="C284" s="8"/>
      <c r="I284" s="8"/>
      <c r="J284" s="8"/>
    </row>
    <row r="285">
      <c r="C285" s="8"/>
      <c r="I285" s="8"/>
      <c r="J285" s="8"/>
    </row>
    <row r="286">
      <c r="C286" s="8"/>
      <c r="I286" s="8"/>
      <c r="J286" s="8"/>
    </row>
    <row r="287">
      <c r="C287" s="8"/>
      <c r="I287" s="8"/>
      <c r="J287" s="8"/>
    </row>
    <row r="288">
      <c r="C288" s="8"/>
      <c r="I288" s="8"/>
      <c r="J288" s="8"/>
    </row>
    <row r="289">
      <c r="C289" s="8"/>
      <c r="I289" s="8"/>
      <c r="J289" s="8"/>
    </row>
    <row r="290">
      <c r="C290" s="8"/>
      <c r="I290" s="8"/>
      <c r="J290" s="8"/>
    </row>
    <row r="291">
      <c r="C291" s="8"/>
      <c r="I291" s="8"/>
      <c r="J291" s="8"/>
    </row>
    <row r="292">
      <c r="C292" s="8"/>
      <c r="I292" s="8"/>
      <c r="J292" s="8"/>
    </row>
    <row r="293">
      <c r="C293" s="8"/>
      <c r="I293" s="8"/>
      <c r="J293" s="8"/>
    </row>
    <row r="294">
      <c r="C294" s="8"/>
      <c r="I294" s="8"/>
      <c r="J294" s="8"/>
    </row>
    <row r="295">
      <c r="C295" s="8"/>
      <c r="I295" s="8"/>
      <c r="J295" s="8"/>
    </row>
    <row r="296">
      <c r="C296" s="8"/>
      <c r="I296" s="8"/>
      <c r="J296" s="8"/>
    </row>
    <row r="297">
      <c r="C297" s="8"/>
      <c r="I297" s="8"/>
      <c r="J297" s="8"/>
    </row>
    <row r="298">
      <c r="C298" s="8"/>
      <c r="I298" s="8"/>
      <c r="J298" s="8"/>
    </row>
    <row r="299">
      <c r="C299" s="8"/>
      <c r="I299" s="8"/>
      <c r="J299" s="8"/>
    </row>
    <row r="300">
      <c r="C300" s="8"/>
      <c r="I300" s="8"/>
      <c r="J300" s="8"/>
    </row>
    <row r="301">
      <c r="C301" s="8"/>
      <c r="I301" s="8"/>
      <c r="J301" s="8"/>
    </row>
    <row r="302">
      <c r="C302" s="8"/>
      <c r="I302" s="8"/>
      <c r="J302" s="8"/>
    </row>
    <row r="303">
      <c r="C303" s="8"/>
      <c r="I303" s="8"/>
      <c r="J303" s="8"/>
    </row>
    <row r="304">
      <c r="C304" s="8"/>
      <c r="I304" s="8"/>
      <c r="J304" s="8"/>
    </row>
    <row r="305">
      <c r="C305" s="8"/>
      <c r="I305" s="8"/>
      <c r="J305" s="8"/>
    </row>
    <row r="306">
      <c r="C306" s="8"/>
      <c r="I306" s="8"/>
      <c r="J306" s="8"/>
    </row>
    <row r="307">
      <c r="C307" s="8"/>
      <c r="I307" s="8"/>
      <c r="J307" s="8"/>
    </row>
    <row r="308">
      <c r="C308" s="8"/>
      <c r="I308" s="8"/>
      <c r="J308" s="8"/>
    </row>
    <row r="309">
      <c r="C309" s="8"/>
      <c r="I309" s="8"/>
      <c r="J309" s="8"/>
    </row>
    <row r="310">
      <c r="C310" s="8"/>
      <c r="I310" s="8"/>
      <c r="J310" s="8"/>
    </row>
    <row r="311">
      <c r="C311" s="8"/>
      <c r="I311" s="8"/>
      <c r="J311" s="8"/>
    </row>
    <row r="312">
      <c r="C312" s="8"/>
      <c r="I312" s="8"/>
      <c r="J312" s="8"/>
    </row>
    <row r="313">
      <c r="C313" s="8"/>
      <c r="I313" s="8"/>
      <c r="J313" s="8"/>
    </row>
    <row r="314">
      <c r="C314" s="8"/>
      <c r="I314" s="8"/>
      <c r="J314" s="8"/>
    </row>
    <row r="315">
      <c r="C315" s="8"/>
      <c r="I315" s="8"/>
      <c r="J315" s="8"/>
    </row>
    <row r="316">
      <c r="C316" s="8"/>
      <c r="I316" s="8"/>
      <c r="J316" s="8"/>
    </row>
    <row r="317">
      <c r="C317" s="8"/>
      <c r="I317" s="8"/>
      <c r="J317" s="8"/>
    </row>
    <row r="318">
      <c r="C318" s="8"/>
      <c r="I318" s="8"/>
      <c r="J318" s="8"/>
    </row>
    <row r="319">
      <c r="C319" s="8"/>
      <c r="I319" s="8"/>
      <c r="J319" s="8"/>
    </row>
    <row r="320">
      <c r="C320" s="8"/>
      <c r="I320" s="8"/>
      <c r="J320" s="8"/>
    </row>
    <row r="321">
      <c r="C321" s="8"/>
      <c r="I321" s="8"/>
      <c r="J321" s="8"/>
    </row>
    <row r="322">
      <c r="C322" s="8"/>
      <c r="I322" s="8"/>
      <c r="J322" s="8"/>
    </row>
    <row r="323">
      <c r="C323" s="8"/>
      <c r="I323" s="8"/>
      <c r="J323" s="8"/>
    </row>
    <row r="324">
      <c r="C324" s="8"/>
      <c r="I324" s="8"/>
      <c r="J324" s="8"/>
    </row>
    <row r="325">
      <c r="C325" s="8"/>
      <c r="I325" s="8"/>
      <c r="J325" s="8"/>
    </row>
    <row r="326">
      <c r="C326" s="8"/>
      <c r="I326" s="8"/>
      <c r="J326" s="8"/>
    </row>
    <row r="327">
      <c r="C327" s="8"/>
      <c r="I327" s="8"/>
      <c r="J327" s="8"/>
    </row>
    <row r="328">
      <c r="C328" s="8"/>
      <c r="I328" s="8"/>
      <c r="J328" s="8"/>
    </row>
    <row r="329">
      <c r="C329" s="8"/>
      <c r="I329" s="8"/>
      <c r="J329" s="8"/>
    </row>
    <row r="330">
      <c r="C330" s="8"/>
      <c r="I330" s="8"/>
      <c r="J330" s="8"/>
    </row>
    <row r="331">
      <c r="C331" s="8"/>
      <c r="I331" s="8"/>
      <c r="J331" s="8"/>
    </row>
    <row r="332">
      <c r="C332" s="8"/>
      <c r="I332" s="8"/>
      <c r="J332" s="8"/>
    </row>
    <row r="333">
      <c r="C333" s="8"/>
      <c r="I333" s="8"/>
      <c r="J333" s="8"/>
    </row>
    <row r="334">
      <c r="C334" s="8"/>
      <c r="I334" s="8"/>
      <c r="J334" s="8"/>
    </row>
    <row r="335">
      <c r="C335" s="8"/>
      <c r="I335" s="8"/>
      <c r="J335" s="8"/>
    </row>
    <row r="336">
      <c r="C336" s="8"/>
      <c r="I336" s="8"/>
      <c r="J336" s="8"/>
    </row>
    <row r="337">
      <c r="C337" s="8"/>
      <c r="I337" s="8"/>
      <c r="J337" s="8"/>
    </row>
    <row r="338">
      <c r="C338" s="8"/>
      <c r="I338" s="8"/>
      <c r="J338" s="8"/>
    </row>
    <row r="339">
      <c r="C339" s="8"/>
      <c r="I339" s="8"/>
      <c r="J339" s="8"/>
    </row>
    <row r="340">
      <c r="C340" s="8"/>
      <c r="I340" s="8"/>
      <c r="J340" s="8"/>
    </row>
    <row r="341">
      <c r="C341" s="8"/>
      <c r="I341" s="8"/>
      <c r="J341" s="8"/>
    </row>
    <row r="342">
      <c r="C342" s="8"/>
      <c r="I342" s="8"/>
      <c r="J342" s="8"/>
    </row>
    <row r="343">
      <c r="C343" s="8"/>
      <c r="I343" s="8"/>
      <c r="J343" s="8"/>
    </row>
    <row r="344">
      <c r="C344" s="8"/>
      <c r="I344" s="8"/>
      <c r="J344" s="8"/>
    </row>
    <row r="345">
      <c r="C345" s="8"/>
      <c r="I345" s="8"/>
      <c r="J345" s="8"/>
    </row>
    <row r="346">
      <c r="C346" s="8"/>
      <c r="I346" s="8"/>
      <c r="J346" s="8"/>
    </row>
    <row r="347">
      <c r="C347" s="8"/>
      <c r="I347" s="8"/>
      <c r="J347" s="8"/>
    </row>
    <row r="348">
      <c r="C348" s="8"/>
      <c r="I348" s="8"/>
      <c r="J348" s="8"/>
    </row>
    <row r="349">
      <c r="C349" s="8"/>
      <c r="I349" s="8"/>
      <c r="J349" s="8"/>
    </row>
    <row r="350">
      <c r="C350" s="8"/>
      <c r="I350" s="8"/>
      <c r="J350" s="8"/>
    </row>
    <row r="351">
      <c r="C351" s="8"/>
      <c r="I351" s="8"/>
      <c r="J351" s="8"/>
    </row>
    <row r="352">
      <c r="C352" s="8"/>
      <c r="I352" s="8"/>
      <c r="J352" s="8"/>
    </row>
    <row r="353">
      <c r="C353" s="8"/>
      <c r="I353" s="8"/>
      <c r="J353" s="8"/>
    </row>
    <row r="354">
      <c r="C354" s="8"/>
      <c r="I354" s="8"/>
      <c r="J354" s="8"/>
    </row>
    <row r="355">
      <c r="C355" s="8"/>
      <c r="I355" s="8"/>
      <c r="J355" s="8"/>
    </row>
    <row r="356">
      <c r="C356" s="8"/>
      <c r="I356" s="8"/>
      <c r="J356" s="8"/>
    </row>
    <row r="357">
      <c r="C357" s="8"/>
      <c r="I357" s="8"/>
      <c r="J357" s="8"/>
    </row>
    <row r="358">
      <c r="C358" s="8"/>
      <c r="I358" s="8"/>
      <c r="J358" s="8"/>
    </row>
    <row r="359">
      <c r="C359" s="8"/>
      <c r="I359" s="8"/>
      <c r="J359" s="8"/>
    </row>
    <row r="360">
      <c r="C360" s="8"/>
      <c r="I360" s="8"/>
      <c r="J360" s="8"/>
    </row>
    <row r="361">
      <c r="C361" s="8"/>
      <c r="I361" s="8"/>
      <c r="J361" s="8"/>
    </row>
    <row r="362">
      <c r="C362" s="8"/>
      <c r="I362" s="8"/>
      <c r="J362" s="8"/>
    </row>
    <row r="363">
      <c r="C363" s="8"/>
      <c r="I363" s="8"/>
      <c r="J363" s="8"/>
    </row>
    <row r="364">
      <c r="C364" s="8"/>
      <c r="I364" s="8"/>
      <c r="J364" s="8"/>
    </row>
    <row r="365">
      <c r="C365" s="8"/>
      <c r="I365" s="8"/>
      <c r="J365" s="8"/>
    </row>
    <row r="366">
      <c r="C366" s="8"/>
      <c r="I366" s="8"/>
      <c r="J366" s="8"/>
    </row>
    <row r="367">
      <c r="C367" s="8"/>
      <c r="I367" s="8"/>
      <c r="J367" s="8"/>
    </row>
    <row r="368">
      <c r="C368" s="8"/>
      <c r="I368" s="8"/>
      <c r="J368" s="8"/>
    </row>
    <row r="369">
      <c r="C369" s="8"/>
      <c r="I369" s="8"/>
      <c r="J369" s="8"/>
    </row>
    <row r="370">
      <c r="C370" s="8"/>
      <c r="I370" s="8"/>
      <c r="J370" s="8"/>
    </row>
    <row r="371">
      <c r="C371" s="8"/>
      <c r="I371" s="8"/>
      <c r="J371" s="8"/>
    </row>
    <row r="372">
      <c r="C372" s="8"/>
      <c r="I372" s="8"/>
      <c r="J372" s="8"/>
    </row>
    <row r="373">
      <c r="C373" s="8"/>
      <c r="I373" s="8"/>
      <c r="J373" s="8"/>
    </row>
    <row r="374">
      <c r="C374" s="8"/>
      <c r="I374" s="8"/>
      <c r="J374" s="8"/>
    </row>
    <row r="375">
      <c r="C375" s="8"/>
      <c r="I375" s="8"/>
      <c r="J375" s="8"/>
    </row>
    <row r="376">
      <c r="C376" s="8"/>
      <c r="I376" s="8"/>
      <c r="J376" s="8"/>
    </row>
    <row r="377">
      <c r="C377" s="8"/>
      <c r="I377" s="8"/>
      <c r="J377" s="8"/>
    </row>
    <row r="378">
      <c r="C378" s="8"/>
      <c r="I378" s="8"/>
      <c r="J378" s="8"/>
    </row>
    <row r="379">
      <c r="C379" s="8"/>
      <c r="I379" s="8"/>
      <c r="J379" s="8"/>
    </row>
    <row r="380">
      <c r="C380" s="8"/>
      <c r="I380" s="8"/>
      <c r="J380" s="8"/>
    </row>
    <row r="381">
      <c r="C381" s="8"/>
      <c r="I381" s="8"/>
      <c r="J381" s="8"/>
    </row>
    <row r="382">
      <c r="C382" s="8"/>
      <c r="I382" s="8"/>
      <c r="J382" s="8"/>
    </row>
    <row r="383">
      <c r="C383" s="8"/>
      <c r="I383" s="8"/>
      <c r="J383" s="8"/>
    </row>
    <row r="384">
      <c r="C384" s="8"/>
      <c r="I384" s="8"/>
      <c r="J384" s="8"/>
    </row>
    <row r="385">
      <c r="C385" s="8"/>
      <c r="I385" s="8"/>
      <c r="J385" s="8"/>
    </row>
    <row r="386">
      <c r="C386" s="8"/>
      <c r="I386" s="8"/>
      <c r="J386" s="8"/>
    </row>
    <row r="387">
      <c r="C387" s="8"/>
      <c r="I387" s="8"/>
      <c r="J387" s="8"/>
    </row>
    <row r="388">
      <c r="C388" s="8"/>
      <c r="I388" s="8"/>
      <c r="J388" s="8"/>
    </row>
    <row r="389">
      <c r="C389" s="8"/>
      <c r="I389" s="8"/>
      <c r="J389" s="8"/>
    </row>
    <row r="390">
      <c r="C390" s="8"/>
      <c r="I390" s="8"/>
      <c r="J390" s="8"/>
    </row>
    <row r="391">
      <c r="C391" s="8"/>
      <c r="I391" s="8"/>
      <c r="J391" s="8"/>
    </row>
    <row r="392">
      <c r="C392" s="8"/>
      <c r="I392" s="8"/>
      <c r="J392" s="8"/>
    </row>
    <row r="393">
      <c r="C393" s="8"/>
      <c r="I393" s="8"/>
      <c r="J393" s="8"/>
    </row>
    <row r="394">
      <c r="C394" s="8"/>
      <c r="I394" s="8"/>
      <c r="J394" s="8"/>
    </row>
    <row r="395">
      <c r="C395" s="8"/>
      <c r="I395" s="8"/>
      <c r="J395" s="8"/>
    </row>
    <row r="396">
      <c r="C396" s="8"/>
      <c r="I396" s="8"/>
      <c r="J396" s="8"/>
    </row>
    <row r="397">
      <c r="C397" s="8"/>
      <c r="I397" s="8"/>
      <c r="J397" s="8"/>
    </row>
    <row r="398">
      <c r="C398" s="8"/>
      <c r="I398" s="8"/>
      <c r="J398" s="8"/>
    </row>
    <row r="399">
      <c r="C399" s="8"/>
      <c r="I399" s="8"/>
      <c r="J399" s="8"/>
    </row>
    <row r="400">
      <c r="C400" s="8"/>
      <c r="I400" s="8"/>
      <c r="J400" s="8"/>
    </row>
    <row r="401">
      <c r="C401" s="8"/>
      <c r="I401" s="8"/>
      <c r="J401" s="8"/>
    </row>
    <row r="402">
      <c r="C402" s="8"/>
      <c r="I402" s="8"/>
      <c r="J402" s="8"/>
    </row>
    <row r="403">
      <c r="C403" s="8"/>
      <c r="I403" s="8"/>
      <c r="J403" s="8"/>
    </row>
    <row r="404">
      <c r="C404" s="8"/>
      <c r="I404" s="8"/>
      <c r="J404" s="8"/>
    </row>
    <row r="405">
      <c r="C405" s="8"/>
      <c r="I405" s="8"/>
      <c r="J405" s="8"/>
    </row>
    <row r="406">
      <c r="C406" s="8"/>
      <c r="I406" s="8"/>
      <c r="J406" s="8"/>
    </row>
    <row r="407">
      <c r="C407" s="8"/>
      <c r="I407" s="8"/>
      <c r="J407" s="8"/>
    </row>
    <row r="408">
      <c r="C408" s="8"/>
      <c r="I408" s="8"/>
      <c r="J408" s="8"/>
    </row>
    <row r="409">
      <c r="C409" s="8"/>
      <c r="I409" s="8"/>
      <c r="J409" s="8"/>
    </row>
    <row r="410">
      <c r="C410" s="8"/>
      <c r="I410" s="8"/>
      <c r="J410" s="8"/>
    </row>
    <row r="411">
      <c r="C411" s="8"/>
      <c r="I411" s="8"/>
      <c r="J411" s="8"/>
    </row>
    <row r="412">
      <c r="C412" s="8"/>
      <c r="I412" s="8"/>
      <c r="J412" s="8"/>
    </row>
    <row r="413">
      <c r="C413" s="8"/>
      <c r="I413" s="8"/>
      <c r="J413" s="8"/>
    </row>
    <row r="414">
      <c r="C414" s="8"/>
      <c r="I414" s="8"/>
      <c r="J414" s="8"/>
    </row>
    <row r="415">
      <c r="C415" s="8"/>
      <c r="I415" s="8"/>
      <c r="J415" s="8"/>
    </row>
    <row r="416">
      <c r="C416" s="8"/>
      <c r="I416" s="8"/>
      <c r="J416" s="8"/>
    </row>
    <row r="417">
      <c r="C417" s="8"/>
      <c r="I417" s="8"/>
      <c r="J417" s="8"/>
    </row>
    <row r="418">
      <c r="C418" s="8"/>
      <c r="I418" s="8"/>
      <c r="J418" s="8"/>
    </row>
    <row r="419">
      <c r="C419" s="8"/>
      <c r="I419" s="8"/>
      <c r="J419" s="8"/>
    </row>
    <row r="420">
      <c r="C420" s="8"/>
      <c r="I420" s="8"/>
      <c r="J420" s="8"/>
    </row>
    <row r="421">
      <c r="C421" s="8"/>
      <c r="I421" s="8"/>
      <c r="J421" s="8"/>
    </row>
    <row r="422">
      <c r="C422" s="8"/>
      <c r="I422" s="8"/>
      <c r="J422" s="8"/>
    </row>
    <row r="423">
      <c r="C423" s="8"/>
      <c r="I423" s="8"/>
      <c r="J423" s="8"/>
    </row>
    <row r="424">
      <c r="C424" s="8"/>
      <c r="I424" s="8"/>
      <c r="J424" s="8"/>
    </row>
    <row r="425">
      <c r="C425" s="8"/>
      <c r="I425" s="8"/>
      <c r="J425" s="8"/>
    </row>
    <row r="426">
      <c r="C426" s="8"/>
      <c r="I426" s="8"/>
      <c r="J426" s="8"/>
    </row>
    <row r="427">
      <c r="C427" s="8"/>
      <c r="I427" s="8"/>
      <c r="J427" s="8"/>
    </row>
    <row r="428">
      <c r="C428" s="8"/>
      <c r="I428" s="8"/>
      <c r="J428" s="8"/>
    </row>
    <row r="429">
      <c r="C429" s="8"/>
      <c r="I429" s="8"/>
      <c r="J429" s="8"/>
    </row>
    <row r="430">
      <c r="C430" s="8"/>
      <c r="I430" s="8"/>
      <c r="J430" s="8"/>
    </row>
    <row r="431">
      <c r="C431" s="8"/>
      <c r="I431" s="8"/>
      <c r="J431" s="8"/>
    </row>
    <row r="432">
      <c r="C432" s="8"/>
      <c r="I432" s="8"/>
      <c r="J432" s="8"/>
    </row>
    <row r="433">
      <c r="C433" s="8"/>
      <c r="I433" s="8"/>
      <c r="J433" s="8"/>
    </row>
    <row r="434">
      <c r="C434" s="8"/>
      <c r="I434" s="8"/>
      <c r="J434" s="8"/>
    </row>
    <row r="435">
      <c r="C435" s="8"/>
      <c r="I435" s="8"/>
      <c r="J435" s="8"/>
    </row>
    <row r="436">
      <c r="C436" s="8"/>
      <c r="I436" s="8"/>
      <c r="J436" s="8"/>
    </row>
    <row r="437">
      <c r="C437" s="8"/>
      <c r="I437" s="8"/>
      <c r="J437" s="8"/>
    </row>
    <row r="438">
      <c r="C438" s="8"/>
      <c r="I438" s="8"/>
      <c r="J438" s="8"/>
    </row>
    <row r="439">
      <c r="C439" s="8"/>
      <c r="I439" s="8"/>
      <c r="J439" s="8"/>
    </row>
    <row r="440">
      <c r="C440" s="8"/>
      <c r="I440" s="8"/>
      <c r="J440" s="8"/>
    </row>
    <row r="441">
      <c r="C441" s="8"/>
      <c r="I441" s="8"/>
      <c r="J441" s="8"/>
    </row>
    <row r="442">
      <c r="C442" s="8"/>
      <c r="I442" s="8"/>
      <c r="J442" s="8"/>
    </row>
    <row r="443">
      <c r="C443" s="8"/>
      <c r="I443" s="8"/>
      <c r="J443" s="8"/>
    </row>
    <row r="444">
      <c r="C444" s="8"/>
      <c r="I444" s="8"/>
      <c r="J444" s="8"/>
    </row>
    <row r="445">
      <c r="C445" s="8"/>
      <c r="I445" s="8"/>
      <c r="J445" s="8"/>
    </row>
    <row r="446">
      <c r="C446" s="8"/>
      <c r="I446" s="8"/>
      <c r="J446" s="8"/>
    </row>
    <row r="447">
      <c r="C447" s="8"/>
      <c r="I447" s="8"/>
      <c r="J447" s="8"/>
    </row>
    <row r="448">
      <c r="C448" s="8"/>
      <c r="I448" s="8"/>
      <c r="J448" s="8"/>
    </row>
    <row r="449">
      <c r="C449" s="8"/>
      <c r="I449" s="8"/>
      <c r="J449" s="8"/>
    </row>
    <row r="450">
      <c r="C450" s="8"/>
      <c r="I450" s="8"/>
      <c r="J450" s="8"/>
    </row>
    <row r="451">
      <c r="C451" s="8"/>
      <c r="I451" s="8"/>
      <c r="J451" s="8"/>
    </row>
    <row r="452">
      <c r="C452" s="8"/>
      <c r="I452" s="8"/>
      <c r="J452" s="8"/>
    </row>
    <row r="453">
      <c r="C453" s="8"/>
      <c r="I453" s="8"/>
      <c r="J453" s="8"/>
    </row>
    <row r="454">
      <c r="C454" s="8"/>
      <c r="I454" s="8"/>
      <c r="J454" s="8"/>
    </row>
    <row r="455">
      <c r="C455" s="8"/>
      <c r="I455" s="8"/>
      <c r="J455" s="8"/>
    </row>
    <row r="456">
      <c r="C456" s="8"/>
      <c r="I456" s="8"/>
      <c r="J456" s="8"/>
    </row>
    <row r="457">
      <c r="C457" s="8"/>
      <c r="I457" s="8"/>
      <c r="J457" s="8"/>
    </row>
    <row r="458">
      <c r="C458" s="8"/>
      <c r="I458" s="8"/>
      <c r="J458" s="8"/>
    </row>
    <row r="459">
      <c r="C459" s="8"/>
      <c r="I459" s="8"/>
      <c r="J459" s="8"/>
    </row>
    <row r="460">
      <c r="C460" s="8"/>
      <c r="I460" s="8"/>
      <c r="J460" s="8"/>
    </row>
    <row r="461">
      <c r="C461" s="8"/>
      <c r="I461" s="8"/>
      <c r="J461" s="8"/>
    </row>
    <row r="462">
      <c r="C462" s="8"/>
      <c r="I462" s="8"/>
      <c r="J462" s="8"/>
    </row>
    <row r="463">
      <c r="C463" s="8"/>
      <c r="I463" s="8"/>
      <c r="J463" s="8"/>
    </row>
    <row r="464">
      <c r="C464" s="8"/>
      <c r="I464" s="8"/>
      <c r="J464" s="8"/>
    </row>
    <row r="465">
      <c r="C465" s="8"/>
      <c r="I465" s="8"/>
      <c r="J465" s="8"/>
    </row>
    <row r="466">
      <c r="C466" s="8"/>
      <c r="I466" s="8"/>
      <c r="J466" s="8"/>
    </row>
    <row r="467">
      <c r="C467" s="8"/>
      <c r="I467" s="8"/>
      <c r="J467" s="8"/>
    </row>
    <row r="468">
      <c r="C468" s="8"/>
      <c r="I468" s="8"/>
      <c r="J468" s="8"/>
    </row>
    <row r="469">
      <c r="C469" s="8"/>
      <c r="I469" s="8"/>
      <c r="J469" s="8"/>
    </row>
    <row r="470">
      <c r="C470" s="8"/>
      <c r="I470" s="8"/>
      <c r="J470" s="8"/>
    </row>
    <row r="471">
      <c r="C471" s="8"/>
      <c r="I471" s="8"/>
      <c r="J471" s="8"/>
    </row>
    <row r="472">
      <c r="C472" s="8"/>
      <c r="I472" s="8"/>
      <c r="J472" s="8"/>
    </row>
    <row r="473">
      <c r="C473" s="8"/>
      <c r="I473" s="8"/>
      <c r="J473" s="8"/>
    </row>
    <row r="474">
      <c r="C474" s="8"/>
      <c r="I474" s="8"/>
      <c r="J474" s="8"/>
    </row>
    <row r="475">
      <c r="C475" s="8"/>
      <c r="I475" s="8"/>
      <c r="J475" s="8"/>
    </row>
    <row r="476">
      <c r="C476" s="8"/>
      <c r="I476" s="8"/>
      <c r="J476" s="8"/>
    </row>
    <row r="477">
      <c r="C477" s="8"/>
      <c r="I477" s="8"/>
      <c r="J477" s="8"/>
    </row>
    <row r="478">
      <c r="C478" s="8"/>
      <c r="I478" s="8"/>
      <c r="J478" s="8"/>
    </row>
    <row r="479">
      <c r="C479" s="8"/>
      <c r="I479" s="8"/>
      <c r="J479" s="8"/>
    </row>
    <row r="480">
      <c r="C480" s="8"/>
      <c r="I480" s="8"/>
      <c r="J480" s="8"/>
    </row>
    <row r="481">
      <c r="C481" s="8"/>
      <c r="I481" s="8"/>
      <c r="J481" s="8"/>
    </row>
    <row r="482">
      <c r="C482" s="8"/>
      <c r="I482" s="8"/>
      <c r="J482" s="8"/>
    </row>
    <row r="483">
      <c r="C483" s="8"/>
      <c r="I483" s="8"/>
      <c r="J483" s="8"/>
    </row>
    <row r="484">
      <c r="C484" s="8"/>
      <c r="I484" s="8"/>
      <c r="J484" s="8"/>
    </row>
    <row r="485">
      <c r="C485" s="8"/>
      <c r="I485" s="8"/>
      <c r="J485" s="8"/>
    </row>
    <row r="486">
      <c r="C486" s="8"/>
      <c r="I486" s="8"/>
      <c r="J486" s="8"/>
    </row>
    <row r="487">
      <c r="C487" s="8"/>
      <c r="I487" s="8"/>
      <c r="J487" s="8"/>
    </row>
    <row r="488">
      <c r="C488" s="8"/>
      <c r="I488" s="8"/>
      <c r="J488" s="8"/>
    </row>
    <row r="489">
      <c r="C489" s="8"/>
      <c r="I489" s="8"/>
      <c r="J489" s="8"/>
    </row>
    <row r="490">
      <c r="C490" s="8"/>
      <c r="I490" s="8"/>
      <c r="J490" s="8"/>
    </row>
    <row r="491">
      <c r="C491" s="8"/>
      <c r="I491" s="8"/>
      <c r="J491" s="8"/>
    </row>
    <row r="492">
      <c r="C492" s="8"/>
      <c r="I492" s="8"/>
      <c r="J492" s="8"/>
    </row>
    <row r="493">
      <c r="C493" s="8"/>
      <c r="I493" s="8"/>
      <c r="J493" s="8"/>
    </row>
    <row r="494">
      <c r="C494" s="8"/>
      <c r="I494" s="8"/>
      <c r="J494" s="8"/>
    </row>
    <row r="495">
      <c r="C495" s="8"/>
      <c r="I495" s="8"/>
      <c r="J495" s="8"/>
    </row>
    <row r="496">
      <c r="C496" s="8"/>
      <c r="I496" s="8"/>
      <c r="J496" s="8"/>
    </row>
    <row r="497">
      <c r="C497" s="8"/>
      <c r="I497" s="8"/>
      <c r="J497" s="8"/>
    </row>
    <row r="498">
      <c r="C498" s="8"/>
      <c r="I498" s="8"/>
      <c r="J498" s="8"/>
    </row>
    <row r="499">
      <c r="C499" s="8"/>
      <c r="I499" s="8"/>
      <c r="J499" s="8"/>
    </row>
    <row r="500">
      <c r="C500" s="8"/>
      <c r="I500" s="8"/>
      <c r="J500" s="8"/>
    </row>
    <row r="501">
      <c r="C501" s="8"/>
      <c r="I501" s="8"/>
      <c r="J501" s="8"/>
    </row>
    <row r="502">
      <c r="C502" s="8"/>
      <c r="I502" s="8"/>
      <c r="J502" s="8"/>
    </row>
    <row r="503">
      <c r="C503" s="8"/>
      <c r="I503" s="8"/>
      <c r="J503" s="8"/>
    </row>
    <row r="504">
      <c r="C504" s="8"/>
      <c r="I504" s="8"/>
      <c r="J504" s="8"/>
    </row>
    <row r="505">
      <c r="C505" s="8"/>
      <c r="I505" s="8"/>
      <c r="J505" s="8"/>
    </row>
    <row r="506">
      <c r="C506" s="8"/>
      <c r="I506" s="8"/>
      <c r="J506" s="8"/>
    </row>
    <row r="507">
      <c r="C507" s="8"/>
      <c r="I507" s="8"/>
      <c r="J507" s="8"/>
    </row>
    <row r="508">
      <c r="C508" s="8"/>
      <c r="I508" s="8"/>
      <c r="J508" s="8"/>
    </row>
    <row r="509">
      <c r="C509" s="8"/>
      <c r="I509" s="8"/>
      <c r="J509" s="8"/>
    </row>
    <row r="510">
      <c r="C510" s="8"/>
      <c r="I510" s="8"/>
      <c r="J510" s="8"/>
    </row>
    <row r="511">
      <c r="C511" s="8"/>
      <c r="I511" s="8"/>
      <c r="J511" s="8"/>
    </row>
    <row r="512">
      <c r="C512" s="8"/>
      <c r="I512" s="8"/>
      <c r="J512" s="8"/>
    </row>
    <row r="513">
      <c r="C513" s="8"/>
      <c r="I513" s="8"/>
      <c r="J513" s="8"/>
    </row>
    <row r="514">
      <c r="C514" s="8"/>
      <c r="I514" s="8"/>
      <c r="J514" s="8"/>
    </row>
    <row r="515">
      <c r="C515" s="8"/>
      <c r="I515" s="8"/>
      <c r="J515" s="8"/>
    </row>
    <row r="516">
      <c r="C516" s="8"/>
      <c r="I516" s="8"/>
      <c r="J516" s="8"/>
    </row>
    <row r="517">
      <c r="C517" s="8"/>
      <c r="I517" s="8"/>
      <c r="J517" s="8"/>
    </row>
    <row r="518">
      <c r="C518" s="8"/>
      <c r="I518" s="8"/>
      <c r="J518" s="8"/>
    </row>
    <row r="519">
      <c r="C519" s="8"/>
      <c r="I519" s="8"/>
      <c r="J519" s="8"/>
    </row>
    <row r="520">
      <c r="C520" s="8"/>
      <c r="I520" s="8"/>
      <c r="J520" s="8"/>
    </row>
    <row r="521">
      <c r="C521" s="8"/>
      <c r="I521" s="8"/>
      <c r="J521" s="8"/>
    </row>
    <row r="522">
      <c r="C522" s="8"/>
      <c r="I522" s="8"/>
      <c r="J522" s="8"/>
    </row>
    <row r="523">
      <c r="C523" s="8"/>
      <c r="I523" s="8"/>
      <c r="J523" s="8"/>
    </row>
    <row r="524">
      <c r="C524" s="8"/>
      <c r="I524" s="8"/>
      <c r="J524" s="8"/>
    </row>
    <row r="525">
      <c r="C525" s="8"/>
      <c r="I525" s="8"/>
      <c r="J525" s="8"/>
    </row>
    <row r="526">
      <c r="C526" s="8"/>
      <c r="I526" s="8"/>
      <c r="J526" s="8"/>
    </row>
    <row r="527">
      <c r="C527" s="8"/>
      <c r="I527" s="8"/>
      <c r="J527" s="8"/>
    </row>
    <row r="528">
      <c r="C528" s="8"/>
      <c r="I528" s="8"/>
      <c r="J528" s="8"/>
    </row>
    <row r="529">
      <c r="C529" s="8"/>
      <c r="I529" s="8"/>
      <c r="J529" s="8"/>
    </row>
    <row r="530">
      <c r="C530" s="8"/>
      <c r="I530" s="8"/>
      <c r="J530" s="8"/>
    </row>
    <row r="531">
      <c r="C531" s="8"/>
      <c r="I531" s="8"/>
      <c r="J531" s="8"/>
    </row>
    <row r="532">
      <c r="C532" s="8"/>
      <c r="I532" s="8"/>
      <c r="J532" s="8"/>
    </row>
    <row r="533">
      <c r="C533" s="8"/>
      <c r="I533" s="8"/>
      <c r="J533" s="8"/>
    </row>
    <row r="534">
      <c r="C534" s="8"/>
      <c r="I534" s="8"/>
      <c r="J534" s="8"/>
    </row>
    <row r="535">
      <c r="C535" s="8"/>
      <c r="I535" s="8"/>
      <c r="J535" s="8"/>
    </row>
    <row r="536">
      <c r="C536" s="8"/>
      <c r="I536" s="8"/>
      <c r="J536" s="8"/>
    </row>
    <row r="537">
      <c r="C537" s="8"/>
      <c r="I537" s="8"/>
      <c r="J537" s="8"/>
    </row>
    <row r="538">
      <c r="C538" s="8"/>
      <c r="I538" s="8"/>
      <c r="J538" s="8"/>
    </row>
    <row r="539">
      <c r="C539" s="8"/>
      <c r="I539" s="8"/>
      <c r="J539" s="8"/>
    </row>
    <row r="540">
      <c r="C540" s="8"/>
      <c r="I540" s="8"/>
      <c r="J540" s="8"/>
    </row>
    <row r="541">
      <c r="C541" s="8"/>
      <c r="I541" s="8"/>
      <c r="J541" s="8"/>
    </row>
    <row r="542">
      <c r="C542" s="8"/>
      <c r="I542" s="8"/>
      <c r="J542" s="8"/>
    </row>
    <row r="543">
      <c r="C543" s="8"/>
      <c r="I543" s="8"/>
      <c r="J543" s="8"/>
    </row>
    <row r="544">
      <c r="C544" s="8"/>
      <c r="I544" s="8"/>
      <c r="J544" s="8"/>
    </row>
    <row r="545">
      <c r="C545" s="8"/>
      <c r="I545" s="8"/>
      <c r="J545" s="8"/>
    </row>
    <row r="546">
      <c r="C546" s="8"/>
      <c r="I546" s="8"/>
      <c r="J546" s="8"/>
    </row>
    <row r="547">
      <c r="C547" s="8"/>
      <c r="I547" s="8"/>
      <c r="J547" s="8"/>
    </row>
    <row r="548">
      <c r="C548" s="8"/>
      <c r="I548" s="8"/>
      <c r="J548" s="8"/>
    </row>
    <row r="549">
      <c r="C549" s="8"/>
      <c r="I549" s="8"/>
      <c r="J549" s="8"/>
    </row>
    <row r="550">
      <c r="C550" s="8"/>
      <c r="I550" s="8"/>
      <c r="J550" s="8"/>
    </row>
    <row r="551">
      <c r="C551" s="8"/>
      <c r="I551" s="8"/>
      <c r="J551" s="8"/>
    </row>
    <row r="552">
      <c r="C552" s="8"/>
      <c r="I552" s="8"/>
      <c r="J552" s="8"/>
    </row>
    <row r="553">
      <c r="C553" s="8"/>
      <c r="I553" s="8"/>
      <c r="J553" s="8"/>
    </row>
    <row r="554">
      <c r="C554" s="8"/>
      <c r="I554" s="8"/>
      <c r="J554" s="8"/>
    </row>
    <row r="555">
      <c r="C555" s="8"/>
      <c r="I555" s="8"/>
      <c r="J555" s="8"/>
    </row>
    <row r="556">
      <c r="C556" s="8"/>
      <c r="I556" s="8"/>
      <c r="J556" s="8"/>
    </row>
    <row r="557">
      <c r="C557" s="8"/>
      <c r="I557" s="8"/>
      <c r="J557" s="8"/>
    </row>
    <row r="558">
      <c r="C558" s="8"/>
      <c r="I558" s="8"/>
      <c r="J558" s="8"/>
    </row>
    <row r="559">
      <c r="C559" s="8"/>
      <c r="I559" s="8"/>
      <c r="J559" s="8"/>
    </row>
    <row r="560">
      <c r="C560" s="8"/>
      <c r="I560" s="8"/>
      <c r="J560" s="8"/>
    </row>
    <row r="561">
      <c r="C561" s="8"/>
      <c r="I561" s="8"/>
      <c r="J561" s="8"/>
    </row>
    <row r="562">
      <c r="C562" s="8"/>
      <c r="I562" s="8"/>
      <c r="J562" s="8"/>
    </row>
    <row r="563">
      <c r="C563" s="8"/>
      <c r="I563" s="8"/>
      <c r="J563" s="8"/>
    </row>
    <row r="564">
      <c r="C564" s="8"/>
      <c r="I564" s="8"/>
      <c r="J564" s="8"/>
    </row>
    <row r="565">
      <c r="C565" s="8"/>
      <c r="I565" s="8"/>
      <c r="J565" s="8"/>
    </row>
    <row r="566">
      <c r="C566" s="8"/>
      <c r="I566" s="8"/>
      <c r="J566" s="8"/>
    </row>
    <row r="567">
      <c r="C567" s="8"/>
      <c r="I567" s="8"/>
      <c r="J567" s="8"/>
    </row>
    <row r="568">
      <c r="C568" s="8"/>
      <c r="I568" s="8"/>
      <c r="J568" s="8"/>
    </row>
    <row r="569">
      <c r="C569" s="8"/>
      <c r="I569" s="8"/>
      <c r="J569" s="8"/>
    </row>
    <row r="570">
      <c r="C570" s="8"/>
      <c r="I570" s="8"/>
      <c r="J570" s="8"/>
    </row>
    <row r="571">
      <c r="C571" s="8"/>
      <c r="I571" s="8"/>
      <c r="J571" s="8"/>
    </row>
    <row r="572">
      <c r="C572" s="8"/>
      <c r="I572" s="8"/>
      <c r="J572" s="8"/>
    </row>
    <row r="573">
      <c r="C573" s="8"/>
      <c r="I573" s="8"/>
      <c r="J573" s="8"/>
    </row>
    <row r="574">
      <c r="C574" s="8"/>
      <c r="I574" s="8"/>
      <c r="J574" s="8"/>
    </row>
    <row r="575">
      <c r="C575" s="8"/>
      <c r="I575" s="8"/>
      <c r="J575" s="8"/>
    </row>
    <row r="576">
      <c r="C576" s="8"/>
      <c r="I576" s="8"/>
      <c r="J576" s="8"/>
    </row>
    <row r="577">
      <c r="C577" s="8"/>
      <c r="I577" s="8"/>
      <c r="J577" s="8"/>
    </row>
    <row r="578">
      <c r="C578" s="8"/>
      <c r="I578" s="8"/>
      <c r="J578" s="8"/>
    </row>
    <row r="579">
      <c r="C579" s="8"/>
      <c r="I579" s="8"/>
      <c r="J579" s="8"/>
    </row>
    <row r="580">
      <c r="C580" s="8"/>
      <c r="I580" s="8"/>
      <c r="J580" s="8"/>
    </row>
    <row r="581">
      <c r="C581" s="8"/>
      <c r="I581" s="8"/>
      <c r="J581" s="8"/>
    </row>
    <row r="582">
      <c r="C582" s="8"/>
      <c r="I582" s="8"/>
      <c r="J582" s="8"/>
    </row>
    <row r="583">
      <c r="C583" s="8"/>
      <c r="I583" s="8"/>
      <c r="J583" s="8"/>
    </row>
    <row r="584">
      <c r="C584" s="8"/>
      <c r="I584" s="8"/>
      <c r="J584" s="8"/>
    </row>
    <row r="585">
      <c r="C585" s="8"/>
      <c r="I585" s="8"/>
      <c r="J585" s="8"/>
    </row>
    <row r="586">
      <c r="C586" s="8"/>
      <c r="I586" s="8"/>
      <c r="J586" s="8"/>
    </row>
    <row r="587">
      <c r="C587" s="8"/>
      <c r="I587" s="8"/>
      <c r="J587" s="8"/>
    </row>
    <row r="588">
      <c r="C588" s="8"/>
      <c r="I588" s="8"/>
      <c r="J588" s="8"/>
    </row>
    <row r="589">
      <c r="C589" s="8"/>
      <c r="I589" s="8"/>
      <c r="J589" s="8"/>
    </row>
    <row r="590">
      <c r="C590" s="8"/>
      <c r="I590" s="8"/>
      <c r="J590" s="8"/>
    </row>
    <row r="591">
      <c r="C591" s="8"/>
      <c r="I591" s="8"/>
      <c r="J591" s="8"/>
    </row>
    <row r="592">
      <c r="C592" s="8"/>
      <c r="I592" s="8"/>
      <c r="J592" s="8"/>
    </row>
    <row r="593">
      <c r="C593" s="8"/>
      <c r="I593" s="8"/>
      <c r="J593" s="8"/>
    </row>
    <row r="594">
      <c r="C594" s="8"/>
      <c r="I594" s="8"/>
      <c r="J594" s="8"/>
    </row>
    <row r="595">
      <c r="C595" s="8"/>
      <c r="I595" s="8"/>
      <c r="J595" s="8"/>
    </row>
    <row r="596">
      <c r="C596" s="8"/>
      <c r="I596" s="8"/>
      <c r="J596" s="8"/>
    </row>
    <row r="597">
      <c r="C597" s="8"/>
      <c r="I597" s="8"/>
      <c r="J597" s="8"/>
    </row>
    <row r="598">
      <c r="C598" s="8"/>
      <c r="I598" s="8"/>
      <c r="J598" s="8"/>
    </row>
    <row r="599">
      <c r="C599" s="8"/>
      <c r="I599" s="8"/>
      <c r="J599" s="8"/>
    </row>
    <row r="600">
      <c r="C600" s="8"/>
      <c r="I600" s="8"/>
      <c r="J600" s="8"/>
    </row>
    <row r="601">
      <c r="C601" s="8"/>
      <c r="I601" s="8"/>
      <c r="J601" s="8"/>
    </row>
    <row r="602">
      <c r="C602" s="8"/>
      <c r="I602" s="8"/>
      <c r="J602" s="8"/>
    </row>
    <row r="603">
      <c r="C603" s="8"/>
      <c r="I603" s="8"/>
      <c r="J603" s="8"/>
    </row>
    <row r="604">
      <c r="C604" s="8"/>
      <c r="I604" s="8"/>
      <c r="J604" s="8"/>
    </row>
    <row r="605">
      <c r="C605" s="8"/>
      <c r="I605" s="8"/>
      <c r="J605" s="8"/>
    </row>
    <row r="606">
      <c r="C606" s="8"/>
      <c r="I606" s="8"/>
      <c r="J606" s="8"/>
    </row>
    <row r="607">
      <c r="C607" s="8"/>
      <c r="I607" s="8"/>
      <c r="J607" s="8"/>
    </row>
    <row r="608">
      <c r="C608" s="8"/>
      <c r="I608" s="8"/>
      <c r="J608" s="8"/>
    </row>
    <row r="609">
      <c r="C609" s="8"/>
      <c r="I609" s="8"/>
      <c r="J609" s="8"/>
    </row>
    <row r="610">
      <c r="C610" s="8"/>
      <c r="I610" s="8"/>
      <c r="J610" s="8"/>
    </row>
    <row r="611">
      <c r="C611" s="8"/>
      <c r="I611" s="8"/>
      <c r="J611" s="8"/>
    </row>
    <row r="612">
      <c r="C612" s="8"/>
      <c r="I612" s="8"/>
      <c r="J612" s="8"/>
    </row>
    <row r="613">
      <c r="C613" s="8"/>
      <c r="I613" s="8"/>
      <c r="J613" s="8"/>
    </row>
    <row r="614">
      <c r="C614" s="8"/>
      <c r="I614" s="8"/>
      <c r="J614" s="8"/>
    </row>
    <row r="615">
      <c r="C615" s="8"/>
      <c r="I615" s="8"/>
      <c r="J615" s="8"/>
    </row>
    <row r="616">
      <c r="C616" s="8"/>
      <c r="I616" s="8"/>
      <c r="J616" s="8"/>
    </row>
    <row r="617">
      <c r="C617" s="8"/>
      <c r="I617" s="8"/>
      <c r="J617" s="8"/>
    </row>
    <row r="618">
      <c r="C618" s="8"/>
      <c r="I618" s="8"/>
      <c r="J618" s="8"/>
    </row>
    <row r="619">
      <c r="C619" s="8"/>
      <c r="I619" s="8"/>
      <c r="J619" s="8"/>
    </row>
    <row r="620">
      <c r="C620" s="8"/>
      <c r="I620" s="8"/>
      <c r="J620" s="8"/>
    </row>
    <row r="621">
      <c r="C621" s="8"/>
      <c r="I621" s="8"/>
      <c r="J621" s="8"/>
    </row>
    <row r="622">
      <c r="C622" s="8"/>
      <c r="I622" s="8"/>
      <c r="J622" s="8"/>
    </row>
    <row r="623">
      <c r="C623" s="8"/>
      <c r="I623" s="8"/>
      <c r="J623" s="8"/>
    </row>
    <row r="624">
      <c r="C624" s="8"/>
      <c r="I624" s="8"/>
      <c r="J624" s="8"/>
    </row>
    <row r="625">
      <c r="C625" s="8"/>
      <c r="I625" s="8"/>
      <c r="J625" s="8"/>
    </row>
    <row r="626">
      <c r="C626" s="8"/>
      <c r="I626" s="8"/>
      <c r="J626" s="8"/>
    </row>
    <row r="627">
      <c r="C627" s="8"/>
      <c r="I627" s="8"/>
      <c r="J627" s="8"/>
    </row>
    <row r="628">
      <c r="C628" s="8"/>
      <c r="I628" s="8"/>
      <c r="J628" s="8"/>
    </row>
    <row r="629">
      <c r="C629" s="8"/>
      <c r="I629" s="8"/>
      <c r="J629" s="8"/>
    </row>
    <row r="630">
      <c r="C630" s="8"/>
      <c r="I630" s="8"/>
      <c r="J630" s="8"/>
    </row>
    <row r="631">
      <c r="C631" s="8"/>
      <c r="I631" s="8"/>
      <c r="J631" s="8"/>
    </row>
    <row r="632">
      <c r="C632" s="8"/>
      <c r="I632" s="8"/>
      <c r="J632" s="8"/>
    </row>
    <row r="633">
      <c r="C633" s="8"/>
      <c r="I633" s="8"/>
      <c r="J633" s="8"/>
    </row>
    <row r="634">
      <c r="C634" s="8"/>
      <c r="I634" s="8"/>
      <c r="J634" s="8"/>
    </row>
    <row r="635">
      <c r="C635" s="8"/>
      <c r="I635" s="8"/>
      <c r="J635" s="8"/>
    </row>
    <row r="636">
      <c r="C636" s="8"/>
      <c r="I636" s="8"/>
      <c r="J636" s="8"/>
    </row>
    <row r="637">
      <c r="C637" s="8"/>
      <c r="I637" s="8"/>
      <c r="J637" s="8"/>
    </row>
    <row r="638">
      <c r="C638" s="8"/>
      <c r="I638" s="8"/>
      <c r="J638" s="8"/>
    </row>
    <row r="639">
      <c r="C639" s="8"/>
      <c r="I639" s="8"/>
      <c r="J639" s="8"/>
    </row>
    <row r="640">
      <c r="C640" s="8"/>
      <c r="I640" s="8"/>
      <c r="J640" s="8"/>
    </row>
    <row r="641">
      <c r="C641" s="8"/>
      <c r="I641" s="8"/>
      <c r="J641" s="8"/>
    </row>
    <row r="642">
      <c r="C642" s="8"/>
      <c r="I642" s="8"/>
      <c r="J642" s="8"/>
    </row>
    <row r="643">
      <c r="C643" s="8"/>
      <c r="I643" s="8"/>
      <c r="J643" s="8"/>
    </row>
    <row r="644">
      <c r="C644" s="8"/>
      <c r="I644" s="8"/>
      <c r="J644" s="8"/>
    </row>
    <row r="645">
      <c r="C645" s="8"/>
      <c r="I645" s="8"/>
      <c r="J645" s="8"/>
    </row>
    <row r="646">
      <c r="C646" s="8"/>
      <c r="I646" s="8"/>
      <c r="J646" s="8"/>
    </row>
    <row r="647">
      <c r="C647" s="8"/>
      <c r="I647" s="8"/>
      <c r="J647" s="8"/>
    </row>
    <row r="648">
      <c r="C648" s="8"/>
      <c r="I648" s="8"/>
      <c r="J648" s="8"/>
    </row>
    <row r="649">
      <c r="C649" s="8"/>
      <c r="I649" s="8"/>
      <c r="J649" s="8"/>
    </row>
    <row r="650">
      <c r="C650" s="8"/>
      <c r="I650" s="8"/>
      <c r="J650" s="8"/>
    </row>
    <row r="651">
      <c r="C651" s="8"/>
      <c r="I651" s="8"/>
      <c r="J651" s="8"/>
    </row>
    <row r="652">
      <c r="C652" s="8"/>
      <c r="I652" s="8"/>
      <c r="J652" s="8"/>
    </row>
    <row r="653">
      <c r="C653" s="8"/>
      <c r="I653" s="8"/>
      <c r="J653" s="8"/>
    </row>
    <row r="654">
      <c r="C654" s="8"/>
      <c r="I654" s="8"/>
      <c r="J654" s="8"/>
    </row>
    <row r="655">
      <c r="C655" s="8"/>
      <c r="I655" s="8"/>
      <c r="J655" s="8"/>
    </row>
    <row r="656">
      <c r="C656" s="8"/>
      <c r="I656" s="8"/>
      <c r="J656" s="8"/>
    </row>
    <row r="657">
      <c r="C657" s="8"/>
      <c r="I657" s="8"/>
      <c r="J657" s="8"/>
    </row>
    <row r="658">
      <c r="C658" s="8"/>
      <c r="I658" s="8"/>
      <c r="J658" s="8"/>
    </row>
    <row r="659">
      <c r="C659" s="8"/>
      <c r="I659" s="8"/>
      <c r="J659" s="8"/>
    </row>
    <row r="660">
      <c r="C660" s="8"/>
      <c r="I660" s="8"/>
      <c r="J660" s="8"/>
    </row>
    <row r="661">
      <c r="C661" s="8"/>
      <c r="I661" s="8"/>
      <c r="J661" s="8"/>
    </row>
    <row r="662">
      <c r="C662" s="8"/>
      <c r="I662" s="8"/>
      <c r="J662" s="8"/>
    </row>
    <row r="663">
      <c r="C663" s="8"/>
      <c r="I663" s="8"/>
      <c r="J663" s="8"/>
    </row>
    <row r="664">
      <c r="C664" s="8"/>
      <c r="I664" s="8"/>
      <c r="J664" s="8"/>
    </row>
    <row r="665">
      <c r="C665" s="8"/>
      <c r="I665" s="8"/>
      <c r="J665" s="8"/>
    </row>
    <row r="666">
      <c r="C666" s="8"/>
      <c r="I666" s="8"/>
      <c r="J666" s="8"/>
    </row>
    <row r="667">
      <c r="C667" s="8"/>
      <c r="I667" s="8"/>
      <c r="J667" s="8"/>
    </row>
    <row r="668">
      <c r="C668" s="8"/>
      <c r="I668" s="8"/>
      <c r="J668" s="8"/>
    </row>
    <row r="669">
      <c r="C669" s="8"/>
      <c r="I669" s="8"/>
      <c r="J669" s="8"/>
    </row>
    <row r="670">
      <c r="C670" s="8"/>
      <c r="I670" s="8"/>
      <c r="J670" s="8"/>
    </row>
    <row r="671">
      <c r="C671" s="8"/>
      <c r="I671" s="8"/>
      <c r="J671" s="8"/>
    </row>
    <row r="672">
      <c r="C672" s="8"/>
      <c r="I672" s="8"/>
      <c r="J672" s="8"/>
    </row>
    <row r="673">
      <c r="C673" s="8"/>
      <c r="I673" s="8"/>
      <c r="J673" s="8"/>
    </row>
    <row r="674">
      <c r="C674" s="8"/>
      <c r="I674" s="8"/>
      <c r="J674" s="8"/>
    </row>
    <row r="675">
      <c r="C675" s="8"/>
      <c r="I675" s="8"/>
      <c r="J675" s="8"/>
    </row>
    <row r="676">
      <c r="C676" s="8"/>
      <c r="I676" s="8"/>
      <c r="J676" s="8"/>
    </row>
    <row r="677">
      <c r="C677" s="8"/>
      <c r="I677" s="8"/>
      <c r="J677" s="8"/>
    </row>
    <row r="678">
      <c r="C678" s="8"/>
      <c r="I678" s="8"/>
      <c r="J678" s="8"/>
    </row>
    <row r="679">
      <c r="C679" s="8"/>
      <c r="I679" s="8"/>
      <c r="J679" s="8"/>
    </row>
    <row r="680">
      <c r="C680" s="8"/>
      <c r="I680" s="8"/>
      <c r="J680" s="8"/>
    </row>
    <row r="681">
      <c r="C681" s="8"/>
      <c r="I681" s="8"/>
      <c r="J681" s="8"/>
    </row>
    <row r="682">
      <c r="C682" s="8"/>
      <c r="I682" s="8"/>
      <c r="J682" s="8"/>
    </row>
    <row r="683">
      <c r="C683" s="8"/>
      <c r="I683" s="8"/>
      <c r="J683" s="8"/>
    </row>
    <row r="684">
      <c r="C684" s="8"/>
      <c r="I684" s="8"/>
      <c r="J684" s="8"/>
    </row>
    <row r="685">
      <c r="C685" s="8"/>
      <c r="I685" s="8"/>
      <c r="J685" s="8"/>
    </row>
    <row r="686">
      <c r="C686" s="8"/>
      <c r="I686" s="8"/>
      <c r="J686" s="8"/>
    </row>
    <row r="687">
      <c r="C687" s="8"/>
      <c r="I687" s="8"/>
      <c r="J687" s="8"/>
    </row>
    <row r="688">
      <c r="C688" s="8"/>
      <c r="I688" s="8"/>
      <c r="J688" s="8"/>
    </row>
    <row r="689">
      <c r="C689" s="8"/>
      <c r="I689" s="8"/>
      <c r="J689" s="8"/>
    </row>
    <row r="690">
      <c r="C690" s="8"/>
      <c r="I690" s="8"/>
      <c r="J690" s="8"/>
    </row>
    <row r="691">
      <c r="C691" s="8"/>
      <c r="I691" s="8"/>
      <c r="J691" s="8"/>
    </row>
    <row r="692">
      <c r="C692" s="8"/>
      <c r="I692" s="8"/>
      <c r="J692" s="8"/>
    </row>
    <row r="693">
      <c r="C693" s="8"/>
      <c r="I693" s="8"/>
      <c r="J693" s="8"/>
    </row>
    <row r="694">
      <c r="C694" s="8"/>
      <c r="I694" s="8"/>
      <c r="J694" s="8"/>
    </row>
    <row r="695">
      <c r="C695" s="8"/>
      <c r="I695" s="8"/>
      <c r="J695" s="8"/>
    </row>
    <row r="696">
      <c r="C696" s="8"/>
      <c r="I696" s="8"/>
      <c r="J696" s="8"/>
    </row>
    <row r="697">
      <c r="C697" s="8"/>
      <c r="I697" s="8"/>
      <c r="J697" s="8"/>
    </row>
    <row r="698">
      <c r="C698" s="8"/>
      <c r="I698" s="8"/>
      <c r="J698" s="8"/>
    </row>
    <row r="699">
      <c r="C699" s="8"/>
      <c r="I699" s="8"/>
      <c r="J699" s="8"/>
    </row>
    <row r="700">
      <c r="C700" s="8"/>
      <c r="I700" s="8"/>
      <c r="J700" s="8"/>
    </row>
    <row r="701">
      <c r="C701" s="8"/>
      <c r="I701" s="8"/>
      <c r="J701" s="8"/>
    </row>
    <row r="702">
      <c r="C702" s="8"/>
      <c r="I702" s="8"/>
      <c r="J702" s="8"/>
    </row>
    <row r="703">
      <c r="C703" s="8"/>
      <c r="I703" s="8"/>
      <c r="J703" s="8"/>
    </row>
    <row r="704">
      <c r="C704" s="8"/>
      <c r="I704" s="8"/>
      <c r="J704" s="8"/>
    </row>
    <row r="705">
      <c r="C705" s="8"/>
      <c r="I705" s="8"/>
      <c r="J705" s="8"/>
    </row>
    <row r="706">
      <c r="C706" s="8"/>
      <c r="I706" s="8"/>
      <c r="J706" s="8"/>
    </row>
    <row r="707">
      <c r="C707" s="8"/>
      <c r="I707" s="8"/>
      <c r="J707" s="8"/>
    </row>
    <row r="708">
      <c r="C708" s="8"/>
      <c r="I708" s="8"/>
      <c r="J708" s="8"/>
    </row>
    <row r="709">
      <c r="C709" s="8"/>
      <c r="I709" s="8"/>
      <c r="J709" s="8"/>
    </row>
    <row r="710">
      <c r="C710" s="8"/>
      <c r="I710" s="8"/>
      <c r="J710" s="8"/>
    </row>
    <row r="711">
      <c r="C711" s="8"/>
      <c r="I711" s="8"/>
      <c r="J711" s="8"/>
    </row>
    <row r="712">
      <c r="C712" s="8"/>
      <c r="I712" s="8"/>
      <c r="J712" s="8"/>
    </row>
    <row r="713">
      <c r="C713" s="8"/>
      <c r="I713" s="8"/>
      <c r="J713" s="8"/>
    </row>
    <row r="714">
      <c r="C714" s="8"/>
      <c r="I714" s="8"/>
      <c r="J714" s="8"/>
    </row>
    <row r="715">
      <c r="C715" s="8"/>
      <c r="I715" s="8"/>
      <c r="J715" s="8"/>
    </row>
    <row r="716">
      <c r="C716" s="8"/>
      <c r="I716" s="8"/>
      <c r="J716" s="8"/>
    </row>
    <row r="717">
      <c r="C717" s="8"/>
      <c r="I717" s="8"/>
      <c r="J717" s="8"/>
    </row>
    <row r="718">
      <c r="C718" s="8"/>
      <c r="I718" s="8"/>
      <c r="J718" s="8"/>
    </row>
    <row r="719">
      <c r="C719" s="8"/>
      <c r="I719" s="8"/>
      <c r="J719" s="8"/>
    </row>
    <row r="720">
      <c r="C720" s="8"/>
      <c r="I720" s="8"/>
      <c r="J720" s="8"/>
    </row>
    <row r="721">
      <c r="C721" s="8"/>
      <c r="I721" s="8"/>
      <c r="J721" s="8"/>
    </row>
    <row r="722">
      <c r="C722" s="8"/>
      <c r="I722" s="8"/>
      <c r="J722" s="8"/>
    </row>
    <row r="723">
      <c r="C723" s="8"/>
      <c r="I723" s="8"/>
      <c r="J723" s="8"/>
    </row>
    <row r="724">
      <c r="C724" s="8"/>
      <c r="I724" s="8"/>
      <c r="J724" s="8"/>
    </row>
    <row r="725">
      <c r="C725" s="8"/>
      <c r="I725" s="8"/>
      <c r="J725" s="8"/>
    </row>
    <row r="726">
      <c r="C726" s="8"/>
      <c r="I726" s="8"/>
      <c r="J726" s="8"/>
    </row>
    <row r="727">
      <c r="C727" s="8"/>
      <c r="I727" s="8"/>
      <c r="J727" s="8"/>
    </row>
    <row r="728">
      <c r="C728" s="8"/>
      <c r="I728" s="8"/>
      <c r="J728" s="8"/>
    </row>
    <row r="729">
      <c r="C729" s="8"/>
      <c r="I729" s="8"/>
      <c r="J729" s="8"/>
    </row>
    <row r="730">
      <c r="C730" s="8"/>
      <c r="I730" s="8"/>
      <c r="J730" s="8"/>
    </row>
    <row r="731">
      <c r="C731" s="8"/>
      <c r="I731" s="8"/>
      <c r="J731" s="8"/>
    </row>
    <row r="732">
      <c r="C732" s="8"/>
      <c r="I732" s="8"/>
      <c r="J732" s="8"/>
    </row>
    <row r="733">
      <c r="C733" s="8"/>
      <c r="I733" s="8"/>
      <c r="J733" s="8"/>
    </row>
    <row r="734">
      <c r="C734" s="8"/>
      <c r="I734" s="8"/>
      <c r="J734" s="8"/>
    </row>
    <row r="735">
      <c r="C735" s="8"/>
      <c r="I735" s="8"/>
      <c r="J735" s="8"/>
    </row>
    <row r="736">
      <c r="C736" s="8"/>
      <c r="I736" s="8"/>
      <c r="J736" s="8"/>
    </row>
    <row r="737">
      <c r="C737" s="8"/>
      <c r="I737" s="8"/>
      <c r="J737" s="8"/>
    </row>
    <row r="738">
      <c r="C738" s="8"/>
      <c r="I738" s="8"/>
      <c r="J738" s="8"/>
    </row>
    <row r="739">
      <c r="C739" s="8"/>
      <c r="I739" s="8"/>
      <c r="J739" s="8"/>
    </row>
    <row r="740">
      <c r="C740" s="8"/>
      <c r="I740" s="8"/>
      <c r="J740" s="8"/>
    </row>
    <row r="741">
      <c r="C741" s="8"/>
      <c r="I741" s="8"/>
      <c r="J741" s="8"/>
    </row>
    <row r="742">
      <c r="C742" s="8"/>
      <c r="I742" s="8"/>
      <c r="J742" s="8"/>
    </row>
    <row r="743">
      <c r="C743" s="8"/>
      <c r="I743" s="8"/>
      <c r="J743" s="8"/>
    </row>
    <row r="744">
      <c r="C744" s="8"/>
      <c r="I744" s="8"/>
      <c r="J744" s="8"/>
    </row>
    <row r="745">
      <c r="C745" s="8"/>
      <c r="I745" s="8"/>
      <c r="J745" s="8"/>
    </row>
    <row r="746">
      <c r="C746" s="8"/>
      <c r="I746" s="8"/>
      <c r="J746" s="8"/>
    </row>
    <row r="747">
      <c r="C747" s="8"/>
      <c r="I747" s="8"/>
      <c r="J747" s="8"/>
    </row>
    <row r="748">
      <c r="C748" s="8"/>
      <c r="I748" s="8"/>
      <c r="J748" s="8"/>
    </row>
    <row r="749">
      <c r="C749" s="8"/>
      <c r="I749" s="8"/>
      <c r="J749" s="8"/>
    </row>
    <row r="750">
      <c r="C750" s="8"/>
      <c r="I750" s="8"/>
      <c r="J750" s="8"/>
    </row>
    <row r="751">
      <c r="C751" s="8"/>
      <c r="I751" s="8"/>
      <c r="J751" s="8"/>
    </row>
    <row r="752">
      <c r="C752" s="8"/>
      <c r="I752" s="8"/>
      <c r="J752" s="8"/>
    </row>
    <row r="753">
      <c r="C753" s="8"/>
      <c r="I753" s="8"/>
      <c r="J753" s="8"/>
    </row>
    <row r="754">
      <c r="C754" s="8"/>
      <c r="I754" s="8"/>
      <c r="J754" s="8"/>
    </row>
    <row r="755">
      <c r="C755" s="8"/>
      <c r="I755" s="8"/>
      <c r="J755" s="8"/>
    </row>
    <row r="756">
      <c r="C756" s="8"/>
      <c r="I756" s="8"/>
      <c r="J756" s="8"/>
    </row>
    <row r="757">
      <c r="C757" s="8"/>
      <c r="I757" s="8"/>
      <c r="J757" s="8"/>
    </row>
    <row r="758">
      <c r="C758" s="8"/>
      <c r="I758" s="8"/>
      <c r="J758" s="8"/>
    </row>
    <row r="759">
      <c r="C759" s="8"/>
      <c r="I759" s="8"/>
      <c r="J759" s="8"/>
    </row>
    <row r="760">
      <c r="C760" s="8"/>
      <c r="I760" s="8"/>
      <c r="J760" s="8"/>
    </row>
    <row r="761">
      <c r="C761" s="8"/>
      <c r="I761" s="8"/>
      <c r="J761" s="8"/>
    </row>
    <row r="762">
      <c r="C762" s="8"/>
      <c r="I762" s="8"/>
      <c r="J762" s="8"/>
    </row>
    <row r="763">
      <c r="C763" s="8"/>
      <c r="I763" s="8"/>
      <c r="J763" s="8"/>
    </row>
    <row r="764">
      <c r="C764" s="8"/>
      <c r="I764" s="8"/>
      <c r="J764" s="8"/>
    </row>
    <row r="765">
      <c r="C765" s="8"/>
      <c r="I765" s="8"/>
      <c r="J765" s="8"/>
    </row>
    <row r="766">
      <c r="C766" s="8"/>
      <c r="I766" s="8"/>
      <c r="J766" s="8"/>
    </row>
    <row r="767">
      <c r="C767" s="8"/>
      <c r="I767" s="8"/>
      <c r="J767" s="8"/>
    </row>
    <row r="768">
      <c r="C768" s="8"/>
      <c r="I768" s="8"/>
      <c r="J768" s="8"/>
    </row>
    <row r="769">
      <c r="C769" s="8"/>
      <c r="I769" s="8"/>
      <c r="J769" s="8"/>
    </row>
    <row r="770">
      <c r="C770" s="8"/>
      <c r="I770" s="8"/>
      <c r="J770" s="8"/>
    </row>
    <row r="771">
      <c r="C771" s="8"/>
      <c r="I771" s="8"/>
      <c r="J771" s="8"/>
    </row>
    <row r="772">
      <c r="C772" s="8"/>
      <c r="I772" s="8"/>
      <c r="J772" s="8"/>
    </row>
    <row r="773">
      <c r="C773" s="8"/>
      <c r="I773" s="8"/>
      <c r="J773" s="8"/>
    </row>
    <row r="774">
      <c r="C774" s="8"/>
      <c r="I774" s="8"/>
      <c r="J774" s="8"/>
    </row>
    <row r="775">
      <c r="C775" s="8"/>
      <c r="I775" s="8"/>
      <c r="J775" s="8"/>
    </row>
    <row r="776">
      <c r="C776" s="8"/>
      <c r="I776" s="8"/>
      <c r="J776" s="8"/>
    </row>
    <row r="777">
      <c r="C777" s="8"/>
      <c r="I777" s="8"/>
      <c r="J777" s="8"/>
    </row>
    <row r="778">
      <c r="C778" s="8"/>
      <c r="I778" s="8"/>
      <c r="J778" s="8"/>
    </row>
    <row r="779">
      <c r="C779" s="8"/>
      <c r="I779" s="8"/>
      <c r="J779" s="8"/>
    </row>
    <row r="780">
      <c r="C780" s="8"/>
      <c r="I780" s="8"/>
      <c r="J780" s="8"/>
    </row>
    <row r="781">
      <c r="C781" s="8"/>
      <c r="I781" s="8"/>
      <c r="J781" s="8"/>
    </row>
    <row r="782">
      <c r="C782" s="8"/>
      <c r="I782" s="8"/>
      <c r="J782" s="8"/>
    </row>
    <row r="783">
      <c r="C783" s="8"/>
      <c r="I783" s="8"/>
      <c r="J783" s="8"/>
    </row>
    <row r="784">
      <c r="C784" s="8"/>
      <c r="I784" s="8"/>
      <c r="J784" s="8"/>
    </row>
    <row r="785">
      <c r="C785" s="8"/>
      <c r="I785" s="8"/>
      <c r="J785" s="8"/>
    </row>
    <row r="786">
      <c r="C786" s="8"/>
      <c r="I786" s="8"/>
      <c r="J786" s="8"/>
    </row>
    <row r="787">
      <c r="C787" s="8"/>
      <c r="I787" s="8"/>
      <c r="J787" s="8"/>
    </row>
    <row r="788">
      <c r="C788" s="8"/>
      <c r="I788" s="8"/>
      <c r="J788" s="8"/>
    </row>
    <row r="789">
      <c r="C789" s="8"/>
      <c r="I789" s="8"/>
      <c r="J789" s="8"/>
    </row>
    <row r="790">
      <c r="C790" s="8"/>
      <c r="I790" s="8"/>
      <c r="J790" s="8"/>
    </row>
    <row r="791">
      <c r="C791" s="8"/>
      <c r="I791" s="8"/>
      <c r="J791" s="8"/>
    </row>
    <row r="792">
      <c r="C792" s="8"/>
      <c r="I792" s="8"/>
      <c r="J792" s="8"/>
    </row>
    <row r="793">
      <c r="C793" s="8"/>
      <c r="I793" s="8"/>
      <c r="J793" s="8"/>
    </row>
    <row r="794">
      <c r="C794" s="8"/>
      <c r="I794" s="8"/>
      <c r="J794" s="8"/>
    </row>
    <row r="795">
      <c r="C795" s="8"/>
      <c r="I795" s="8"/>
      <c r="J795" s="8"/>
    </row>
    <row r="796">
      <c r="C796" s="8"/>
      <c r="I796" s="8"/>
      <c r="J796" s="8"/>
    </row>
    <row r="797">
      <c r="C797" s="8"/>
      <c r="I797" s="8"/>
      <c r="J797" s="8"/>
    </row>
    <row r="798">
      <c r="C798" s="8"/>
      <c r="I798" s="8"/>
      <c r="J798" s="8"/>
    </row>
    <row r="799">
      <c r="C799" s="8"/>
      <c r="I799" s="8"/>
      <c r="J799" s="8"/>
    </row>
    <row r="800">
      <c r="C800" s="8"/>
      <c r="I800" s="8"/>
      <c r="J800" s="8"/>
    </row>
    <row r="801">
      <c r="C801" s="8"/>
      <c r="I801" s="8"/>
      <c r="J801" s="8"/>
    </row>
    <row r="802">
      <c r="C802" s="8"/>
      <c r="I802" s="8"/>
      <c r="J802" s="8"/>
    </row>
    <row r="803">
      <c r="C803" s="8"/>
      <c r="I803" s="8"/>
      <c r="J803" s="8"/>
    </row>
    <row r="804">
      <c r="C804" s="8"/>
      <c r="I804" s="8"/>
      <c r="J804" s="8"/>
    </row>
    <row r="805">
      <c r="C805" s="8"/>
      <c r="I805" s="8"/>
      <c r="J805" s="8"/>
    </row>
    <row r="806">
      <c r="C806" s="8"/>
      <c r="I806" s="8"/>
      <c r="J806" s="8"/>
    </row>
    <row r="807">
      <c r="C807" s="8"/>
      <c r="I807" s="8"/>
      <c r="J807" s="8"/>
    </row>
    <row r="808">
      <c r="C808" s="8"/>
      <c r="I808" s="8"/>
      <c r="J808" s="8"/>
    </row>
    <row r="809">
      <c r="C809" s="8"/>
      <c r="I809" s="8"/>
      <c r="J809" s="8"/>
    </row>
    <row r="810">
      <c r="C810" s="8"/>
      <c r="I810" s="8"/>
      <c r="J810" s="8"/>
    </row>
    <row r="811">
      <c r="C811" s="8"/>
      <c r="I811" s="8"/>
      <c r="J811" s="8"/>
    </row>
    <row r="812">
      <c r="C812" s="8"/>
      <c r="I812" s="8"/>
      <c r="J812" s="8"/>
    </row>
    <row r="813">
      <c r="C813" s="8"/>
      <c r="I813" s="8"/>
      <c r="J813" s="8"/>
    </row>
    <row r="814">
      <c r="C814" s="8"/>
      <c r="I814" s="8"/>
      <c r="J814" s="8"/>
    </row>
    <row r="815">
      <c r="C815" s="8"/>
      <c r="I815" s="8"/>
      <c r="J815" s="8"/>
    </row>
    <row r="816">
      <c r="C816" s="8"/>
      <c r="I816" s="8"/>
      <c r="J816" s="8"/>
    </row>
    <row r="817">
      <c r="C817" s="8"/>
      <c r="I817" s="8"/>
      <c r="J817" s="8"/>
    </row>
    <row r="818">
      <c r="C818" s="8"/>
      <c r="I818" s="8"/>
      <c r="J818" s="8"/>
    </row>
    <row r="819">
      <c r="C819" s="8"/>
      <c r="I819" s="8"/>
      <c r="J819" s="8"/>
    </row>
    <row r="820">
      <c r="C820" s="8"/>
      <c r="I820" s="8"/>
      <c r="J820" s="8"/>
    </row>
    <row r="821">
      <c r="C821" s="8"/>
      <c r="I821" s="8"/>
      <c r="J821" s="8"/>
    </row>
    <row r="822">
      <c r="C822" s="8"/>
      <c r="I822" s="8"/>
      <c r="J822" s="8"/>
    </row>
    <row r="823">
      <c r="C823" s="8"/>
      <c r="I823" s="8"/>
      <c r="J823" s="8"/>
    </row>
    <row r="824">
      <c r="C824" s="8"/>
      <c r="I824" s="8"/>
      <c r="J824" s="8"/>
    </row>
    <row r="825">
      <c r="C825" s="8"/>
      <c r="I825" s="8"/>
      <c r="J825" s="8"/>
    </row>
    <row r="826">
      <c r="C826" s="8"/>
      <c r="I826" s="8"/>
      <c r="J826" s="8"/>
    </row>
    <row r="827">
      <c r="C827" s="8"/>
      <c r="I827" s="8"/>
      <c r="J827" s="8"/>
    </row>
    <row r="828">
      <c r="C828" s="8"/>
      <c r="I828" s="8"/>
      <c r="J828" s="8"/>
    </row>
    <row r="829">
      <c r="C829" s="8"/>
      <c r="I829" s="8"/>
      <c r="J829" s="8"/>
    </row>
    <row r="830">
      <c r="C830" s="8"/>
      <c r="I830" s="8"/>
      <c r="J830" s="8"/>
    </row>
    <row r="831">
      <c r="C831" s="8"/>
      <c r="I831" s="8"/>
      <c r="J831" s="8"/>
    </row>
    <row r="832">
      <c r="C832" s="8"/>
      <c r="I832" s="8"/>
      <c r="J832" s="8"/>
    </row>
    <row r="833">
      <c r="C833" s="8"/>
      <c r="I833" s="8"/>
      <c r="J833" s="8"/>
    </row>
    <row r="834">
      <c r="C834" s="8"/>
      <c r="I834" s="8"/>
      <c r="J834" s="8"/>
    </row>
    <row r="835">
      <c r="C835" s="8"/>
      <c r="I835" s="8"/>
      <c r="J835" s="8"/>
    </row>
    <row r="836">
      <c r="C836" s="8"/>
      <c r="I836" s="8"/>
      <c r="J836" s="8"/>
    </row>
    <row r="837">
      <c r="C837" s="8"/>
      <c r="I837" s="8"/>
      <c r="J837" s="8"/>
    </row>
    <row r="838">
      <c r="C838" s="8"/>
      <c r="I838" s="8"/>
      <c r="J838" s="8"/>
    </row>
    <row r="839">
      <c r="C839" s="8"/>
      <c r="I839" s="8"/>
      <c r="J839" s="8"/>
    </row>
    <row r="840">
      <c r="C840" s="8"/>
      <c r="I840" s="8"/>
      <c r="J840" s="8"/>
    </row>
    <row r="841">
      <c r="C841" s="8"/>
      <c r="I841" s="8"/>
      <c r="J841" s="8"/>
    </row>
    <row r="842">
      <c r="C842" s="8"/>
      <c r="I842" s="8"/>
      <c r="J842" s="8"/>
    </row>
    <row r="843">
      <c r="C843" s="8"/>
      <c r="I843" s="8"/>
      <c r="J843" s="8"/>
    </row>
    <row r="844">
      <c r="C844" s="8"/>
      <c r="I844" s="8"/>
      <c r="J844" s="8"/>
    </row>
    <row r="845">
      <c r="C845" s="8"/>
      <c r="I845" s="8"/>
      <c r="J845" s="8"/>
    </row>
    <row r="846">
      <c r="C846" s="8"/>
      <c r="I846" s="8"/>
      <c r="J846" s="8"/>
    </row>
    <row r="847">
      <c r="C847" s="8"/>
      <c r="I847" s="8"/>
      <c r="J847" s="8"/>
    </row>
    <row r="848">
      <c r="C848" s="8"/>
      <c r="I848" s="8"/>
      <c r="J848" s="8"/>
    </row>
    <row r="849">
      <c r="C849" s="8"/>
      <c r="I849" s="8"/>
      <c r="J849" s="8"/>
    </row>
    <row r="850">
      <c r="C850" s="8"/>
      <c r="I850" s="8"/>
      <c r="J850" s="8"/>
    </row>
    <row r="851">
      <c r="C851" s="8"/>
      <c r="I851" s="8"/>
      <c r="J851" s="8"/>
    </row>
    <row r="852">
      <c r="C852" s="8"/>
      <c r="I852" s="8"/>
      <c r="J852" s="8"/>
    </row>
    <row r="853">
      <c r="C853" s="8"/>
      <c r="I853" s="8"/>
      <c r="J853" s="8"/>
    </row>
    <row r="854">
      <c r="C854" s="8"/>
      <c r="I854" s="8"/>
      <c r="J854" s="8"/>
    </row>
    <row r="855">
      <c r="C855" s="8"/>
      <c r="I855" s="8"/>
      <c r="J855" s="8"/>
    </row>
    <row r="856">
      <c r="C856" s="8"/>
      <c r="I856" s="8"/>
      <c r="J856" s="8"/>
    </row>
    <row r="857">
      <c r="C857" s="8"/>
      <c r="I857" s="8"/>
      <c r="J857" s="8"/>
    </row>
    <row r="858">
      <c r="C858" s="8"/>
      <c r="I858" s="8"/>
      <c r="J858" s="8"/>
    </row>
    <row r="859">
      <c r="C859" s="8"/>
      <c r="I859" s="8"/>
      <c r="J859" s="8"/>
    </row>
    <row r="860">
      <c r="C860" s="8"/>
      <c r="I860" s="8"/>
      <c r="J860" s="8"/>
    </row>
    <row r="861">
      <c r="C861" s="8"/>
      <c r="I861" s="8"/>
      <c r="J861" s="8"/>
    </row>
    <row r="862">
      <c r="C862" s="8"/>
      <c r="I862" s="8"/>
      <c r="J862" s="8"/>
    </row>
    <row r="863">
      <c r="C863" s="8"/>
      <c r="I863" s="8"/>
      <c r="J863" s="8"/>
    </row>
    <row r="864">
      <c r="C864" s="8"/>
      <c r="I864" s="8"/>
      <c r="J864" s="8"/>
    </row>
    <row r="865">
      <c r="C865" s="8"/>
      <c r="I865" s="8"/>
      <c r="J865" s="8"/>
    </row>
    <row r="866">
      <c r="C866" s="8"/>
      <c r="I866" s="8"/>
      <c r="J866" s="8"/>
    </row>
    <row r="867">
      <c r="C867" s="8"/>
      <c r="I867" s="8"/>
      <c r="J867" s="8"/>
    </row>
    <row r="868">
      <c r="C868" s="8"/>
      <c r="I868" s="8"/>
      <c r="J868" s="8"/>
    </row>
    <row r="869">
      <c r="C869" s="8"/>
      <c r="I869" s="8"/>
      <c r="J869" s="8"/>
    </row>
    <row r="870">
      <c r="C870" s="8"/>
      <c r="I870" s="8"/>
      <c r="J870" s="8"/>
    </row>
    <row r="871">
      <c r="C871" s="8"/>
      <c r="I871" s="8"/>
      <c r="J871" s="8"/>
    </row>
    <row r="872">
      <c r="C872" s="8"/>
      <c r="I872" s="8"/>
      <c r="J872" s="8"/>
    </row>
    <row r="873">
      <c r="C873" s="8"/>
      <c r="I873" s="8"/>
      <c r="J873" s="8"/>
    </row>
    <row r="874">
      <c r="C874" s="8"/>
      <c r="I874" s="8"/>
      <c r="J874" s="8"/>
    </row>
    <row r="875">
      <c r="C875" s="8"/>
      <c r="I875" s="8"/>
      <c r="J875" s="8"/>
    </row>
    <row r="876">
      <c r="C876" s="8"/>
      <c r="I876" s="8"/>
      <c r="J876" s="8"/>
    </row>
    <row r="877">
      <c r="C877" s="8"/>
      <c r="I877" s="8"/>
      <c r="J877" s="8"/>
    </row>
    <row r="878">
      <c r="C878" s="8"/>
      <c r="I878" s="8"/>
      <c r="J878" s="8"/>
    </row>
    <row r="879">
      <c r="C879" s="8"/>
      <c r="I879" s="8"/>
      <c r="J879" s="8"/>
    </row>
    <row r="880">
      <c r="C880" s="8"/>
      <c r="I880" s="8"/>
      <c r="J880" s="8"/>
    </row>
    <row r="881">
      <c r="C881" s="8"/>
      <c r="I881" s="8"/>
      <c r="J881" s="8"/>
    </row>
    <row r="882">
      <c r="C882" s="8"/>
      <c r="I882" s="8"/>
      <c r="J882" s="8"/>
    </row>
    <row r="883">
      <c r="C883" s="8"/>
      <c r="I883" s="8"/>
      <c r="J883" s="8"/>
    </row>
    <row r="884">
      <c r="C884" s="8"/>
      <c r="I884" s="8"/>
      <c r="J884" s="8"/>
    </row>
    <row r="885">
      <c r="C885" s="8"/>
      <c r="I885" s="8"/>
      <c r="J885" s="8"/>
    </row>
    <row r="886">
      <c r="C886" s="8"/>
      <c r="I886" s="8"/>
      <c r="J886" s="8"/>
    </row>
    <row r="887">
      <c r="C887" s="8"/>
      <c r="I887" s="8"/>
      <c r="J887" s="8"/>
    </row>
    <row r="888">
      <c r="C888" s="8"/>
      <c r="I888" s="8"/>
      <c r="J888" s="8"/>
    </row>
    <row r="889">
      <c r="C889" s="8"/>
      <c r="I889" s="8"/>
      <c r="J889" s="8"/>
    </row>
    <row r="890">
      <c r="C890" s="8"/>
      <c r="I890" s="8"/>
      <c r="J890" s="8"/>
    </row>
    <row r="891">
      <c r="C891" s="8"/>
      <c r="I891" s="8"/>
      <c r="J891" s="8"/>
    </row>
    <row r="892">
      <c r="C892" s="8"/>
      <c r="I892" s="8"/>
      <c r="J892" s="8"/>
    </row>
    <row r="893">
      <c r="C893" s="8"/>
      <c r="I893" s="8"/>
      <c r="J893" s="8"/>
    </row>
    <row r="894">
      <c r="C894" s="8"/>
      <c r="I894" s="8"/>
      <c r="J894" s="8"/>
    </row>
    <row r="895">
      <c r="C895" s="8"/>
      <c r="I895" s="8"/>
      <c r="J895" s="8"/>
    </row>
    <row r="896">
      <c r="C896" s="8"/>
      <c r="I896" s="8"/>
      <c r="J896" s="8"/>
    </row>
    <row r="897">
      <c r="C897" s="8"/>
      <c r="I897" s="8"/>
      <c r="J897" s="8"/>
    </row>
    <row r="898">
      <c r="C898" s="8"/>
      <c r="I898" s="8"/>
      <c r="J898" s="8"/>
    </row>
    <row r="899">
      <c r="C899" s="8"/>
      <c r="I899" s="8"/>
      <c r="J899" s="8"/>
    </row>
    <row r="900">
      <c r="C900" s="8"/>
      <c r="I900" s="8"/>
      <c r="J900" s="8"/>
    </row>
    <row r="901">
      <c r="C901" s="8"/>
      <c r="I901" s="8"/>
      <c r="J901" s="8"/>
    </row>
    <row r="902">
      <c r="C902" s="8"/>
      <c r="I902" s="8"/>
      <c r="J902" s="8"/>
    </row>
    <row r="903">
      <c r="C903" s="8"/>
      <c r="I903" s="8"/>
      <c r="J903" s="8"/>
    </row>
    <row r="904">
      <c r="C904" s="8"/>
      <c r="I904" s="8"/>
      <c r="J904" s="8"/>
    </row>
    <row r="905">
      <c r="C905" s="8"/>
      <c r="I905" s="8"/>
      <c r="J905" s="8"/>
    </row>
    <row r="906">
      <c r="C906" s="8"/>
      <c r="I906" s="8"/>
      <c r="J906" s="8"/>
    </row>
    <row r="907">
      <c r="C907" s="8"/>
      <c r="I907" s="8"/>
      <c r="J907" s="8"/>
    </row>
    <row r="908">
      <c r="C908" s="8"/>
      <c r="I908" s="8"/>
      <c r="J908" s="8"/>
    </row>
    <row r="909">
      <c r="C909" s="8"/>
      <c r="I909" s="8"/>
      <c r="J909" s="8"/>
    </row>
    <row r="910">
      <c r="C910" s="8"/>
      <c r="I910" s="8"/>
      <c r="J910" s="8"/>
    </row>
    <row r="911">
      <c r="C911" s="8"/>
      <c r="I911" s="8"/>
      <c r="J911" s="8"/>
    </row>
    <row r="912">
      <c r="C912" s="8"/>
      <c r="I912" s="8"/>
      <c r="J912" s="8"/>
    </row>
    <row r="913">
      <c r="C913" s="8"/>
      <c r="I913" s="8"/>
      <c r="J913" s="8"/>
    </row>
    <row r="914">
      <c r="C914" s="8"/>
      <c r="I914" s="8"/>
      <c r="J914" s="8"/>
    </row>
    <row r="915">
      <c r="C915" s="8"/>
      <c r="I915" s="8"/>
      <c r="J915" s="8"/>
    </row>
    <row r="916">
      <c r="C916" s="8"/>
      <c r="I916" s="8"/>
      <c r="J916" s="8"/>
    </row>
    <row r="917">
      <c r="C917" s="8"/>
      <c r="I917" s="8"/>
      <c r="J917" s="8"/>
    </row>
    <row r="918">
      <c r="C918" s="8"/>
      <c r="I918" s="8"/>
      <c r="J918" s="8"/>
    </row>
    <row r="919">
      <c r="C919" s="8"/>
      <c r="I919" s="8"/>
      <c r="J919" s="8"/>
    </row>
    <row r="920">
      <c r="C920" s="8"/>
      <c r="I920" s="8"/>
      <c r="J920" s="8"/>
    </row>
    <row r="921">
      <c r="C921" s="8"/>
      <c r="I921" s="8"/>
      <c r="J921" s="8"/>
    </row>
    <row r="922">
      <c r="C922" s="8"/>
      <c r="I922" s="8"/>
      <c r="J922" s="8"/>
    </row>
    <row r="923">
      <c r="C923" s="8"/>
      <c r="I923" s="8"/>
      <c r="J923" s="8"/>
    </row>
    <row r="924">
      <c r="C924" s="8"/>
      <c r="I924" s="8"/>
      <c r="J924" s="8"/>
    </row>
    <row r="925">
      <c r="C925" s="8"/>
      <c r="I925" s="8"/>
      <c r="J925" s="8"/>
    </row>
    <row r="926">
      <c r="C926" s="8"/>
      <c r="I926" s="8"/>
      <c r="J926" s="8"/>
    </row>
    <row r="927">
      <c r="C927" s="8"/>
      <c r="I927" s="8"/>
      <c r="J927" s="8"/>
    </row>
    <row r="928">
      <c r="C928" s="8"/>
      <c r="I928" s="8"/>
      <c r="J928" s="8"/>
    </row>
    <row r="929">
      <c r="C929" s="8"/>
      <c r="I929" s="8"/>
      <c r="J929" s="8"/>
    </row>
    <row r="930">
      <c r="C930" s="8"/>
      <c r="I930" s="8"/>
      <c r="J930" s="8"/>
    </row>
    <row r="931">
      <c r="C931" s="8"/>
      <c r="I931" s="8"/>
      <c r="J931" s="8"/>
    </row>
    <row r="932">
      <c r="C932" s="8"/>
      <c r="I932" s="8"/>
      <c r="J932" s="8"/>
    </row>
    <row r="933">
      <c r="C933" s="8"/>
      <c r="I933" s="8"/>
      <c r="J933" s="8"/>
    </row>
    <row r="934">
      <c r="C934" s="8"/>
      <c r="I934" s="8"/>
      <c r="J934" s="8"/>
    </row>
    <row r="935">
      <c r="C935" s="8"/>
      <c r="I935" s="8"/>
      <c r="J935" s="8"/>
    </row>
    <row r="936">
      <c r="C936" s="8"/>
      <c r="I936" s="8"/>
      <c r="J936" s="8"/>
    </row>
    <row r="937">
      <c r="C937" s="8"/>
      <c r="I937" s="8"/>
      <c r="J937" s="8"/>
    </row>
    <row r="938">
      <c r="C938" s="8"/>
      <c r="I938" s="8"/>
      <c r="J938" s="8"/>
    </row>
    <row r="939">
      <c r="C939" s="8"/>
      <c r="I939" s="8"/>
      <c r="J939" s="8"/>
    </row>
    <row r="940">
      <c r="C940" s="8"/>
      <c r="I940" s="8"/>
      <c r="J940" s="8"/>
    </row>
    <row r="941">
      <c r="C941" s="8"/>
      <c r="I941" s="8"/>
      <c r="J941" s="8"/>
    </row>
    <row r="942">
      <c r="C942" s="8"/>
      <c r="I942" s="8"/>
      <c r="J942" s="8"/>
    </row>
    <row r="943">
      <c r="C943" s="8"/>
      <c r="I943" s="8"/>
      <c r="J943" s="8"/>
    </row>
    <row r="944">
      <c r="C944" s="8"/>
      <c r="I944" s="8"/>
      <c r="J944" s="8"/>
    </row>
    <row r="945">
      <c r="C945" s="8"/>
      <c r="I945" s="8"/>
      <c r="J945" s="8"/>
    </row>
    <row r="946">
      <c r="C946" s="8"/>
      <c r="I946" s="8"/>
      <c r="J946" s="8"/>
    </row>
    <row r="947">
      <c r="C947" s="8"/>
      <c r="I947" s="8"/>
      <c r="J947" s="8"/>
    </row>
    <row r="948">
      <c r="C948" s="8"/>
      <c r="I948" s="8"/>
      <c r="J948" s="8"/>
    </row>
    <row r="949">
      <c r="C949" s="8"/>
      <c r="I949" s="8"/>
      <c r="J949" s="8"/>
    </row>
    <row r="950">
      <c r="C950" s="8"/>
      <c r="I950" s="8"/>
      <c r="J950" s="8"/>
    </row>
    <row r="951">
      <c r="C951" s="8"/>
      <c r="I951" s="8"/>
      <c r="J951" s="8"/>
    </row>
    <row r="952">
      <c r="C952" s="8"/>
      <c r="I952" s="8"/>
      <c r="J952" s="8"/>
    </row>
    <row r="953">
      <c r="C953" s="8"/>
      <c r="I953" s="8"/>
      <c r="J953" s="8"/>
    </row>
    <row r="954">
      <c r="C954" s="8"/>
      <c r="I954" s="8"/>
      <c r="J954" s="8"/>
    </row>
    <row r="955">
      <c r="C955" s="8"/>
      <c r="I955" s="8"/>
      <c r="J955" s="8"/>
    </row>
    <row r="956">
      <c r="C956" s="8"/>
      <c r="I956" s="8"/>
      <c r="J956" s="8"/>
    </row>
    <row r="957">
      <c r="C957" s="8"/>
      <c r="I957" s="8"/>
      <c r="J957" s="8"/>
    </row>
    <row r="958">
      <c r="C958" s="8"/>
      <c r="I958" s="8"/>
      <c r="J958" s="8"/>
    </row>
    <row r="959">
      <c r="C959" s="8"/>
      <c r="I959" s="8"/>
      <c r="J959" s="8"/>
    </row>
    <row r="960">
      <c r="C960" s="8"/>
      <c r="I960" s="8"/>
      <c r="J960" s="8"/>
    </row>
    <row r="961">
      <c r="C961" s="8"/>
      <c r="I961" s="8"/>
      <c r="J961" s="8"/>
    </row>
    <row r="962">
      <c r="C962" s="8"/>
      <c r="I962" s="8"/>
      <c r="J962" s="8"/>
    </row>
    <row r="963">
      <c r="C963" s="8"/>
      <c r="I963" s="8"/>
      <c r="J963" s="8"/>
    </row>
    <row r="964">
      <c r="C964" s="8"/>
      <c r="I964" s="8"/>
      <c r="J964" s="8"/>
    </row>
    <row r="965">
      <c r="C965" s="8"/>
      <c r="I965" s="8"/>
      <c r="J965" s="8"/>
    </row>
    <row r="966">
      <c r="C966" s="8"/>
      <c r="I966" s="8"/>
      <c r="J966" s="8"/>
    </row>
    <row r="967">
      <c r="C967" s="8"/>
      <c r="I967" s="8"/>
      <c r="J967" s="8"/>
    </row>
    <row r="968">
      <c r="C968" s="8"/>
      <c r="I968" s="8"/>
      <c r="J968" s="8"/>
    </row>
    <row r="969">
      <c r="C969" s="8"/>
      <c r="I969" s="8"/>
      <c r="J969" s="8"/>
    </row>
    <row r="970">
      <c r="C970" s="8"/>
      <c r="I970" s="8"/>
      <c r="J970" s="8"/>
    </row>
    <row r="971">
      <c r="C971" s="8"/>
      <c r="I971" s="8"/>
      <c r="J971" s="8"/>
    </row>
    <row r="972">
      <c r="C972" s="8"/>
      <c r="I972" s="8"/>
      <c r="J972" s="8"/>
    </row>
    <row r="973">
      <c r="C973" s="8"/>
      <c r="I973" s="8"/>
      <c r="J973" s="8"/>
    </row>
    <row r="974">
      <c r="C974" s="8"/>
      <c r="I974" s="8"/>
      <c r="J974" s="8"/>
    </row>
    <row r="975">
      <c r="C975" s="8"/>
      <c r="I975" s="8"/>
      <c r="J975" s="8"/>
    </row>
    <row r="976">
      <c r="C976" s="8"/>
      <c r="I976" s="8"/>
      <c r="J976" s="8"/>
    </row>
    <row r="977">
      <c r="C977" s="8"/>
      <c r="I977" s="8"/>
      <c r="J977" s="8"/>
    </row>
    <row r="978">
      <c r="C978" s="8"/>
      <c r="I978" s="8"/>
      <c r="J978" s="8"/>
    </row>
    <row r="979">
      <c r="C979" s="8"/>
      <c r="I979" s="8"/>
      <c r="J979" s="8"/>
    </row>
    <row r="980">
      <c r="C980" s="8"/>
      <c r="I980" s="8"/>
      <c r="J980" s="8"/>
    </row>
    <row r="981">
      <c r="C981" s="8"/>
      <c r="I981" s="8"/>
      <c r="J981" s="8"/>
    </row>
    <row r="982">
      <c r="C982" s="8"/>
      <c r="I982" s="8"/>
      <c r="J982" s="8"/>
    </row>
    <row r="983">
      <c r="C983" s="8"/>
      <c r="I983" s="8"/>
      <c r="J983" s="8"/>
    </row>
    <row r="984">
      <c r="C984" s="8"/>
      <c r="I984" s="8"/>
      <c r="J984" s="8"/>
    </row>
    <row r="985">
      <c r="C985" s="8"/>
      <c r="I985" s="8"/>
      <c r="J985" s="8"/>
    </row>
    <row r="986">
      <c r="C986" s="8"/>
      <c r="I986" s="8"/>
      <c r="J986" s="8"/>
    </row>
    <row r="987">
      <c r="C987" s="8"/>
      <c r="I987" s="8"/>
      <c r="J987" s="8"/>
    </row>
    <row r="988">
      <c r="C988" s="8"/>
      <c r="I988" s="8"/>
      <c r="J988" s="8"/>
    </row>
    <row r="989">
      <c r="C989" s="8"/>
      <c r="I989" s="8"/>
      <c r="J989" s="8"/>
    </row>
    <row r="990">
      <c r="C990" s="8"/>
      <c r="I990" s="8"/>
      <c r="J990" s="8"/>
    </row>
    <row r="991">
      <c r="C991" s="8"/>
      <c r="I991" s="8"/>
      <c r="J991" s="8"/>
    </row>
    <row r="992">
      <c r="C992" s="8"/>
      <c r="I992" s="8"/>
      <c r="J992" s="8"/>
    </row>
    <row r="993">
      <c r="C993" s="8"/>
      <c r="I993" s="8"/>
      <c r="J993" s="8"/>
    </row>
    <row r="994">
      <c r="C994" s="8"/>
      <c r="I994" s="8"/>
      <c r="J994" s="8"/>
    </row>
    <row r="995">
      <c r="C995" s="8"/>
      <c r="I995" s="8"/>
      <c r="J995" s="8"/>
    </row>
    <row r="996">
      <c r="C996" s="8"/>
      <c r="I996" s="8"/>
      <c r="J996" s="8"/>
    </row>
    <row r="997">
      <c r="C997" s="8"/>
      <c r="I997" s="8"/>
      <c r="J997" s="8"/>
    </row>
    <row r="998">
      <c r="C998" s="8"/>
      <c r="I998" s="8"/>
      <c r="J998" s="8"/>
    </row>
    <row r="999">
      <c r="C999" s="8"/>
      <c r="I999" s="8"/>
      <c r="J999" s="8"/>
    </row>
    <row r="1000">
      <c r="C1000" s="8"/>
      <c r="I1000" s="8"/>
      <c r="J1000" s="8"/>
    </row>
  </sheetData>
  <mergeCells count="1">
    <mergeCell ref="A1:O2"/>
  </mergeCells>
  <dataValidations>
    <dataValidation type="list" allowBlank="1" showErrorMessage="1" sqref="B3">
      <formula1>"Mout,Hop,Gist,Suiker,Fruit,Adjunct"</formula1>
    </dataValidation>
    <dataValidation type="list" allowBlank="1" showErrorMessage="1" sqref="J6:J1000">
      <formula1>Uitleg!$C$2:$C$5</formula1>
    </dataValidation>
    <dataValidation type="list" allowBlank="1" showErrorMessage="1" sqref="I6:I1000">
      <formula1>Uitleg!$B$2:$B$7</formula1>
    </dataValidation>
    <dataValidation type="list" allowBlank="1" showErrorMessage="1" sqref="C6:C1000">
      <formula1>Uitleg!$A$2:$A$3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63"/>
    <col customWidth="1" min="3" max="3" width="14.0"/>
    <col customWidth="1" min="7" max="11" width="13.5"/>
    <col customWidth="1" min="12" max="12" width="3.38"/>
    <col customWidth="1" min="15" max="15" width="13.88"/>
  </cols>
  <sheetData>
    <row r="1">
      <c r="A1" s="1" t="s">
        <v>124</v>
      </c>
    </row>
    <row r="3">
      <c r="A3" s="2" t="s">
        <v>559</v>
      </c>
      <c r="B3" s="2" t="s">
        <v>498</v>
      </c>
      <c r="M3" s="2" t="s">
        <v>560</v>
      </c>
      <c r="N3" s="8">
        <f>SUM(H6:H1000) - SUM(O6:O1000)</f>
        <v>20</v>
      </c>
      <c r="O3" s="2" t="s">
        <v>561</v>
      </c>
    </row>
    <row r="5">
      <c r="A5" s="22" t="s">
        <v>104</v>
      </c>
      <c r="B5" s="22" t="s">
        <v>105</v>
      </c>
      <c r="C5" s="22" t="s">
        <v>106</v>
      </c>
      <c r="D5" s="22" t="s">
        <v>107</v>
      </c>
      <c r="E5" s="22" t="s">
        <v>108</v>
      </c>
      <c r="F5" s="22" t="s">
        <v>111</v>
      </c>
      <c r="G5" s="22" t="s">
        <v>112</v>
      </c>
      <c r="H5" s="22" t="s">
        <v>113</v>
      </c>
      <c r="I5" s="22" t="s">
        <v>115</v>
      </c>
      <c r="J5" s="22" t="s">
        <v>116</v>
      </c>
      <c r="K5" s="22" t="s">
        <v>117</v>
      </c>
      <c r="M5" s="23" t="s">
        <v>118</v>
      </c>
      <c r="N5" s="23" t="s">
        <v>107</v>
      </c>
      <c r="O5" s="23" t="s">
        <v>113</v>
      </c>
      <c r="P5" s="23" t="s">
        <v>111</v>
      </c>
    </row>
    <row r="6">
      <c r="C6" s="2" t="s">
        <v>120</v>
      </c>
      <c r="D6" s="24">
        <v>45009.0</v>
      </c>
      <c r="E6" s="2" t="s">
        <v>159</v>
      </c>
      <c r="F6" s="2" t="s">
        <v>139</v>
      </c>
      <c r="G6" s="25">
        <v>45352.0</v>
      </c>
      <c r="H6" s="2">
        <v>25.0</v>
      </c>
      <c r="I6" s="2"/>
      <c r="J6" s="2"/>
      <c r="K6" s="2"/>
      <c r="M6" s="2" t="s">
        <v>66</v>
      </c>
      <c r="N6" s="24">
        <v>45020.0</v>
      </c>
      <c r="O6" s="2">
        <v>5.0</v>
      </c>
      <c r="P6" s="2" t="s">
        <v>139</v>
      </c>
    </row>
    <row r="7">
      <c r="C7" s="28"/>
      <c r="D7" s="28"/>
      <c r="E7" s="28"/>
      <c r="F7" s="28"/>
      <c r="I7" s="8"/>
      <c r="J7" s="8"/>
      <c r="N7" s="24"/>
    </row>
    <row r="8">
      <c r="C8" s="28"/>
      <c r="D8" s="28"/>
      <c r="E8" s="28"/>
      <c r="F8" s="28"/>
      <c r="I8" s="8"/>
      <c r="J8" s="8"/>
      <c r="N8" s="28"/>
    </row>
    <row r="9">
      <c r="C9" s="28"/>
      <c r="D9" s="28"/>
      <c r="E9" s="28"/>
      <c r="F9" s="28"/>
      <c r="I9" s="8"/>
      <c r="J9" s="8"/>
      <c r="N9" s="28"/>
    </row>
    <row r="10">
      <c r="C10" s="28"/>
      <c r="D10" s="28"/>
      <c r="E10" s="28"/>
      <c r="F10" s="28"/>
      <c r="I10" s="8"/>
      <c r="J10" s="8"/>
      <c r="N10" s="28"/>
    </row>
    <row r="11">
      <c r="C11" s="28"/>
      <c r="D11" s="28"/>
      <c r="E11" s="28"/>
      <c r="F11" s="28"/>
      <c r="I11" s="8"/>
      <c r="J11" s="8"/>
      <c r="N11" s="28"/>
    </row>
    <row r="12">
      <c r="C12" s="28"/>
      <c r="D12" s="28"/>
      <c r="E12" s="28"/>
      <c r="F12" s="28"/>
      <c r="I12" s="8"/>
      <c r="J12" s="8"/>
      <c r="N12" s="28"/>
    </row>
    <row r="13">
      <c r="C13" s="28"/>
      <c r="D13" s="28"/>
      <c r="E13" s="28"/>
      <c r="F13" s="28"/>
      <c r="I13" s="8"/>
      <c r="J13" s="8"/>
      <c r="N13" s="28"/>
    </row>
    <row r="14">
      <c r="C14" s="28"/>
      <c r="D14" s="28"/>
      <c r="E14" s="28"/>
      <c r="F14" s="28"/>
      <c r="I14" s="8"/>
      <c r="J14" s="8"/>
      <c r="N14" s="28"/>
    </row>
    <row r="15">
      <c r="C15" s="28"/>
      <c r="D15" s="28"/>
      <c r="E15" s="28"/>
      <c r="F15" s="28"/>
      <c r="I15" s="8"/>
      <c r="J15" s="8"/>
      <c r="N15" s="28"/>
    </row>
    <row r="16">
      <c r="C16" s="28"/>
      <c r="D16" s="28"/>
      <c r="E16" s="28"/>
      <c r="F16" s="28"/>
      <c r="I16" s="8"/>
      <c r="J16" s="8"/>
      <c r="N16" s="28"/>
    </row>
    <row r="17">
      <c r="C17" s="28"/>
      <c r="D17" s="28"/>
      <c r="E17" s="28"/>
      <c r="F17" s="28"/>
      <c r="I17" s="8"/>
      <c r="J17" s="8"/>
      <c r="N17" s="28"/>
    </row>
    <row r="18">
      <c r="C18" s="28"/>
      <c r="D18" s="28"/>
      <c r="E18" s="28"/>
      <c r="F18" s="28"/>
      <c r="I18" s="8"/>
      <c r="J18" s="8"/>
      <c r="N18" s="28"/>
    </row>
    <row r="19">
      <c r="C19" s="28"/>
      <c r="D19" s="28"/>
      <c r="E19" s="28"/>
      <c r="F19" s="28"/>
      <c r="I19" s="8"/>
      <c r="J19" s="8"/>
      <c r="N19" s="28"/>
    </row>
    <row r="20">
      <c r="C20" s="28"/>
      <c r="D20" s="28"/>
      <c r="E20" s="28"/>
      <c r="F20" s="28"/>
      <c r="I20" s="8"/>
      <c r="J20" s="8"/>
      <c r="N20" s="28"/>
    </row>
    <row r="21">
      <c r="C21" s="28"/>
      <c r="D21" s="28"/>
      <c r="E21" s="28"/>
      <c r="F21" s="28"/>
      <c r="I21" s="8"/>
      <c r="J21" s="8"/>
      <c r="N21" s="28"/>
    </row>
    <row r="22">
      <c r="C22" s="28"/>
      <c r="D22" s="28"/>
      <c r="E22" s="28"/>
      <c r="F22" s="28"/>
      <c r="I22" s="8"/>
      <c r="J22" s="8"/>
      <c r="N22" s="28"/>
    </row>
    <row r="23">
      <c r="C23" s="28"/>
      <c r="D23" s="28"/>
      <c r="E23" s="28"/>
      <c r="F23" s="28"/>
      <c r="I23" s="8"/>
      <c r="J23" s="8"/>
      <c r="N23" s="28"/>
    </row>
    <row r="24">
      <c r="C24" s="28"/>
      <c r="D24" s="28"/>
      <c r="E24" s="28"/>
      <c r="F24" s="28"/>
      <c r="I24" s="8"/>
      <c r="J24" s="8"/>
      <c r="N24" s="28"/>
    </row>
    <row r="25">
      <c r="C25" s="28"/>
      <c r="D25" s="28"/>
      <c r="E25" s="28"/>
      <c r="F25" s="28"/>
      <c r="I25" s="8"/>
      <c r="J25" s="8"/>
      <c r="N25" s="28"/>
    </row>
    <row r="26">
      <c r="C26" s="28"/>
      <c r="D26" s="28"/>
      <c r="E26" s="28"/>
      <c r="F26" s="28"/>
      <c r="I26" s="8"/>
      <c r="J26" s="8"/>
      <c r="N26" s="28"/>
    </row>
    <row r="27">
      <c r="C27" s="28"/>
      <c r="D27" s="28"/>
      <c r="E27" s="28"/>
      <c r="F27" s="28"/>
      <c r="I27" s="8"/>
      <c r="J27" s="8"/>
      <c r="N27" s="28"/>
    </row>
    <row r="28">
      <c r="C28" s="28"/>
      <c r="D28" s="28"/>
      <c r="E28" s="28"/>
      <c r="F28" s="28"/>
      <c r="I28" s="8"/>
      <c r="J28" s="8"/>
      <c r="N28" s="28"/>
    </row>
    <row r="29">
      <c r="C29" s="28"/>
      <c r="D29" s="28"/>
      <c r="E29" s="28"/>
      <c r="F29" s="28"/>
      <c r="I29" s="8"/>
      <c r="J29" s="8"/>
      <c r="N29" s="28"/>
    </row>
    <row r="30">
      <c r="C30" s="28"/>
      <c r="D30" s="28"/>
      <c r="E30" s="28"/>
      <c r="F30" s="28"/>
      <c r="I30" s="8"/>
      <c r="J30" s="8"/>
      <c r="N30" s="28"/>
    </row>
    <row r="31">
      <c r="C31" s="28"/>
      <c r="D31" s="28"/>
      <c r="E31" s="28"/>
      <c r="F31" s="28"/>
      <c r="I31" s="8"/>
      <c r="J31" s="8"/>
      <c r="N31" s="28"/>
    </row>
    <row r="32">
      <c r="C32" s="28"/>
      <c r="D32" s="28"/>
      <c r="E32" s="28"/>
      <c r="F32" s="28"/>
      <c r="I32" s="8"/>
      <c r="J32" s="8"/>
      <c r="N32" s="28"/>
    </row>
    <row r="33">
      <c r="C33" s="8"/>
      <c r="I33" s="8"/>
      <c r="J33" s="8"/>
      <c r="N33" s="28"/>
    </row>
    <row r="34">
      <c r="C34" s="8"/>
      <c r="I34" s="8"/>
      <c r="J34" s="8"/>
    </row>
    <row r="35">
      <c r="C35" s="8"/>
      <c r="I35" s="8"/>
      <c r="J35" s="8"/>
    </row>
    <row r="36">
      <c r="C36" s="8"/>
      <c r="I36" s="8"/>
      <c r="J36" s="8"/>
    </row>
    <row r="37">
      <c r="C37" s="8"/>
      <c r="I37" s="8"/>
      <c r="J37" s="8"/>
    </row>
    <row r="38">
      <c r="C38" s="8"/>
      <c r="I38" s="8"/>
      <c r="J38" s="8"/>
    </row>
    <row r="39">
      <c r="C39" s="8"/>
      <c r="I39" s="8"/>
      <c r="J39" s="8"/>
    </row>
    <row r="40">
      <c r="C40" s="8"/>
      <c r="I40" s="8"/>
      <c r="J40" s="8"/>
    </row>
    <row r="41">
      <c r="C41" s="8"/>
      <c r="I41" s="8"/>
      <c r="J41" s="8"/>
    </row>
    <row r="42">
      <c r="C42" s="8"/>
      <c r="I42" s="8"/>
      <c r="J42" s="8"/>
    </row>
    <row r="43">
      <c r="C43" s="8"/>
      <c r="I43" s="8"/>
      <c r="J43" s="8"/>
    </row>
    <row r="44">
      <c r="C44" s="8"/>
      <c r="I44" s="8"/>
      <c r="J44" s="8"/>
    </row>
    <row r="45">
      <c r="C45" s="8"/>
      <c r="I45" s="8"/>
      <c r="J45" s="8"/>
    </row>
    <row r="46">
      <c r="C46" s="8"/>
      <c r="I46" s="8"/>
      <c r="J46" s="8"/>
    </row>
    <row r="47">
      <c r="C47" s="8"/>
      <c r="I47" s="8"/>
      <c r="J47" s="8"/>
    </row>
    <row r="48">
      <c r="C48" s="8"/>
      <c r="I48" s="8"/>
      <c r="J48" s="8"/>
    </row>
    <row r="49">
      <c r="C49" s="8"/>
      <c r="I49" s="8"/>
      <c r="J49" s="8"/>
    </row>
    <row r="50">
      <c r="C50" s="8"/>
      <c r="I50" s="8"/>
      <c r="J50" s="8"/>
    </row>
    <row r="51">
      <c r="C51" s="8"/>
      <c r="I51" s="8"/>
      <c r="J51" s="8"/>
    </row>
    <row r="52">
      <c r="C52" s="8"/>
      <c r="I52" s="8"/>
      <c r="J52" s="8"/>
    </row>
    <row r="53">
      <c r="C53" s="8"/>
      <c r="I53" s="8"/>
      <c r="J53" s="8"/>
    </row>
    <row r="54">
      <c r="C54" s="8"/>
      <c r="I54" s="8"/>
      <c r="J54" s="8"/>
    </row>
    <row r="55">
      <c r="C55" s="8"/>
      <c r="I55" s="8"/>
      <c r="J55" s="8"/>
    </row>
    <row r="56">
      <c r="C56" s="8"/>
      <c r="I56" s="8"/>
      <c r="J56" s="8"/>
    </row>
    <row r="57">
      <c r="C57" s="8"/>
      <c r="I57" s="8"/>
      <c r="J57" s="8"/>
    </row>
    <row r="58">
      <c r="C58" s="8"/>
      <c r="I58" s="8"/>
      <c r="J58" s="8"/>
    </row>
    <row r="59">
      <c r="C59" s="8"/>
      <c r="I59" s="8"/>
      <c r="J59" s="8"/>
    </row>
    <row r="60">
      <c r="C60" s="8"/>
      <c r="I60" s="8"/>
      <c r="J60" s="8"/>
    </row>
    <row r="61">
      <c r="C61" s="8"/>
      <c r="I61" s="8"/>
      <c r="J61" s="8"/>
    </row>
    <row r="62">
      <c r="C62" s="8"/>
      <c r="I62" s="8"/>
      <c r="J62" s="8"/>
    </row>
    <row r="63">
      <c r="C63" s="8"/>
      <c r="I63" s="8"/>
      <c r="J63" s="8"/>
    </row>
    <row r="64">
      <c r="C64" s="8"/>
      <c r="I64" s="8"/>
      <c r="J64" s="8"/>
    </row>
    <row r="65">
      <c r="C65" s="8"/>
      <c r="I65" s="8"/>
      <c r="J65" s="8"/>
    </row>
    <row r="66">
      <c r="C66" s="8"/>
      <c r="I66" s="8"/>
      <c r="J66" s="8"/>
    </row>
    <row r="67">
      <c r="C67" s="8"/>
      <c r="I67" s="8"/>
      <c r="J67" s="8"/>
    </row>
    <row r="68">
      <c r="C68" s="8"/>
      <c r="I68" s="8"/>
      <c r="J68" s="8"/>
    </row>
    <row r="69">
      <c r="C69" s="8"/>
      <c r="I69" s="8"/>
      <c r="J69" s="8"/>
    </row>
    <row r="70">
      <c r="C70" s="8"/>
      <c r="I70" s="8"/>
      <c r="J70" s="8"/>
    </row>
    <row r="71">
      <c r="C71" s="8"/>
      <c r="I71" s="8"/>
      <c r="J71" s="8"/>
    </row>
    <row r="72">
      <c r="C72" s="8"/>
      <c r="I72" s="8"/>
      <c r="J72" s="8"/>
    </row>
    <row r="73">
      <c r="C73" s="8"/>
      <c r="I73" s="8"/>
      <c r="J73" s="8"/>
    </row>
    <row r="74">
      <c r="C74" s="8"/>
      <c r="I74" s="8"/>
      <c r="J74" s="8"/>
    </row>
    <row r="75">
      <c r="C75" s="8"/>
      <c r="I75" s="8"/>
      <c r="J75" s="8"/>
    </row>
    <row r="76">
      <c r="C76" s="8"/>
      <c r="I76" s="8"/>
      <c r="J76" s="8"/>
    </row>
    <row r="77">
      <c r="C77" s="8"/>
      <c r="I77" s="8"/>
      <c r="J77" s="8"/>
    </row>
    <row r="78">
      <c r="C78" s="8"/>
      <c r="I78" s="8"/>
      <c r="J78" s="8"/>
    </row>
    <row r="79">
      <c r="C79" s="8"/>
      <c r="I79" s="8"/>
      <c r="J79" s="8"/>
    </row>
    <row r="80">
      <c r="C80" s="8"/>
      <c r="I80" s="8"/>
      <c r="J80" s="8"/>
    </row>
    <row r="81">
      <c r="C81" s="8"/>
      <c r="I81" s="8"/>
      <c r="J81" s="8"/>
    </row>
    <row r="82">
      <c r="C82" s="8"/>
      <c r="I82" s="8"/>
      <c r="J82" s="8"/>
    </row>
    <row r="83">
      <c r="C83" s="8"/>
      <c r="I83" s="8"/>
      <c r="J83" s="8"/>
    </row>
    <row r="84">
      <c r="C84" s="8"/>
      <c r="I84" s="8"/>
      <c r="J84" s="8"/>
    </row>
    <row r="85">
      <c r="C85" s="8"/>
      <c r="I85" s="8"/>
      <c r="J85" s="8"/>
    </row>
    <row r="86">
      <c r="C86" s="8"/>
      <c r="I86" s="8"/>
      <c r="J86" s="8"/>
    </row>
    <row r="87">
      <c r="C87" s="8"/>
      <c r="I87" s="8"/>
      <c r="J87" s="8"/>
    </row>
    <row r="88">
      <c r="C88" s="8"/>
      <c r="I88" s="8"/>
      <c r="J88" s="8"/>
    </row>
    <row r="89">
      <c r="C89" s="8"/>
      <c r="I89" s="8"/>
      <c r="J89" s="8"/>
    </row>
    <row r="90">
      <c r="C90" s="8"/>
      <c r="I90" s="8"/>
      <c r="J90" s="8"/>
    </row>
    <row r="91">
      <c r="C91" s="8"/>
      <c r="I91" s="8"/>
      <c r="J91" s="8"/>
    </row>
    <row r="92">
      <c r="C92" s="8"/>
      <c r="I92" s="8"/>
      <c r="J92" s="8"/>
    </row>
    <row r="93">
      <c r="C93" s="8"/>
      <c r="I93" s="8"/>
      <c r="J93" s="8"/>
    </row>
    <row r="94">
      <c r="C94" s="8"/>
      <c r="I94" s="8"/>
      <c r="J94" s="8"/>
    </row>
    <row r="95">
      <c r="C95" s="8"/>
      <c r="I95" s="8"/>
      <c r="J95" s="8"/>
    </row>
    <row r="96">
      <c r="C96" s="8"/>
      <c r="I96" s="8"/>
      <c r="J96" s="8"/>
    </row>
    <row r="97">
      <c r="C97" s="8"/>
      <c r="I97" s="8"/>
      <c r="J97" s="8"/>
    </row>
    <row r="98">
      <c r="C98" s="8"/>
      <c r="I98" s="8"/>
      <c r="J98" s="8"/>
    </row>
    <row r="99">
      <c r="C99" s="8"/>
      <c r="I99" s="8"/>
      <c r="J99" s="8"/>
    </row>
    <row r="100">
      <c r="C100" s="8"/>
      <c r="I100" s="8"/>
      <c r="J100" s="8"/>
    </row>
    <row r="101">
      <c r="C101" s="8"/>
      <c r="I101" s="8"/>
      <c r="J101" s="8"/>
    </row>
    <row r="102">
      <c r="C102" s="8"/>
      <c r="I102" s="8"/>
      <c r="J102" s="8"/>
    </row>
    <row r="103">
      <c r="C103" s="8"/>
      <c r="I103" s="8"/>
      <c r="J103" s="8"/>
    </row>
    <row r="104">
      <c r="C104" s="8"/>
      <c r="I104" s="8"/>
      <c r="J104" s="8"/>
    </row>
    <row r="105">
      <c r="C105" s="8"/>
      <c r="I105" s="8"/>
      <c r="J105" s="8"/>
    </row>
    <row r="106">
      <c r="C106" s="8"/>
      <c r="I106" s="8"/>
      <c r="J106" s="8"/>
    </row>
    <row r="107">
      <c r="C107" s="8"/>
      <c r="I107" s="8"/>
      <c r="J107" s="8"/>
    </row>
    <row r="108">
      <c r="C108" s="8"/>
      <c r="I108" s="8"/>
      <c r="J108" s="8"/>
    </row>
    <row r="109">
      <c r="C109" s="8"/>
      <c r="I109" s="8"/>
      <c r="J109" s="8"/>
    </row>
    <row r="110">
      <c r="C110" s="8"/>
      <c r="I110" s="8"/>
      <c r="J110" s="8"/>
    </row>
    <row r="111">
      <c r="C111" s="8"/>
      <c r="I111" s="8"/>
      <c r="J111" s="8"/>
    </row>
    <row r="112">
      <c r="C112" s="8"/>
      <c r="I112" s="8"/>
      <c r="J112" s="8"/>
    </row>
    <row r="113">
      <c r="C113" s="8"/>
      <c r="I113" s="8"/>
      <c r="J113" s="8"/>
    </row>
    <row r="114">
      <c r="C114" s="8"/>
      <c r="I114" s="8"/>
      <c r="J114" s="8"/>
    </row>
    <row r="115">
      <c r="C115" s="8"/>
      <c r="I115" s="8"/>
      <c r="J115" s="8"/>
    </row>
    <row r="116">
      <c r="C116" s="8"/>
      <c r="I116" s="8"/>
      <c r="J116" s="8"/>
    </row>
    <row r="117">
      <c r="C117" s="8"/>
      <c r="I117" s="8"/>
      <c r="J117" s="8"/>
    </row>
    <row r="118">
      <c r="C118" s="8"/>
      <c r="I118" s="8"/>
      <c r="J118" s="8"/>
    </row>
    <row r="119">
      <c r="C119" s="8"/>
      <c r="I119" s="8"/>
      <c r="J119" s="8"/>
    </row>
    <row r="120">
      <c r="C120" s="8"/>
      <c r="I120" s="8"/>
      <c r="J120" s="8"/>
    </row>
    <row r="121">
      <c r="C121" s="8"/>
      <c r="I121" s="8"/>
      <c r="J121" s="8"/>
    </row>
    <row r="122">
      <c r="C122" s="8"/>
      <c r="I122" s="8"/>
      <c r="J122" s="8"/>
    </row>
    <row r="123">
      <c r="C123" s="8"/>
      <c r="I123" s="8"/>
      <c r="J123" s="8"/>
    </row>
    <row r="124">
      <c r="C124" s="8"/>
      <c r="I124" s="8"/>
      <c r="J124" s="8"/>
    </row>
    <row r="125">
      <c r="C125" s="8"/>
      <c r="I125" s="8"/>
      <c r="J125" s="8"/>
    </row>
    <row r="126">
      <c r="C126" s="8"/>
      <c r="I126" s="8"/>
      <c r="J126" s="8"/>
    </row>
    <row r="127">
      <c r="C127" s="8"/>
      <c r="I127" s="8"/>
      <c r="J127" s="8"/>
    </row>
    <row r="128">
      <c r="C128" s="8"/>
      <c r="I128" s="8"/>
      <c r="J128" s="8"/>
    </row>
    <row r="129">
      <c r="C129" s="8"/>
      <c r="I129" s="8"/>
      <c r="J129" s="8"/>
    </row>
    <row r="130">
      <c r="C130" s="8"/>
      <c r="I130" s="8"/>
      <c r="J130" s="8"/>
    </row>
    <row r="131">
      <c r="C131" s="8"/>
      <c r="I131" s="8"/>
      <c r="J131" s="8"/>
    </row>
    <row r="132">
      <c r="C132" s="8"/>
      <c r="I132" s="8"/>
      <c r="J132" s="8"/>
    </row>
    <row r="133">
      <c r="C133" s="8"/>
      <c r="I133" s="8"/>
      <c r="J133" s="8"/>
    </row>
    <row r="134">
      <c r="C134" s="8"/>
      <c r="I134" s="8"/>
      <c r="J134" s="8"/>
    </row>
    <row r="135">
      <c r="C135" s="8"/>
      <c r="I135" s="8"/>
      <c r="J135" s="8"/>
    </row>
    <row r="136">
      <c r="C136" s="8"/>
      <c r="I136" s="8"/>
      <c r="J136" s="8"/>
    </row>
    <row r="137">
      <c r="C137" s="8"/>
      <c r="I137" s="8"/>
      <c r="J137" s="8"/>
    </row>
    <row r="138">
      <c r="C138" s="8"/>
      <c r="I138" s="8"/>
      <c r="J138" s="8"/>
    </row>
    <row r="139">
      <c r="C139" s="8"/>
      <c r="I139" s="8"/>
      <c r="J139" s="8"/>
    </row>
    <row r="140">
      <c r="C140" s="8"/>
      <c r="I140" s="8"/>
      <c r="J140" s="8"/>
    </row>
    <row r="141">
      <c r="C141" s="8"/>
      <c r="I141" s="8"/>
      <c r="J141" s="8"/>
    </row>
    <row r="142">
      <c r="C142" s="8"/>
      <c r="I142" s="8"/>
      <c r="J142" s="8"/>
    </row>
    <row r="143">
      <c r="C143" s="8"/>
      <c r="I143" s="8"/>
      <c r="J143" s="8"/>
    </row>
    <row r="144">
      <c r="C144" s="8"/>
      <c r="I144" s="8"/>
      <c r="J144" s="8"/>
    </row>
    <row r="145">
      <c r="C145" s="8"/>
      <c r="I145" s="8"/>
      <c r="J145" s="8"/>
    </row>
    <row r="146">
      <c r="C146" s="8"/>
      <c r="I146" s="8"/>
      <c r="J146" s="8"/>
    </row>
    <row r="147">
      <c r="C147" s="8"/>
      <c r="I147" s="8"/>
      <c r="J147" s="8"/>
    </row>
    <row r="148">
      <c r="C148" s="8"/>
      <c r="I148" s="8"/>
      <c r="J148" s="8"/>
    </row>
    <row r="149">
      <c r="C149" s="8"/>
      <c r="I149" s="8"/>
      <c r="J149" s="8"/>
    </row>
    <row r="150">
      <c r="C150" s="8"/>
      <c r="I150" s="8"/>
      <c r="J150" s="8"/>
    </row>
    <row r="151">
      <c r="C151" s="8"/>
      <c r="I151" s="8"/>
      <c r="J151" s="8"/>
    </row>
    <row r="152">
      <c r="C152" s="8"/>
      <c r="I152" s="8"/>
      <c r="J152" s="8"/>
    </row>
    <row r="153">
      <c r="C153" s="8"/>
      <c r="I153" s="8"/>
      <c r="J153" s="8"/>
    </row>
    <row r="154">
      <c r="C154" s="8"/>
      <c r="I154" s="8"/>
      <c r="J154" s="8"/>
    </row>
    <row r="155">
      <c r="C155" s="8"/>
      <c r="I155" s="8"/>
      <c r="J155" s="8"/>
    </row>
    <row r="156">
      <c r="C156" s="8"/>
      <c r="I156" s="8"/>
      <c r="J156" s="8"/>
    </row>
    <row r="157">
      <c r="C157" s="8"/>
      <c r="I157" s="8"/>
      <c r="J157" s="8"/>
    </row>
    <row r="158">
      <c r="C158" s="8"/>
      <c r="I158" s="8"/>
      <c r="J158" s="8"/>
    </row>
    <row r="159">
      <c r="C159" s="8"/>
      <c r="I159" s="8"/>
      <c r="J159" s="8"/>
    </row>
    <row r="160">
      <c r="C160" s="8"/>
      <c r="I160" s="8"/>
      <c r="J160" s="8"/>
    </row>
    <row r="161">
      <c r="C161" s="8"/>
      <c r="I161" s="8"/>
      <c r="J161" s="8"/>
    </row>
    <row r="162">
      <c r="C162" s="8"/>
      <c r="I162" s="8"/>
      <c r="J162" s="8"/>
    </row>
    <row r="163">
      <c r="C163" s="8"/>
      <c r="I163" s="8"/>
      <c r="J163" s="8"/>
    </row>
    <row r="164">
      <c r="C164" s="8"/>
      <c r="I164" s="8"/>
      <c r="J164" s="8"/>
    </row>
    <row r="165">
      <c r="C165" s="8"/>
      <c r="I165" s="8"/>
      <c r="J165" s="8"/>
    </row>
    <row r="166">
      <c r="C166" s="8"/>
      <c r="I166" s="8"/>
      <c r="J166" s="8"/>
    </row>
    <row r="167">
      <c r="C167" s="8"/>
      <c r="I167" s="8"/>
      <c r="J167" s="8"/>
    </row>
    <row r="168">
      <c r="C168" s="8"/>
      <c r="I168" s="8"/>
      <c r="J168" s="8"/>
    </row>
    <row r="169">
      <c r="C169" s="8"/>
      <c r="I169" s="8"/>
      <c r="J169" s="8"/>
    </row>
    <row r="170">
      <c r="C170" s="8"/>
      <c r="I170" s="8"/>
      <c r="J170" s="8"/>
    </row>
    <row r="171">
      <c r="C171" s="8"/>
      <c r="I171" s="8"/>
      <c r="J171" s="8"/>
    </row>
    <row r="172">
      <c r="C172" s="8"/>
      <c r="I172" s="8"/>
      <c r="J172" s="8"/>
    </row>
    <row r="173">
      <c r="C173" s="8"/>
      <c r="I173" s="8"/>
      <c r="J173" s="8"/>
    </row>
    <row r="174">
      <c r="C174" s="8"/>
      <c r="I174" s="8"/>
      <c r="J174" s="8"/>
    </row>
    <row r="175">
      <c r="C175" s="8"/>
      <c r="I175" s="8"/>
      <c r="J175" s="8"/>
    </row>
    <row r="176">
      <c r="C176" s="8"/>
      <c r="I176" s="8"/>
      <c r="J176" s="8"/>
    </row>
    <row r="177">
      <c r="C177" s="8"/>
      <c r="I177" s="8"/>
      <c r="J177" s="8"/>
    </row>
    <row r="178">
      <c r="C178" s="8"/>
      <c r="I178" s="8"/>
      <c r="J178" s="8"/>
    </row>
    <row r="179">
      <c r="C179" s="8"/>
      <c r="I179" s="8"/>
      <c r="J179" s="8"/>
    </row>
    <row r="180">
      <c r="C180" s="8"/>
      <c r="I180" s="8"/>
      <c r="J180" s="8"/>
    </row>
    <row r="181">
      <c r="C181" s="8"/>
      <c r="I181" s="8"/>
      <c r="J181" s="8"/>
    </row>
    <row r="182">
      <c r="C182" s="8"/>
      <c r="I182" s="8"/>
      <c r="J182" s="8"/>
    </row>
    <row r="183">
      <c r="C183" s="8"/>
      <c r="I183" s="8"/>
      <c r="J183" s="8"/>
    </row>
    <row r="184">
      <c r="C184" s="8"/>
      <c r="I184" s="8"/>
      <c r="J184" s="8"/>
    </row>
    <row r="185">
      <c r="C185" s="8"/>
      <c r="I185" s="8"/>
      <c r="J185" s="8"/>
    </row>
    <row r="186">
      <c r="C186" s="8"/>
      <c r="I186" s="8"/>
      <c r="J186" s="8"/>
    </row>
    <row r="187">
      <c r="C187" s="8"/>
      <c r="I187" s="8"/>
      <c r="J187" s="8"/>
    </row>
    <row r="188">
      <c r="C188" s="8"/>
      <c r="I188" s="8"/>
      <c r="J188" s="8"/>
    </row>
    <row r="189">
      <c r="C189" s="8"/>
      <c r="I189" s="8"/>
      <c r="J189" s="8"/>
    </row>
    <row r="190">
      <c r="C190" s="8"/>
      <c r="I190" s="8"/>
      <c r="J190" s="8"/>
    </row>
    <row r="191">
      <c r="C191" s="8"/>
      <c r="I191" s="8"/>
      <c r="J191" s="8"/>
    </row>
    <row r="192">
      <c r="C192" s="8"/>
      <c r="I192" s="8"/>
      <c r="J192" s="8"/>
    </row>
    <row r="193">
      <c r="C193" s="8"/>
      <c r="I193" s="8"/>
      <c r="J193" s="8"/>
    </row>
    <row r="194">
      <c r="C194" s="8"/>
      <c r="I194" s="8"/>
      <c r="J194" s="8"/>
    </row>
    <row r="195">
      <c r="C195" s="8"/>
      <c r="I195" s="8"/>
      <c r="J195" s="8"/>
    </row>
    <row r="196">
      <c r="C196" s="8"/>
      <c r="I196" s="8"/>
      <c r="J196" s="8"/>
    </row>
    <row r="197">
      <c r="C197" s="8"/>
      <c r="I197" s="8"/>
      <c r="J197" s="8"/>
    </row>
    <row r="198">
      <c r="C198" s="8"/>
      <c r="I198" s="8"/>
      <c r="J198" s="8"/>
    </row>
    <row r="199">
      <c r="C199" s="8"/>
      <c r="I199" s="8"/>
      <c r="J199" s="8"/>
    </row>
    <row r="200">
      <c r="C200" s="8"/>
      <c r="I200" s="8"/>
      <c r="J200" s="8"/>
    </row>
    <row r="201">
      <c r="C201" s="8"/>
      <c r="I201" s="8"/>
      <c r="J201" s="8"/>
    </row>
    <row r="202">
      <c r="C202" s="8"/>
      <c r="I202" s="8"/>
      <c r="J202" s="8"/>
    </row>
    <row r="203">
      <c r="C203" s="8"/>
      <c r="I203" s="8"/>
      <c r="J203" s="8"/>
    </row>
    <row r="204">
      <c r="C204" s="8"/>
      <c r="I204" s="8"/>
      <c r="J204" s="8"/>
    </row>
    <row r="205">
      <c r="C205" s="8"/>
      <c r="I205" s="8"/>
      <c r="J205" s="8"/>
    </row>
    <row r="206">
      <c r="C206" s="8"/>
      <c r="I206" s="8"/>
      <c r="J206" s="8"/>
    </row>
    <row r="207">
      <c r="C207" s="8"/>
      <c r="I207" s="8"/>
      <c r="J207" s="8"/>
    </row>
    <row r="208">
      <c r="C208" s="8"/>
      <c r="I208" s="8"/>
      <c r="J208" s="8"/>
    </row>
    <row r="209">
      <c r="C209" s="8"/>
      <c r="I209" s="8"/>
      <c r="J209" s="8"/>
    </row>
    <row r="210">
      <c r="C210" s="8"/>
      <c r="I210" s="8"/>
      <c r="J210" s="8"/>
    </row>
    <row r="211">
      <c r="C211" s="8"/>
      <c r="I211" s="8"/>
      <c r="J211" s="8"/>
    </row>
    <row r="212">
      <c r="C212" s="8"/>
      <c r="I212" s="8"/>
      <c r="J212" s="8"/>
    </row>
    <row r="213">
      <c r="C213" s="8"/>
      <c r="I213" s="8"/>
      <c r="J213" s="8"/>
    </row>
    <row r="214">
      <c r="C214" s="8"/>
      <c r="I214" s="8"/>
      <c r="J214" s="8"/>
    </row>
    <row r="215">
      <c r="C215" s="8"/>
      <c r="I215" s="8"/>
      <c r="J215" s="8"/>
    </row>
    <row r="216">
      <c r="C216" s="8"/>
      <c r="I216" s="8"/>
      <c r="J216" s="8"/>
    </row>
    <row r="217">
      <c r="C217" s="8"/>
      <c r="I217" s="8"/>
      <c r="J217" s="8"/>
    </row>
    <row r="218">
      <c r="C218" s="8"/>
      <c r="I218" s="8"/>
      <c r="J218" s="8"/>
    </row>
    <row r="219">
      <c r="C219" s="8"/>
      <c r="I219" s="8"/>
      <c r="J219" s="8"/>
    </row>
    <row r="220">
      <c r="C220" s="8"/>
      <c r="I220" s="8"/>
      <c r="J220" s="8"/>
    </row>
    <row r="221">
      <c r="C221" s="8"/>
      <c r="I221" s="8"/>
      <c r="J221" s="8"/>
    </row>
    <row r="222">
      <c r="C222" s="8"/>
      <c r="I222" s="8"/>
      <c r="J222" s="8"/>
    </row>
    <row r="223">
      <c r="C223" s="8"/>
      <c r="I223" s="8"/>
      <c r="J223" s="8"/>
    </row>
    <row r="224">
      <c r="C224" s="8"/>
      <c r="I224" s="8"/>
      <c r="J224" s="8"/>
    </row>
    <row r="225">
      <c r="C225" s="8"/>
      <c r="I225" s="8"/>
      <c r="J225" s="8"/>
    </row>
    <row r="226">
      <c r="C226" s="8"/>
      <c r="I226" s="8"/>
      <c r="J226" s="8"/>
    </row>
    <row r="227">
      <c r="C227" s="8"/>
      <c r="I227" s="8"/>
      <c r="J227" s="8"/>
    </row>
    <row r="228">
      <c r="C228" s="8"/>
      <c r="I228" s="8"/>
      <c r="J228" s="8"/>
    </row>
    <row r="229">
      <c r="C229" s="8"/>
      <c r="I229" s="8"/>
      <c r="J229" s="8"/>
    </row>
    <row r="230">
      <c r="C230" s="8"/>
      <c r="I230" s="8"/>
      <c r="J230" s="8"/>
    </row>
    <row r="231">
      <c r="C231" s="8"/>
      <c r="I231" s="8"/>
      <c r="J231" s="8"/>
    </row>
    <row r="232">
      <c r="C232" s="8"/>
      <c r="I232" s="8"/>
      <c r="J232" s="8"/>
    </row>
    <row r="233">
      <c r="C233" s="8"/>
      <c r="I233" s="8"/>
      <c r="J233" s="8"/>
    </row>
    <row r="234">
      <c r="C234" s="8"/>
      <c r="I234" s="8"/>
      <c r="J234" s="8"/>
    </row>
    <row r="235">
      <c r="C235" s="8"/>
      <c r="I235" s="8"/>
      <c r="J235" s="8"/>
    </row>
    <row r="236">
      <c r="C236" s="8"/>
      <c r="I236" s="8"/>
      <c r="J236" s="8"/>
    </row>
    <row r="237">
      <c r="C237" s="8"/>
      <c r="I237" s="8"/>
      <c r="J237" s="8"/>
    </row>
    <row r="238">
      <c r="C238" s="8"/>
      <c r="I238" s="8"/>
      <c r="J238" s="8"/>
    </row>
    <row r="239">
      <c r="C239" s="8"/>
      <c r="I239" s="8"/>
      <c r="J239" s="8"/>
    </row>
    <row r="240">
      <c r="C240" s="8"/>
      <c r="I240" s="8"/>
      <c r="J240" s="8"/>
    </row>
    <row r="241">
      <c r="C241" s="8"/>
      <c r="I241" s="8"/>
      <c r="J241" s="8"/>
    </row>
    <row r="242">
      <c r="C242" s="8"/>
      <c r="I242" s="8"/>
      <c r="J242" s="8"/>
    </row>
    <row r="243">
      <c r="C243" s="8"/>
      <c r="I243" s="8"/>
      <c r="J243" s="8"/>
    </row>
    <row r="244">
      <c r="C244" s="8"/>
      <c r="I244" s="8"/>
      <c r="J244" s="8"/>
    </row>
    <row r="245">
      <c r="C245" s="8"/>
      <c r="I245" s="8"/>
      <c r="J245" s="8"/>
    </row>
    <row r="246">
      <c r="C246" s="8"/>
      <c r="I246" s="8"/>
      <c r="J246" s="8"/>
    </row>
    <row r="247">
      <c r="C247" s="8"/>
      <c r="I247" s="8"/>
      <c r="J247" s="8"/>
    </row>
    <row r="248">
      <c r="C248" s="8"/>
      <c r="I248" s="8"/>
      <c r="J248" s="8"/>
    </row>
    <row r="249">
      <c r="C249" s="8"/>
      <c r="I249" s="8"/>
      <c r="J249" s="8"/>
    </row>
    <row r="250">
      <c r="C250" s="8"/>
      <c r="I250" s="8"/>
      <c r="J250" s="8"/>
    </row>
    <row r="251">
      <c r="C251" s="8"/>
      <c r="I251" s="8"/>
      <c r="J251" s="8"/>
    </row>
    <row r="252">
      <c r="C252" s="8"/>
      <c r="I252" s="8"/>
      <c r="J252" s="8"/>
    </row>
    <row r="253">
      <c r="C253" s="8"/>
      <c r="I253" s="8"/>
      <c r="J253" s="8"/>
    </row>
    <row r="254">
      <c r="C254" s="8"/>
      <c r="I254" s="8"/>
      <c r="J254" s="8"/>
    </row>
    <row r="255">
      <c r="C255" s="8"/>
      <c r="I255" s="8"/>
      <c r="J255" s="8"/>
    </row>
    <row r="256">
      <c r="C256" s="8"/>
      <c r="I256" s="8"/>
      <c r="J256" s="8"/>
    </row>
    <row r="257">
      <c r="C257" s="8"/>
      <c r="I257" s="8"/>
      <c r="J257" s="8"/>
    </row>
    <row r="258">
      <c r="C258" s="8"/>
      <c r="I258" s="8"/>
      <c r="J258" s="8"/>
    </row>
    <row r="259">
      <c r="C259" s="8"/>
      <c r="I259" s="8"/>
      <c r="J259" s="8"/>
    </row>
    <row r="260">
      <c r="C260" s="8"/>
      <c r="I260" s="8"/>
      <c r="J260" s="8"/>
    </row>
    <row r="261">
      <c r="C261" s="8"/>
      <c r="I261" s="8"/>
      <c r="J261" s="8"/>
    </row>
    <row r="262">
      <c r="C262" s="8"/>
      <c r="I262" s="8"/>
      <c r="J262" s="8"/>
    </row>
    <row r="263">
      <c r="C263" s="8"/>
      <c r="I263" s="8"/>
      <c r="J263" s="8"/>
    </row>
    <row r="264">
      <c r="C264" s="8"/>
      <c r="I264" s="8"/>
      <c r="J264" s="8"/>
    </row>
    <row r="265">
      <c r="C265" s="8"/>
      <c r="I265" s="8"/>
      <c r="J265" s="8"/>
    </row>
    <row r="266">
      <c r="C266" s="8"/>
      <c r="I266" s="8"/>
      <c r="J266" s="8"/>
    </row>
    <row r="267">
      <c r="C267" s="8"/>
      <c r="I267" s="8"/>
      <c r="J267" s="8"/>
    </row>
    <row r="268">
      <c r="C268" s="8"/>
      <c r="I268" s="8"/>
      <c r="J268" s="8"/>
    </row>
    <row r="269">
      <c r="C269" s="8"/>
      <c r="I269" s="8"/>
      <c r="J269" s="8"/>
    </row>
    <row r="270">
      <c r="C270" s="8"/>
      <c r="I270" s="8"/>
      <c r="J270" s="8"/>
    </row>
    <row r="271">
      <c r="C271" s="8"/>
      <c r="I271" s="8"/>
      <c r="J271" s="8"/>
    </row>
    <row r="272">
      <c r="C272" s="8"/>
      <c r="I272" s="8"/>
      <c r="J272" s="8"/>
    </row>
    <row r="273">
      <c r="C273" s="8"/>
      <c r="I273" s="8"/>
      <c r="J273" s="8"/>
    </row>
    <row r="274">
      <c r="C274" s="8"/>
      <c r="I274" s="8"/>
      <c r="J274" s="8"/>
    </row>
    <row r="275">
      <c r="C275" s="8"/>
      <c r="I275" s="8"/>
      <c r="J275" s="8"/>
    </row>
    <row r="276">
      <c r="C276" s="8"/>
      <c r="I276" s="8"/>
      <c r="J276" s="8"/>
    </row>
    <row r="277">
      <c r="C277" s="8"/>
      <c r="I277" s="8"/>
      <c r="J277" s="8"/>
    </row>
    <row r="278">
      <c r="C278" s="8"/>
      <c r="I278" s="8"/>
      <c r="J278" s="8"/>
    </row>
    <row r="279">
      <c r="C279" s="8"/>
      <c r="I279" s="8"/>
      <c r="J279" s="8"/>
    </row>
    <row r="280">
      <c r="C280" s="8"/>
      <c r="I280" s="8"/>
      <c r="J280" s="8"/>
    </row>
    <row r="281">
      <c r="C281" s="8"/>
      <c r="I281" s="8"/>
      <c r="J281" s="8"/>
    </row>
    <row r="282">
      <c r="C282" s="8"/>
      <c r="I282" s="8"/>
      <c r="J282" s="8"/>
    </row>
    <row r="283">
      <c r="C283" s="8"/>
      <c r="I283" s="8"/>
      <c r="J283" s="8"/>
    </row>
    <row r="284">
      <c r="C284" s="8"/>
      <c r="I284" s="8"/>
      <c r="J284" s="8"/>
    </row>
    <row r="285">
      <c r="C285" s="8"/>
      <c r="I285" s="8"/>
      <c r="J285" s="8"/>
    </row>
    <row r="286">
      <c r="C286" s="8"/>
      <c r="I286" s="8"/>
      <c r="J286" s="8"/>
    </row>
    <row r="287">
      <c r="C287" s="8"/>
      <c r="I287" s="8"/>
      <c r="J287" s="8"/>
    </row>
    <row r="288">
      <c r="C288" s="8"/>
      <c r="I288" s="8"/>
      <c r="J288" s="8"/>
    </row>
    <row r="289">
      <c r="C289" s="8"/>
      <c r="I289" s="8"/>
      <c r="J289" s="8"/>
    </row>
    <row r="290">
      <c r="C290" s="8"/>
      <c r="I290" s="8"/>
      <c r="J290" s="8"/>
    </row>
    <row r="291">
      <c r="C291" s="8"/>
      <c r="I291" s="8"/>
      <c r="J291" s="8"/>
    </row>
    <row r="292">
      <c r="C292" s="8"/>
      <c r="I292" s="8"/>
      <c r="J292" s="8"/>
    </row>
    <row r="293">
      <c r="C293" s="8"/>
      <c r="I293" s="8"/>
      <c r="J293" s="8"/>
    </row>
    <row r="294">
      <c r="C294" s="8"/>
      <c r="I294" s="8"/>
      <c r="J294" s="8"/>
    </row>
    <row r="295">
      <c r="C295" s="8"/>
      <c r="I295" s="8"/>
      <c r="J295" s="8"/>
    </row>
    <row r="296">
      <c r="C296" s="8"/>
      <c r="I296" s="8"/>
      <c r="J296" s="8"/>
    </row>
    <row r="297">
      <c r="C297" s="8"/>
      <c r="I297" s="8"/>
      <c r="J297" s="8"/>
    </row>
    <row r="298">
      <c r="C298" s="8"/>
      <c r="I298" s="8"/>
      <c r="J298" s="8"/>
    </row>
    <row r="299">
      <c r="C299" s="8"/>
      <c r="I299" s="8"/>
      <c r="J299" s="8"/>
    </row>
    <row r="300">
      <c r="C300" s="8"/>
      <c r="I300" s="8"/>
      <c r="J300" s="8"/>
    </row>
    <row r="301">
      <c r="C301" s="8"/>
      <c r="I301" s="8"/>
      <c r="J301" s="8"/>
    </row>
    <row r="302">
      <c r="C302" s="8"/>
      <c r="I302" s="8"/>
      <c r="J302" s="8"/>
    </row>
    <row r="303">
      <c r="C303" s="8"/>
      <c r="I303" s="8"/>
      <c r="J303" s="8"/>
    </row>
    <row r="304">
      <c r="C304" s="8"/>
      <c r="I304" s="8"/>
      <c r="J304" s="8"/>
    </row>
    <row r="305">
      <c r="C305" s="8"/>
      <c r="I305" s="8"/>
      <c r="J305" s="8"/>
    </row>
    <row r="306">
      <c r="C306" s="8"/>
      <c r="I306" s="8"/>
      <c r="J306" s="8"/>
    </row>
    <row r="307">
      <c r="C307" s="8"/>
      <c r="I307" s="8"/>
      <c r="J307" s="8"/>
    </row>
    <row r="308">
      <c r="C308" s="8"/>
      <c r="I308" s="8"/>
      <c r="J308" s="8"/>
    </row>
    <row r="309">
      <c r="C309" s="8"/>
      <c r="I309" s="8"/>
      <c r="J309" s="8"/>
    </row>
    <row r="310">
      <c r="C310" s="8"/>
      <c r="I310" s="8"/>
      <c r="J310" s="8"/>
    </row>
    <row r="311">
      <c r="C311" s="8"/>
      <c r="I311" s="8"/>
      <c r="J311" s="8"/>
    </row>
    <row r="312">
      <c r="C312" s="8"/>
      <c r="I312" s="8"/>
      <c r="J312" s="8"/>
    </row>
    <row r="313">
      <c r="C313" s="8"/>
      <c r="I313" s="8"/>
      <c r="J313" s="8"/>
    </row>
    <row r="314">
      <c r="C314" s="8"/>
      <c r="I314" s="8"/>
      <c r="J314" s="8"/>
    </row>
    <row r="315">
      <c r="C315" s="8"/>
      <c r="I315" s="8"/>
      <c r="J315" s="8"/>
    </row>
    <row r="316">
      <c r="C316" s="8"/>
      <c r="I316" s="8"/>
      <c r="J316" s="8"/>
    </row>
    <row r="317">
      <c r="C317" s="8"/>
      <c r="I317" s="8"/>
      <c r="J317" s="8"/>
    </row>
    <row r="318">
      <c r="C318" s="8"/>
      <c r="I318" s="8"/>
      <c r="J318" s="8"/>
    </row>
    <row r="319">
      <c r="C319" s="8"/>
      <c r="I319" s="8"/>
      <c r="J319" s="8"/>
    </row>
    <row r="320">
      <c r="C320" s="8"/>
      <c r="I320" s="8"/>
      <c r="J320" s="8"/>
    </row>
    <row r="321">
      <c r="C321" s="8"/>
      <c r="I321" s="8"/>
      <c r="J321" s="8"/>
    </row>
    <row r="322">
      <c r="C322" s="8"/>
      <c r="I322" s="8"/>
      <c r="J322" s="8"/>
    </row>
    <row r="323">
      <c r="C323" s="8"/>
      <c r="I323" s="8"/>
      <c r="J323" s="8"/>
    </row>
    <row r="324">
      <c r="C324" s="8"/>
      <c r="I324" s="8"/>
      <c r="J324" s="8"/>
    </row>
    <row r="325">
      <c r="C325" s="8"/>
      <c r="I325" s="8"/>
      <c r="J325" s="8"/>
    </row>
    <row r="326">
      <c r="C326" s="8"/>
      <c r="I326" s="8"/>
      <c r="J326" s="8"/>
    </row>
    <row r="327">
      <c r="C327" s="8"/>
      <c r="I327" s="8"/>
      <c r="J327" s="8"/>
    </row>
    <row r="328">
      <c r="C328" s="8"/>
      <c r="I328" s="8"/>
      <c r="J328" s="8"/>
    </row>
    <row r="329">
      <c r="C329" s="8"/>
      <c r="I329" s="8"/>
      <c r="J329" s="8"/>
    </row>
    <row r="330">
      <c r="C330" s="8"/>
      <c r="I330" s="8"/>
      <c r="J330" s="8"/>
    </row>
    <row r="331">
      <c r="C331" s="8"/>
      <c r="I331" s="8"/>
      <c r="J331" s="8"/>
    </row>
    <row r="332">
      <c r="C332" s="8"/>
      <c r="I332" s="8"/>
      <c r="J332" s="8"/>
    </row>
    <row r="333">
      <c r="C333" s="8"/>
      <c r="I333" s="8"/>
      <c r="J333" s="8"/>
    </row>
    <row r="334">
      <c r="C334" s="8"/>
      <c r="I334" s="8"/>
      <c r="J334" s="8"/>
    </row>
    <row r="335">
      <c r="C335" s="8"/>
      <c r="I335" s="8"/>
      <c r="J335" s="8"/>
    </row>
    <row r="336">
      <c r="C336" s="8"/>
      <c r="I336" s="8"/>
      <c r="J336" s="8"/>
    </row>
    <row r="337">
      <c r="C337" s="8"/>
      <c r="I337" s="8"/>
      <c r="J337" s="8"/>
    </row>
    <row r="338">
      <c r="C338" s="8"/>
      <c r="I338" s="8"/>
      <c r="J338" s="8"/>
    </row>
    <row r="339">
      <c r="C339" s="8"/>
      <c r="I339" s="8"/>
      <c r="J339" s="8"/>
    </row>
    <row r="340">
      <c r="C340" s="8"/>
      <c r="I340" s="8"/>
      <c r="J340" s="8"/>
    </row>
    <row r="341">
      <c r="C341" s="8"/>
      <c r="I341" s="8"/>
      <c r="J341" s="8"/>
    </row>
    <row r="342">
      <c r="C342" s="8"/>
      <c r="I342" s="8"/>
      <c r="J342" s="8"/>
    </row>
    <row r="343">
      <c r="C343" s="8"/>
      <c r="I343" s="8"/>
      <c r="J343" s="8"/>
    </row>
    <row r="344">
      <c r="C344" s="8"/>
      <c r="I344" s="8"/>
      <c r="J344" s="8"/>
    </row>
    <row r="345">
      <c r="C345" s="8"/>
      <c r="I345" s="8"/>
      <c r="J345" s="8"/>
    </row>
    <row r="346">
      <c r="C346" s="8"/>
      <c r="I346" s="8"/>
      <c r="J346" s="8"/>
    </row>
    <row r="347">
      <c r="C347" s="8"/>
      <c r="I347" s="8"/>
      <c r="J347" s="8"/>
    </row>
    <row r="348">
      <c r="C348" s="8"/>
      <c r="I348" s="8"/>
      <c r="J348" s="8"/>
    </row>
    <row r="349">
      <c r="C349" s="8"/>
      <c r="I349" s="8"/>
      <c r="J349" s="8"/>
    </row>
    <row r="350">
      <c r="C350" s="8"/>
      <c r="I350" s="8"/>
      <c r="J350" s="8"/>
    </row>
    <row r="351">
      <c r="C351" s="8"/>
      <c r="I351" s="8"/>
      <c r="J351" s="8"/>
    </row>
    <row r="352">
      <c r="C352" s="8"/>
      <c r="I352" s="8"/>
      <c r="J352" s="8"/>
    </row>
    <row r="353">
      <c r="C353" s="8"/>
      <c r="I353" s="8"/>
      <c r="J353" s="8"/>
    </row>
    <row r="354">
      <c r="C354" s="8"/>
      <c r="I354" s="8"/>
      <c r="J354" s="8"/>
    </row>
    <row r="355">
      <c r="C355" s="8"/>
      <c r="I355" s="8"/>
      <c r="J355" s="8"/>
    </row>
    <row r="356">
      <c r="C356" s="8"/>
      <c r="I356" s="8"/>
      <c r="J356" s="8"/>
    </row>
    <row r="357">
      <c r="C357" s="8"/>
      <c r="I357" s="8"/>
      <c r="J357" s="8"/>
    </row>
    <row r="358">
      <c r="C358" s="8"/>
      <c r="I358" s="8"/>
      <c r="J358" s="8"/>
    </row>
    <row r="359">
      <c r="C359" s="8"/>
      <c r="I359" s="8"/>
      <c r="J359" s="8"/>
    </row>
    <row r="360">
      <c r="C360" s="8"/>
      <c r="I360" s="8"/>
      <c r="J360" s="8"/>
    </row>
    <row r="361">
      <c r="C361" s="8"/>
      <c r="I361" s="8"/>
      <c r="J361" s="8"/>
    </row>
    <row r="362">
      <c r="C362" s="8"/>
      <c r="I362" s="8"/>
      <c r="J362" s="8"/>
    </row>
    <row r="363">
      <c r="C363" s="8"/>
      <c r="I363" s="8"/>
      <c r="J363" s="8"/>
    </row>
    <row r="364">
      <c r="C364" s="8"/>
      <c r="I364" s="8"/>
      <c r="J364" s="8"/>
    </row>
    <row r="365">
      <c r="C365" s="8"/>
      <c r="I365" s="8"/>
      <c r="J365" s="8"/>
    </row>
    <row r="366">
      <c r="C366" s="8"/>
      <c r="I366" s="8"/>
      <c r="J366" s="8"/>
    </row>
    <row r="367">
      <c r="C367" s="8"/>
      <c r="I367" s="8"/>
      <c r="J367" s="8"/>
    </row>
    <row r="368">
      <c r="C368" s="8"/>
      <c r="I368" s="8"/>
      <c r="J368" s="8"/>
    </row>
    <row r="369">
      <c r="C369" s="8"/>
      <c r="I369" s="8"/>
      <c r="J369" s="8"/>
    </row>
    <row r="370">
      <c r="C370" s="8"/>
      <c r="I370" s="8"/>
      <c r="J370" s="8"/>
    </row>
    <row r="371">
      <c r="C371" s="8"/>
      <c r="I371" s="8"/>
      <c r="J371" s="8"/>
    </row>
    <row r="372">
      <c r="C372" s="8"/>
      <c r="I372" s="8"/>
      <c r="J372" s="8"/>
    </row>
    <row r="373">
      <c r="C373" s="8"/>
      <c r="I373" s="8"/>
      <c r="J373" s="8"/>
    </row>
    <row r="374">
      <c r="C374" s="8"/>
      <c r="I374" s="8"/>
      <c r="J374" s="8"/>
    </row>
    <row r="375">
      <c r="C375" s="8"/>
      <c r="I375" s="8"/>
      <c r="J375" s="8"/>
    </row>
    <row r="376">
      <c r="C376" s="8"/>
      <c r="I376" s="8"/>
      <c r="J376" s="8"/>
    </row>
    <row r="377">
      <c r="C377" s="8"/>
      <c r="I377" s="8"/>
      <c r="J377" s="8"/>
    </row>
    <row r="378">
      <c r="C378" s="8"/>
      <c r="I378" s="8"/>
      <c r="J378" s="8"/>
    </row>
    <row r="379">
      <c r="C379" s="8"/>
      <c r="I379" s="8"/>
      <c r="J379" s="8"/>
    </row>
    <row r="380">
      <c r="C380" s="8"/>
      <c r="I380" s="8"/>
      <c r="J380" s="8"/>
    </row>
    <row r="381">
      <c r="C381" s="8"/>
      <c r="I381" s="8"/>
      <c r="J381" s="8"/>
    </row>
    <row r="382">
      <c r="C382" s="8"/>
      <c r="I382" s="8"/>
      <c r="J382" s="8"/>
    </row>
    <row r="383">
      <c r="C383" s="8"/>
      <c r="I383" s="8"/>
      <c r="J383" s="8"/>
    </row>
    <row r="384">
      <c r="C384" s="8"/>
      <c r="I384" s="8"/>
      <c r="J384" s="8"/>
    </row>
    <row r="385">
      <c r="C385" s="8"/>
      <c r="I385" s="8"/>
      <c r="J385" s="8"/>
    </row>
    <row r="386">
      <c r="C386" s="8"/>
      <c r="I386" s="8"/>
      <c r="J386" s="8"/>
    </row>
    <row r="387">
      <c r="C387" s="8"/>
      <c r="I387" s="8"/>
      <c r="J387" s="8"/>
    </row>
    <row r="388">
      <c r="C388" s="8"/>
      <c r="I388" s="8"/>
      <c r="J388" s="8"/>
    </row>
    <row r="389">
      <c r="C389" s="8"/>
      <c r="I389" s="8"/>
      <c r="J389" s="8"/>
    </row>
    <row r="390">
      <c r="C390" s="8"/>
      <c r="I390" s="8"/>
      <c r="J390" s="8"/>
    </row>
    <row r="391">
      <c r="C391" s="8"/>
      <c r="I391" s="8"/>
      <c r="J391" s="8"/>
    </row>
    <row r="392">
      <c r="C392" s="8"/>
      <c r="I392" s="8"/>
      <c r="J392" s="8"/>
    </row>
    <row r="393">
      <c r="C393" s="8"/>
      <c r="I393" s="8"/>
      <c r="J393" s="8"/>
    </row>
    <row r="394">
      <c r="C394" s="8"/>
      <c r="I394" s="8"/>
      <c r="J394" s="8"/>
    </row>
    <row r="395">
      <c r="C395" s="8"/>
      <c r="I395" s="8"/>
      <c r="J395" s="8"/>
    </row>
    <row r="396">
      <c r="C396" s="8"/>
      <c r="I396" s="8"/>
      <c r="J396" s="8"/>
    </row>
    <row r="397">
      <c r="C397" s="8"/>
      <c r="I397" s="8"/>
      <c r="J397" s="8"/>
    </row>
    <row r="398">
      <c r="C398" s="8"/>
      <c r="I398" s="8"/>
      <c r="J398" s="8"/>
    </row>
    <row r="399">
      <c r="C399" s="8"/>
      <c r="I399" s="8"/>
      <c r="J399" s="8"/>
    </row>
    <row r="400">
      <c r="C400" s="8"/>
      <c r="I400" s="8"/>
      <c r="J400" s="8"/>
    </row>
    <row r="401">
      <c r="C401" s="8"/>
      <c r="I401" s="8"/>
      <c r="J401" s="8"/>
    </row>
    <row r="402">
      <c r="C402" s="8"/>
      <c r="I402" s="8"/>
      <c r="J402" s="8"/>
    </row>
    <row r="403">
      <c r="C403" s="8"/>
      <c r="I403" s="8"/>
      <c r="J403" s="8"/>
    </row>
    <row r="404">
      <c r="C404" s="8"/>
      <c r="I404" s="8"/>
      <c r="J404" s="8"/>
    </row>
    <row r="405">
      <c r="C405" s="8"/>
      <c r="I405" s="8"/>
      <c r="J405" s="8"/>
    </row>
    <row r="406">
      <c r="C406" s="8"/>
      <c r="I406" s="8"/>
      <c r="J406" s="8"/>
    </row>
    <row r="407">
      <c r="C407" s="8"/>
      <c r="I407" s="8"/>
      <c r="J407" s="8"/>
    </row>
    <row r="408">
      <c r="C408" s="8"/>
      <c r="I408" s="8"/>
      <c r="J408" s="8"/>
    </row>
    <row r="409">
      <c r="C409" s="8"/>
      <c r="I409" s="8"/>
      <c r="J409" s="8"/>
    </row>
    <row r="410">
      <c r="C410" s="8"/>
      <c r="I410" s="8"/>
      <c r="J410" s="8"/>
    </row>
    <row r="411">
      <c r="C411" s="8"/>
      <c r="I411" s="8"/>
      <c r="J411" s="8"/>
    </row>
    <row r="412">
      <c r="C412" s="8"/>
      <c r="I412" s="8"/>
      <c r="J412" s="8"/>
    </row>
    <row r="413">
      <c r="C413" s="8"/>
      <c r="I413" s="8"/>
      <c r="J413" s="8"/>
    </row>
    <row r="414">
      <c r="C414" s="8"/>
      <c r="I414" s="8"/>
      <c r="J414" s="8"/>
    </row>
    <row r="415">
      <c r="C415" s="8"/>
      <c r="I415" s="8"/>
      <c r="J415" s="8"/>
    </row>
    <row r="416">
      <c r="C416" s="8"/>
      <c r="I416" s="8"/>
      <c r="J416" s="8"/>
    </row>
    <row r="417">
      <c r="C417" s="8"/>
      <c r="I417" s="8"/>
      <c r="J417" s="8"/>
    </row>
    <row r="418">
      <c r="C418" s="8"/>
      <c r="I418" s="8"/>
      <c r="J418" s="8"/>
    </row>
    <row r="419">
      <c r="C419" s="8"/>
      <c r="I419" s="8"/>
      <c r="J419" s="8"/>
    </row>
    <row r="420">
      <c r="C420" s="8"/>
      <c r="I420" s="8"/>
      <c r="J420" s="8"/>
    </row>
    <row r="421">
      <c r="C421" s="8"/>
      <c r="I421" s="8"/>
      <c r="J421" s="8"/>
    </row>
    <row r="422">
      <c r="C422" s="8"/>
      <c r="I422" s="8"/>
      <c r="J422" s="8"/>
    </row>
    <row r="423">
      <c r="C423" s="8"/>
      <c r="I423" s="8"/>
      <c r="J423" s="8"/>
    </row>
    <row r="424">
      <c r="C424" s="8"/>
      <c r="I424" s="8"/>
      <c r="J424" s="8"/>
    </row>
    <row r="425">
      <c r="C425" s="8"/>
      <c r="I425" s="8"/>
      <c r="J425" s="8"/>
    </row>
    <row r="426">
      <c r="C426" s="8"/>
      <c r="I426" s="8"/>
      <c r="J426" s="8"/>
    </row>
    <row r="427">
      <c r="C427" s="8"/>
      <c r="I427" s="8"/>
      <c r="J427" s="8"/>
    </row>
    <row r="428">
      <c r="C428" s="8"/>
      <c r="I428" s="8"/>
      <c r="J428" s="8"/>
    </row>
    <row r="429">
      <c r="C429" s="8"/>
      <c r="I429" s="8"/>
      <c r="J429" s="8"/>
    </row>
    <row r="430">
      <c r="C430" s="8"/>
      <c r="I430" s="8"/>
      <c r="J430" s="8"/>
    </row>
    <row r="431">
      <c r="C431" s="8"/>
      <c r="I431" s="8"/>
      <c r="J431" s="8"/>
    </row>
    <row r="432">
      <c r="C432" s="8"/>
      <c r="I432" s="8"/>
      <c r="J432" s="8"/>
    </row>
    <row r="433">
      <c r="C433" s="8"/>
      <c r="I433" s="8"/>
      <c r="J433" s="8"/>
    </row>
    <row r="434">
      <c r="C434" s="8"/>
      <c r="I434" s="8"/>
      <c r="J434" s="8"/>
    </row>
    <row r="435">
      <c r="C435" s="8"/>
      <c r="I435" s="8"/>
      <c r="J435" s="8"/>
    </row>
    <row r="436">
      <c r="C436" s="8"/>
      <c r="I436" s="8"/>
      <c r="J436" s="8"/>
    </row>
    <row r="437">
      <c r="C437" s="8"/>
      <c r="I437" s="8"/>
      <c r="J437" s="8"/>
    </row>
    <row r="438">
      <c r="C438" s="8"/>
      <c r="I438" s="8"/>
      <c r="J438" s="8"/>
    </row>
    <row r="439">
      <c r="C439" s="8"/>
      <c r="I439" s="8"/>
      <c r="J439" s="8"/>
    </row>
    <row r="440">
      <c r="C440" s="8"/>
      <c r="I440" s="8"/>
      <c r="J440" s="8"/>
    </row>
    <row r="441">
      <c r="C441" s="8"/>
      <c r="I441" s="8"/>
      <c r="J441" s="8"/>
    </row>
    <row r="442">
      <c r="C442" s="8"/>
      <c r="I442" s="8"/>
      <c r="J442" s="8"/>
    </row>
    <row r="443">
      <c r="C443" s="8"/>
      <c r="I443" s="8"/>
      <c r="J443" s="8"/>
    </row>
    <row r="444">
      <c r="C444" s="8"/>
      <c r="I444" s="8"/>
      <c r="J444" s="8"/>
    </row>
    <row r="445">
      <c r="C445" s="8"/>
      <c r="I445" s="8"/>
      <c r="J445" s="8"/>
    </row>
    <row r="446">
      <c r="C446" s="8"/>
      <c r="I446" s="8"/>
      <c r="J446" s="8"/>
    </row>
    <row r="447">
      <c r="C447" s="8"/>
      <c r="I447" s="8"/>
      <c r="J447" s="8"/>
    </row>
    <row r="448">
      <c r="C448" s="8"/>
      <c r="I448" s="8"/>
      <c r="J448" s="8"/>
    </row>
    <row r="449">
      <c r="C449" s="8"/>
      <c r="I449" s="8"/>
      <c r="J449" s="8"/>
    </row>
    <row r="450">
      <c r="C450" s="8"/>
      <c r="I450" s="8"/>
      <c r="J450" s="8"/>
    </row>
    <row r="451">
      <c r="C451" s="8"/>
      <c r="I451" s="8"/>
      <c r="J451" s="8"/>
    </row>
    <row r="452">
      <c r="C452" s="8"/>
      <c r="I452" s="8"/>
      <c r="J452" s="8"/>
    </row>
    <row r="453">
      <c r="C453" s="8"/>
      <c r="I453" s="8"/>
      <c r="J453" s="8"/>
    </row>
    <row r="454">
      <c r="C454" s="8"/>
      <c r="I454" s="8"/>
      <c r="J454" s="8"/>
    </row>
    <row r="455">
      <c r="C455" s="8"/>
      <c r="I455" s="8"/>
      <c r="J455" s="8"/>
    </row>
    <row r="456">
      <c r="C456" s="8"/>
      <c r="I456" s="8"/>
      <c r="J456" s="8"/>
    </row>
    <row r="457">
      <c r="C457" s="8"/>
      <c r="I457" s="8"/>
      <c r="J457" s="8"/>
    </row>
    <row r="458">
      <c r="C458" s="8"/>
      <c r="I458" s="8"/>
      <c r="J458" s="8"/>
    </row>
    <row r="459">
      <c r="C459" s="8"/>
      <c r="I459" s="8"/>
      <c r="J459" s="8"/>
    </row>
    <row r="460">
      <c r="C460" s="8"/>
      <c r="I460" s="8"/>
      <c r="J460" s="8"/>
    </row>
    <row r="461">
      <c r="C461" s="8"/>
      <c r="I461" s="8"/>
      <c r="J461" s="8"/>
    </row>
    <row r="462">
      <c r="C462" s="8"/>
      <c r="I462" s="8"/>
      <c r="J462" s="8"/>
    </row>
    <row r="463">
      <c r="C463" s="8"/>
      <c r="I463" s="8"/>
      <c r="J463" s="8"/>
    </row>
    <row r="464">
      <c r="C464" s="8"/>
      <c r="I464" s="8"/>
      <c r="J464" s="8"/>
    </row>
    <row r="465">
      <c r="C465" s="8"/>
      <c r="I465" s="8"/>
      <c r="J465" s="8"/>
    </row>
    <row r="466">
      <c r="C466" s="8"/>
      <c r="I466" s="8"/>
      <c r="J466" s="8"/>
    </row>
    <row r="467">
      <c r="C467" s="8"/>
      <c r="I467" s="8"/>
      <c r="J467" s="8"/>
    </row>
    <row r="468">
      <c r="C468" s="8"/>
      <c r="I468" s="8"/>
      <c r="J468" s="8"/>
    </row>
    <row r="469">
      <c r="C469" s="8"/>
      <c r="I469" s="8"/>
      <c r="J469" s="8"/>
    </row>
    <row r="470">
      <c r="C470" s="8"/>
      <c r="I470" s="8"/>
      <c r="J470" s="8"/>
    </row>
    <row r="471">
      <c r="C471" s="8"/>
      <c r="I471" s="8"/>
      <c r="J471" s="8"/>
    </row>
    <row r="472">
      <c r="C472" s="8"/>
      <c r="I472" s="8"/>
      <c r="J472" s="8"/>
    </row>
    <row r="473">
      <c r="C473" s="8"/>
      <c r="I473" s="8"/>
      <c r="J473" s="8"/>
    </row>
    <row r="474">
      <c r="C474" s="8"/>
      <c r="I474" s="8"/>
      <c r="J474" s="8"/>
    </row>
    <row r="475">
      <c r="C475" s="8"/>
      <c r="I475" s="8"/>
      <c r="J475" s="8"/>
    </row>
    <row r="476">
      <c r="C476" s="8"/>
      <c r="I476" s="8"/>
      <c r="J476" s="8"/>
    </row>
    <row r="477">
      <c r="C477" s="8"/>
      <c r="I477" s="8"/>
      <c r="J477" s="8"/>
    </row>
    <row r="478">
      <c r="C478" s="8"/>
      <c r="I478" s="8"/>
      <c r="J478" s="8"/>
    </row>
    <row r="479">
      <c r="C479" s="8"/>
      <c r="I479" s="8"/>
      <c r="J479" s="8"/>
    </row>
    <row r="480">
      <c r="C480" s="8"/>
      <c r="I480" s="8"/>
      <c r="J480" s="8"/>
    </row>
    <row r="481">
      <c r="C481" s="8"/>
      <c r="I481" s="8"/>
      <c r="J481" s="8"/>
    </row>
    <row r="482">
      <c r="C482" s="8"/>
      <c r="I482" s="8"/>
      <c r="J482" s="8"/>
    </row>
    <row r="483">
      <c r="C483" s="8"/>
      <c r="I483" s="8"/>
      <c r="J483" s="8"/>
    </row>
    <row r="484">
      <c r="C484" s="8"/>
      <c r="I484" s="8"/>
      <c r="J484" s="8"/>
    </row>
    <row r="485">
      <c r="C485" s="8"/>
      <c r="I485" s="8"/>
      <c r="J485" s="8"/>
    </row>
    <row r="486">
      <c r="C486" s="8"/>
      <c r="I486" s="8"/>
      <c r="J486" s="8"/>
    </row>
    <row r="487">
      <c r="C487" s="8"/>
      <c r="I487" s="8"/>
      <c r="J487" s="8"/>
    </row>
    <row r="488">
      <c r="C488" s="8"/>
      <c r="I488" s="8"/>
      <c r="J488" s="8"/>
    </row>
    <row r="489">
      <c r="C489" s="8"/>
      <c r="I489" s="8"/>
      <c r="J489" s="8"/>
    </row>
    <row r="490">
      <c r="C490" s="8"/>
      <c r="I490" s="8"/>
      <c r="J490" s="8"/>
    </row>
    <row r="491">
      <c r="C491" s="8"/>
      <c r="I491" s="8"/>
      <c r="J491" s="8"/>
    </row>
    <row r="492">
      <c r="C492" s="8"/>
      <c r="I492" s="8"/>
      <c r="J492" s="8"/>
    </row>
    <row r="493">
      <c r="C493" s="8"/>
      <c r="I493" s="8"/>
      <c r="J493" s="8"/>
    </row>
    <row r="494">
      <c r="C494" s="8"/>
      <c r="I494" s="8"/>
      <c r="J494" s="8"/>
    </row>
    <row r="495">
      <c r="C495" s="8"/>
      <c r="I495" s="8"/>
      <c r="J495" s="8"/>
    </row>
    <row r="496">
      <c r="C496" s="8"/>
      <c r="I496" s="8"/>
      <c r="J496" s="8"/>
    </row>
    <row r="497">
      <c r="C497" s="8"/>
      <c r="I497" s="8"/>
      <c r="J497" s="8"/>
    </row>
    <row r="498">
      <c r="C498" s="8"/>
      <c r="I498" s="8"/>
      <c r="J498" s="8"/>
    </row>
    <row r="499">
      <c r="C499" s="8"/>
      <c r="I499" s="8"/>
      <c r="J499" s="8"/>
    </row>
    <row r="500">
      <c r="C500" s="8"/>
      <c r="I500" s="8"/>
      <c r="J500" s="8"/>
    </row>
    <row r="501">
      <c r="C501" s="8"/>
      <c r="I501" s="8"/>
      <c r="J501" s="8"/>
    </row>
    <row r="502">
      <c r="C502" s="8"/>
      <c r="I502" s="8"/>
      <c r="J502" s="8"/>
    </row>
    <row r="503">
      <c r="C503" s="8"/>
      <c r="I503" s="8"/>
      <c r="J503" s="8"/>
    </row>
    <row r="504">
      <c r="C504" s="8"/>
      <c r="I504" s="8"/>
      <c r="J504" s="8"/>
    </row>
    <row r="505">
      <c r="C505" s="8"/>
      <c r="I505" s="8"/>
      <c r="J505" s="8"/>
    </row>
    <row r="506">
      <c r="C506" s="8"/>
      <c r="I506" s="8"/>
      <c r="J506" s="8"/>
    </row>
    <row r="507">
      <c r="C507" s="8"/>
      <c r="I507" s="8"/>
      <c r="J507" s="8"/>
    </row>
    <row r="508">
      <c r="C508" s="8"/>
      <c r="I508" s="8"/>
      <c r="J508" s="8"/>
    </row>
    <row r="509">
      <c r="C509" s="8"/>
      <c r="I509" s="8"/>
      <c r="J509" s="8"/>
    </row>
    <row r="510">
      <c r="C510" s="8"/>
      <c r="I510" s="8"/>
      <c r="J510" s="8"/>
    </row>
    <row r="511">
      <c r="C511" s="8"/>
      <c r="I511" s="8"/>
      <c r="J511" s="8"/>
    </row>
    <row r="512">
      <c r="C512" s="8"/>
      <c r="I512" s="8"/>
      <c r="J512" s="8"/>
    </row>
    <row r="513">
      <c r="C513" s="8"/>
      <c r="I513" s="8"/>
      <c r="J513" s="8"/>
    </row>
    <row r="514">
      <c r="C514" s="8"/>
      <c r="I514" s="8"/>
      <c r="J514" s="8"/>
    </row>
    <row r="515">
      <c r="C515" s="8"/>
      <c r="I515" s="8"/>
      <c r="J515" s="8"/>
    </row>
    <row r="516">
      <c r="C516" s="8"/>
      <c r="I516" s="8"/>
      <c r="J516" s="8"/>
    </row>
    <row r="517">
      <c r="C517" s="8"/>
      <c r="I517" s="8"/>
      <c r="J517" s="8"/>
    </row>
    <row r="518">
      <c r="C518" s="8"/>
      <c r="I518" s="8"/>
      <c r="J518" s="8"/>
    </row>
    <row r="519">
      <c r="C519" s="8"/>
      <c r="I519" s="8"/>
      <c r="J519" s="8"/>
    </row>
    <row r="520">
      <c r="C520" s="8"/>
      <c r="I520" s="8"/>
      <c r="J520" s="8"/>
    </row>
    <row r="521">
      <c r="C521" s="8"/>
      <c r="I521" s="8"/>
      <c r="J521" s="8"/>
    </row>
    <row r="522">
      <c r="C522" s="8"/>
      <c r="I522" s="8"/>
      <c r="J522" s="8"/>
    </row>
    <row r="523">
      <c r="C523" s="8"/>
      <c r="I523" s="8"/>
      <c r="J523" s="8"/>
    </row>
    <row r="524">
      <c r="C524" s="8"/>
      <c r="I524" s="8"/>
      <c r="J524" s="8"/>
    </row>
    <row r="525">
      <c r="C525" s="8"/>
      <c r="I525" s="8"/>
      <c r="J525" s="8"/>
    </row>
    <row r="526">
      <c r="C526" s="8"/>
      <c r="I526" s="8"/>
      <c r="J526" s="8"/>
    </row>
    <row r="527">
      <c r="C527" s="8"/>
      <c r="I527" s="8"/>
      <c r="J527" s="8"/>
    </row>
    <row r="528">
      <c r="C528" s="8"/>
      <c r="I528" s="8"/>
      <c r="J528" s="8"/>
    </row>
    <row r="529">
      <c r="C529" s="8"/>
      <c r="I529" s="8"/>
      <c r="J529" s="8"/>
    </row>
    <row r="530">
      <c r="C530" s="8"/>
      <c r="I530" s="8"/>
      <c r="J530" s="8"/>
    </row>
    <row r="531">
      <c r="C531" s="8"/>
      <c r="I531" s="8"/>
      <c r="J531" s="8"/>
    </row>
    <row r="532">
      <c r="C532" s="8"/>
      <c r="I532" s="8"/>
      <c r="J532" s="8"/>
    </row>
    <row r="533">
      <c r="C533" s="8"/>
      <c r="I533" s="8"/>
      <c r="J533" s="8"/>
    </row>
    <row r="534">
      <c r="C534" s="8"/>
      <c r="I534" s="8"/>
      <c r="J534" s="8"/>
    </row>
    <row r="535">
      <c r="C535" s="8"/>
      <c r="I535" s="8"/>
      <c r="J535" s="8"/>
    </row>
    <row r="536">
      <c r="C536" s="8"/>
      <c r="I536" s="8"/>
      <c r="J536" s="8"/>
    </row>
    <row r="537">
      <c r="C537" s="8"/>
      <c r="I537" s="8"/>
      <c r="J537" s="8"/>
    </row>
    <row r="538">
      <c r="C538" s="8"/>
      <c r="I538" s="8"/>
      <c r="J538" s="8"/>
    </row>
    <row r="539">
      <c r="C539" s="8"/>
      <c r="I539" s="8"/>
      <c r="J539" s="8"/>
    </row>
    <row r="540">
      <c r="C540" s="8"/>
      <c r="I540" s="8"/>
      <c r="J540" s="8"/>
    </row>
    <row r="541">
      <c r="C541" s="8"/>
      <c r="I541" s="8"/>
      <c r="J541" s="8"/>
    </row>
    <row r="542">
      <c r="C542" s="8"/>
      <c r="I542" s="8"/>
      <c r="J542" s="8"/>
    </row>
    <row r="543">
      <c r="C543" s="8"/>
      <c r="I543" s="8"/>
      <c r="J543" s="8"/>
    </row>
    <row r="544">
      <c r="C544" s="8"/>
      <c r="I544" s="8"/>
      <c r="J544" s="8"/>
    </row>
    <row r="545">
      <c r="C545" s="8"/>
      <c r="I545" s="8"/>
      <c r="J545" s="8"/>
    </row>
    <row r="546">
      <c r="C546" s="8"/>
      <c r="I546" s="8"/>
      <c r="J546" s="8"/>
    </row>
    <row r="547">
      <c r="C547" s="8"/>
      <c r="I547" s="8"/>
      <c r="J547" s="8"/>
    </row>
    <row r="548">
      <c r="C548" s="8"/>
      <c r="I548" s="8"/>
      <c r="J548" s="8"/>
    </row>
    <row r="549">
      <c r="C549" s="8"/>
      <c r="I549" s="8"/>
      <c r="J549" s="8"/>
    </row>
    <row r="550">
      <c r="C550" s="8"/>
      <c r="I550" s="8"/>
      <c r="J550" s="8"/>
    </row>
    <row r="551">
      <c r="C551" s="8"/>
      <c r="I551" s="8"/>
      <c r="J551" s="8"/>
    </row>
    <row r="552">
      <c r="C552" s="8"/>
      <c r="I552" s="8"/>
      <c r="J552" s="8"/>
    </row>
    <row r="553">
      <c r="C553" s="8"/>
      <c r="I553" s="8"/>
      <c r="J553" s="8"/>
    </row>
    <row r="554">
      <c r="C554" s="8"/>
      <c r="I554" s="8"/>
      <c r="J554" s="8"/>
    </row>
    <row r="555">
      <c r="C555" s="8"/>
      <c r="I555" s="8"/>
      <c r="J555" s="8"/>
    </row>
    <row r="556">
      <c r="C556" s="8"/>
      <c r="I556" s="8"/>
      <c r="J556" s="8"/>
    </row>
    <row r="557">
      <c r="C557" s="8"/>
      <c r="I557" s="8"/>
      <c r="J557" s="8"/>
    </row>
    <row r="558">
      <c r="C558" s="8"/>
      <c r="I558" s="8"/>
      <c r="J558" s="8"/>
    </row>
    <row r="559">
      <c r="C559" s="8"/>
      <c r="I559" s="8"/>
      <c r="J559" s="8"/>
    </row>
    <row r="560">
      <c r="C560" s="8"/>
      <c r="I560" s="8"/>
      <c r="J560" s="8"/>
    </row>
    <row r="561">
      <c r="C561" s="8"/>
      <c r="I561" s="8"/>
      <c r="J561" s="8"/>
    </row>
    <row r="562">
      <c r="C562" s="8"/>
      <c r="I562" s="8"/>
      <c r="J562" s="8"/>
    </row>
    <row r="563">
      <c r="C563" s="8"/>
      <c r="I563" s="8"/>
      <c r="J563" s="8"/>
    </row>
    <row r="564">
      <c r="C564" s="8"/>
      <c r="I564" s="8"/>
      <c r="J564" s="8"/>
    </row>
    <row r="565">
      <c r="C565" s="8"/>
      <c r="I565" s="8"/>
      <c r="J565" s="8"/>
    </row>
    <row r="566">
      <c r="C566" s="8"/>
      <c r="I566" s="8"/>
      <c r="J566" s="8"/>
    </row>
    <row r="567">
      <c r="C567" s="8"/>
      <c r="I567" s="8"/>
      <c r="J567" s="8"/>
    </row>
    <row r="568">
      <c r="C568" s="8"/>
      <c r="I568" s="8"/>
      <c r="J568" s="8"/>
    </row>
    <row r="569">
      <c r="C569" s="8"/>
      <c r="I569" s="8"/>
      <c r="J569" s="8"/>
    </row>
    <row r="570">
      <c r="C570" s="8"/>
      <c r="I570" s="8"/>
      <c r="J570" s="8"/>
    </row>
    <row r="571">
      <c r="C571" s="8"/>
      <c r="I571" s="8"/>
      <c r="J571" s="8"/>
    </row>
    <row r="572">
      <c r="C572" s="8"/>
      <c r="I572" s="8"/>
      <c r="J572" s="8"/>
    </row>
    <row r="573">
      <c r="C573" s="8"/>
      <c r="I573" s="8"/>
      <c r="J573" s="8"/>
    </row>
    <row r="574">
      <c r="C574" s="8"/>
      <c r="I574" s="8"/>
      <c r="J574" s="8"/>
    </row>
    <row r="575">
      <c r="C575" s="8"/>
      <c r="I575" s="8"/>
      <c r="J575" s="8"/>
    </row>
    <row r="576">
      <c r="C576" s="8"/>
      <c r="I576" s="8"/>
      <c r="J576" s="8"/>
    </row>
    <row r="577">
      <c r="C577" s="8"/>
      <c r="I577" s="8"/>
      <c r="J577" s="8"/>
    </row>
    <row r="578">
      <c r="C578" s="8"/>
      <c r="I578" s="8"/>
      <c r="J578" s="8"/>
    </row>
    <row r="579">
      <c r="C579" s="8"/>
      <c r="I579" s="8"/>
      <c r="J579" s="8"/>
    </row>
    <row r="580">
      <c r="C580" s="8"/>
      <c r="I580" s="8"/>
      <c r="J580" s="8"/>
    </row>
    <row r="581">
      <c r="C581" s="8"/>
      <c r="I581" s="8"/>
      <c r="J581" s="8"/>
    </row>
    <row r="582">
      <c r="C582" s="8"/>
      <c r="I582" s="8"/>
      <c r="J582" s="8"/>
    </row>
    <row r="583">
      <c r="C583" s="8"/>
      <c r="I583" s="8"/>
      <c r="J583" s="8"/>
    </row>
    <row r="584">
      <c r="C584" s="8"/>
      <c r="I584" s="8"/>
      <c r="J584" s="8"/>
    </row>
    <row r="585">
      <c r="C585" s="8"/>
      <c r="I585" s="8"/>
      <c r="J585" s="8"/>
    </row>
    <row r="586">
      <c r="C586" s="8"/>
      <c r="I586" s="8"/>
      <c r="J586" s="8"/>
    </row>
    <row r="587">
      <c r="C587" s="8"/>
      <c r="I587" s="8"/>
      <c r="J587" s="8"/>
    </row>
    <row r="588">
      <c r="C588" s="8"/>
      <c r="I588" s="8"/>
      <c r="J588" s="8"/>
    </row>
    <row r="589">
      <c r="C589" s="8"/>
      <c r="I589" s="8"/>
      <c r="J589" s="8"/>
    </row>
    <row r="590">
      <c r="C590" s="8"/>
      <c r="I590" s="8"/>
      <c r="J590" s="8"/>
    </row>
    <row r="591">
      <c r="C591" s="8"/>
      <c r="I591" s="8"/>
      <c r="J591" s="8"/>
    </row>
    <row r="592">
      <c r="C592" s="8"/>
      <c r="I592" s="8"/>
      <c r="J592" s="8"/>
    </row>
    <row r="593">
      <c r="C593" s="8"/>
      <c r="I593" s="8"/>
      <c r="J593" s="8"/>
    </row>
    <row r="594">
      <c r="C594" s="8"/>
      <c r="I594" s="8"/>
      <c r="J594" s="8"/>
    </row>
    <row r="595">
      <c r="C595" s="8"/>
      <c r="I595" s="8"/>
      <c r="J595" s="8"/>
    </row>
    <row r="596">
      <c r="C596" s="8"/>
      <c r="I596" s="8"/>
      <c r="J596" s="8"/>
    </row>
    <row r="597">
      <c r="C597" s="8"/>
      <c r="I597" s="8"/>
      <c r="J597" s="8"/>
    </row>
    <row r="598">
      <c r="C598" s="8"/>
      <c r="I598" s="8"/>
      <c r="J598" s="8"/>
    </row>
    <row r="599">
      <c r="C599" s="8"/>
      <c r="I599" s="8"/>
      <c r="J599" s="8"/>
    </row>
    <row r="600">
      <c r="C600" s="8"/>
      <c r="I600" s="8"/>
      <c r="J600" s="8"/>
    </row>
    <row r="601">
      <c r="C601" s="8"/>
      <c r="I601" s="8"/>
      <c r="J601" s="8"/>
    </row>
    <row r="602">
      <c r="C602" s="8"/>
      <c r="I602" s="8"/>
      <c r="J602" s="8"/>
    </row>
    <row r="603">
      <c r="C603" s="8"/>
      <c r="I603" s="8"/>
      <c r="J603" s="8"/>
    </row>
    <row r="604">
      <c r="C604" s="8"/>
      <c r="I604" s="8"/>
      <c r="J604" s="8"/>
    </row>
    <row r="605">
      <c r="C605" s="8"/>
      <c r="I605" s="8"/>
      <c r="J605" s="8"/>
    </row>
    <row r="606">
      <c r="C606" s="8"/>
      <c r="I606" s="8"/>
      <c r="J606" s="8"/>
    </row>
    <row r="607">
      <c r="C607" s="8"/>
      <c r="I607" s="8"/>
      <c r="J607" s="8"/>
    </row>
    <row r="608">
      <c r="C608" s="8"/>
      <c r="I608" s="8"/>
      <c r="J608" s="8"/>
    </row>
    <row r="609">
      <c r="C609" s="8"/>
      <c r="I609" s="8"/>
      <c r="J609" s="8"/>
    </row>
    <row r="610">
      <c r="C610" s="8"/>
      <c r="I610" s="8"/>
      <c r="J610" s="8"/>
    </row>
    <row r="611">
      <c r="C611" s="8"/>
      <c r="I611" s="8"/>
      <c r="J611" s="8"/>
    </row>
    <row r="612">
      <c r="C612" s="8"/>
      <c r="I612" s="8"/>
      <c r="J612" s="8"/>
    </row>
    <row r="613">
      <c r="C613" s="8"/>
      <c r="I613" s="8"/>
      <c r="J613" s="8"/>
    </row>
    <row r="614">
      <c r="C614" s="8"/>
      <c r="I614" s="8"/>
      <c r="J614" s="8"/>
    </row>
    <row r="615">
      <c r="C615" s="8"/>
      <c r="I615" s="8"/>
      <c r="J615" s="8"/>
    </row>
    <row r="616">
      <c r="C616" s="8"/>
      <c r="I616" s="8"/>
      <c r="J616" s="8"/>
    </row>
    <row r="617">
      <c r="C617" s="8"/>
      <c r="I617" s="8"/>
      <c r="J617" s="8"/>
    </row>
    <row r="618">
      <c r="C618" s="8"/>
      <c r="I618" s="8"/>
      <c r="J618" s="8"/>
    </row>
    <row r="619">
      <c r="C619" s="8"/>
      <c r="I619" s="8"/>
      <c r="J619" s="8"/>
    </row>
    <row r="620">
      <c r="C620" s="8"/>
      <c r="I620" s="8"/>
      <c r="J620" s="8"/>
    </row>
    <row r="621">
      <c r="C621" s="8"/>
      <c r="I621" s="8"/>
      <c r="J621" s="8"/>
    </row>
    <row r="622">
      <c r="C622" s="8"/>
      <c r="I622" s="8"/>
      <c r="J622" s="8"/>
    </row>
    <row r="623">
      <c r="C623" s="8"/>
      <c r="I623" s="8"/>
      <c r="J623" s="8"/>
    </row>
    <row r="624">
      <c r="C624" s="8"/>
      <c r="I624" s="8"/>
      <c r="J624" s="8"/>
    </row>
    <row r="625">
      <c r="C625" s="8"/>
      <c r="I625" s="8"/>
      <c r="J625" s="8"/>
    </row>
    <row r="626">
      <c r="C626" s="8"/>
      <c r="I626" s="8"/>
      <c r="J626" s="8"/>
    </row>
    <row r="627">
      <c r="C627" s="8"/>
      <c r="I627" s="8"/>
      <c r="J627" s="8"/>
    </row>
    <row r="628">
      <c r="C628" s="8"/>
      <c r="I628" s="8"/>
      <c r="J628" s="8"/>
    </row>
    <row r="629">
      <c r="C629" s="8"/>
      <c r="I629" s="8"/>
      <c r="J629" s="8"/>
    </row>
    <row r="630">
      <c r="C630" s="8"/>
      <c r="I630" s="8"/>
      <c r="J630" s="8"/>
    </row>
    <row r="631">
      <c r="C631" s="8"/>
      <c r="I631" s="8"/>
      <c r="J631" s="8"/>
    </row>
    <row r="632">
      <c r="C632" s="8"/>
      <c r="I632" s="8"/>
      <c r="J632" s="8"/>
    </row>
    <row r="633">
      <c r="C633" s="8"/>
      <c r="I633" s="8"/>
      <c r="J633" s="8"/>
    </row>
    <row r="634">
      <c r="C634" s="8"/>
      <c r="I634" s="8"/>
      <c r="J634" s="8"/>
    </row>
    <row r="635">
      <c r="C635" s="8"/>
      <c r="I635" s="8"/>
      <c r="J635" s="8"/>
    </row>
    <row r="636">
      <c r="C636" s="8"/>
      <c r="I636" s="8"/>
      <c r="J636" s="8"/>
    </row>
    <row r="637">
      <c r="C637" s="8"/>
      <c r="I637" s="8"/>
      <c r="J637" s="8"/>
    </row>
    <row r="638">
      <c r="C638" s="8"/>
      <c r="I638" s="8"/>
      <c r="J638" s="8"/>
    </row>
    <row r="639">
      <c r="C639" s="8"/>
      <c r="I639" s="8"/>
      <c r="J639" s="8"/>
    </row>
    <row r="640">
      <c r="C640" s="8"/>
      <c r="I640" s="8"/>
      <c r="J640" s="8"/>
    </row>
    <row r="641">
      <c r="C641" s="8"/>
      <c r="I641" s="8"/>
      <c r="J641" s="8"/>
    </row>
    <row r="642">
      <c r="C642" s="8"/>
      <c r="I642" s="8"/>
      <c r="J642" s="8"/>
    </row>
    <row r="643">
      <c r="C643" s="8"/>
      <c r="I643" s="8"/>
      <c r="J643" s="8"/>
    </row>
    <row r="644">
      <c r="C644" s="8"/>
      <c r="I644" s="8"/>
      <c r="J644" s="8"/>
    </row>
    <row r="645">
      <c r="C645" s="8"/>
      <c r="I645" s="8"/>
      <c r="J645" s="8"/>
    </row>
    <row r="646">
      <c r="C646" s="8"/>
      <c r="I646" s="8"/>
      <c r="J646" s="8"/>
    </row>
    <row r="647">
      <c r="C647" s="8"/>
      <c r="I647" s="8"/>
      <c r="J647" s="8"/>
    </row>
    <row r="648">
      <c r="C648" s="8"/>
      <c r="I648" s="8"/>
      <c r="J648" s="8"/>
    </row>
    <row r="649">
      <c r="C649" s="8"/>
      <c r="I649" s="8"/>
      <c r="J649" s="8"/>
    </row>
    <row r="650">
      <c r="C650" s="8"/>
      <c r="I650" s="8"/>
      <c r="J650" s="8"/>
    </row>
    <row r="651">
      <c r="C651" s="8"/>
      <c r="I651" s="8"/>
      <c r="J651" s="8"/>
    </row>
    <row r="652">
      <c r="C652" s="8"/>
      <c r="I652" s="8"/>
      <c r="J652" s="8"/>
    </row>
    <row r="653">
      <c r="C653" s="8"/>
      <c r="I653" s="8"/>
      <c r="J653" s="8"/>
    </row>
    <row r="654">
      <c r="C654" s="8"/>
      <c r="I654" s="8"/>
      <c r="J654" s="8"/>
    </row>
    <row r="655">
      <c r="C655" s="8"/>
      <c r="I655" s="8"/>
      <c r="J655" s="8"/>
    </row>
    <row r="656">
      <c r="C656" s="8"/>
      <c r="I656" s="8"/>
      <c r="J656" s="8"/>
    </row>
    <row r="657">
      <c r="C657" s="8"/>
      <c r="I657" s="8"/>
      <c r="J657" s="8"/>
    </row>
    <row r="658">
      <c r="C658" s="8"/>
      <c r="I658" s="8"/>
      <c r="J658" s="8"/>
    </row>
    <row r="659">
      <c r="C659" s="8"/>
      <c r="I659" s="8"/>
      <c r="J659" s="8"/>
    </row>
    <row r="660">
      <c r="C660" s="8"/>
      <c r="I660" s="8"/>
      <c r="J660" s="8"/>
    </row>
    <row r="661">
      <c r="C661" s="8"/>
      <c r="I661" s="8"/>
      <c r="J661" s="8"/>
    </row>
    <row r="662">
      <c r="C662" s="8"/>
      <c r="I662" s="8"/>
      <c r="J662" s="8"/>
    </row>
    <row r="663">
      <c r="C663" s="8"/>
      <c r="I663" s="8"/>
      <c r="J663" s="8"/>
    </row>
    <row r="664">
      <c r="C664" s="8"/>
      <c r="I664" s="8"/>
      <c r="J664" s="8"/>
    </row>
    <row r="665">
      <c r="C665" s="8"/>
      <c r="I665" s="8"/>
      <c r="J665" s="8"/>
    </row>
    <row r="666">
      <c r="C666" s="8"/>
      <c r="I666" s="8"/>
      <c r="J666" s="8"/>
    </row>
    <row r="667">
      <c r="C667" s="8"/>
      <c r="I667" s="8"/>
      <c r="J667" s="8"/>
    </row>
    <row r="668">
      <c r="C668" s="8"/>
      <c r="I668" s="8"/>
      <c r="J668" s="8"/>
    </row>
    <row r="669">
      <c r="C669" s="8"/>
      <c r="I669" s="8"/>
      <c r="J669" s="8"/>
    </row>
    <row r="670">
      <c r="C670" s="8"/>
      <c r="I670" s="8"/>
      <c r="J670" s="8"/>
    </row>
    <row r="671">
      <c r="C671" s="8"/>
      <c r="I671" s="8"/>
      <c r="J671" s="8"/>
    </row>
    <row r="672">
      <c r="C672" s="8"/>
      <c r="I672" s="8"/>
      <c r="J672" s="8"/>
    </row>
    <row r="673">
      <c r="C673" s="8"/>
      <c r="I673" s="8"/>
      <c r="J673" s="8"/>
    </row>
    <row r="674">
      <c r="C674" s="8"/>
      <c r="I674" s="8"/>
      <c r="J674" s="8"/>
    </row>
    <row r="675">
      <c r="C675" s="8"/>
      <c r="I675" s="8"/>
      <c r="J675" s="8"/>
    </row>
    <row r="676">
      <c r="C676" s="8"/>
      <c r="I676" s="8"/>
      <c r="J676" s="8"/>
    </row>
    <row r="677">
      <c r="C677" s="8"/>
      <c r="I677" s="8"/>
      <c r="J677" s="8"/>
    </row>
    <row r="678">
      <c r="C678" s="8"/>
      <c r="I678" s="8"/>
      <c r="J678" s="8"/>
    </row>
    <row r="679">
      <c r="C679" s="8"/>
      <c r="I679" s="8"/>
      <c r="J679" s="8"/>
    </row>
    <row r="680">
      <c r="C680" s="8"/>
      <c r="I680" s="8"/>
      <c r="J680" s="8"/>
    </row>
    <row r="681">
      <c r="C681" s="8"/>
      <c r="I681" s="8"/>
      <c r="J681" s="8"/>
    </row>
    <row r="682">
      <c r="C682" s="8"/>
      <c r="I682" s="8"/>
      <c r="J682" s="8"/>
    </row>
    <row r="683">
      <c r="C683" s="8"/>
      <c r="I683" s="8"/>
      <c r="J683" s="8"/>
    </row>
    <row r="684">
      <c r="C684" s="8"/>
      <c r="I684" s="8"/>
      <c r="J684" s="8"/>
    </row>
    <row r="685">
      <c r="C685" s="8"/>
      <c r="I685" s="8"/>
      <c r="J685" s="8"/>
    </row>
    <row r="686">
      <c r="C686" s="8"/>
      <c r="I686" s="8"/>
      <c r="J686" s="8"/>
    </row>
    <row r="687">
      <c r="C687" s="8"/>
      <c r="I687" s="8"/>
      <c r="J687" s="8"/>
    </row>
    <row r="688">
      <c r="C688" s="8"/>
      <c r="I688" s="8"/>
      <c r="J688" s="8"/>
    </row>
    <row r="689">
      <c r="C689" s="8"/>
      <c r="I689" s="8"/>
      <c r="J689" s="8"/>
    </row>
    <row r="690">
      <c r="C690" s="8"/>
      <c r="I690" s="8"/>
      <c r="J690" s="8"/>
    </row>
    <row r="691">
      <c r="C691" s="8"/>
      <c r="I691" s="8"/>
      <c r="J691" s="8"/>
    </row>
    <row r="692">
      <c r="C692" s="8"/>
      <c r="I692" s="8"/>
      <c r="J692" s="8"/>
    </row>
    <row r="693">
      <c r="C693" s="8"/>
      <c r="I693" s="8"/>
      <c r="J693" s="8"/>
    </row>
    <row r="694">
      <c r="C694" s="8"/>
      <c r="I694" s="8"/>
      <c r="J694" s="8"/>
    </row>
    <row r="695">
      <c r="C695" s="8"/>
      <c r="I695" s="8"/>
      <c r="J695" s="8"/>
    </row>
    <row r="696">
      <c r="C696" s="8"/>
      <c r="I696" s="8"/>
      <c r="J696" s="8"/>
    </row>
    <row r="697">
      <c r="C697" s="8"/>
      <c r="I697" s="8"/>
      <c r="J697" s="8"/>
    </row>
    <row r="698">
      <c r="C698" s="8"/>
      <c r="I698" s="8"/>
      <c r="J698" s="8"/>
    </row>
    <row r="699">
      <c r="C699" s="8"/>
      <c r="I699" s="8"/>
      <c r="J699" s="8"/>
    </row>
    <row r="700">
      <c r="C700" s="8"/>
      <c r="I700" s="8"/>
      <c r="J700" s="8"/>
    </row>
    <row r="701">
      <c r="C701" s="8"/>
      <c r="I701" s="8"/>
      <c r="J701" s="8"/>
    </row>
    <row r="702">
      <c r="C702" s="8"/>
      <c r="I702" s="8"/>
      <c r="J702" s="8"/>
    </row>
    <row r="703">
      <c r="C703" s="8"/>
      <c r="I703" s="8"/>
      <c r="J703" s="8"/>
    </row>
    <row r="704">
      <c r="C704" s="8"/>
      <c r="I704" s="8"/>
      <c r="J704" s="8"/>
    </row>
    <row r="705">
      <c r="C705" s="8"/>
      <c r="I705" s="8"/>
      <c r="J705" s="8"/>
    </row>
    <row r="706">
      <c r="C706" s="8"/>
      <c r="I706" s="8"/>
      <c r="J706" s="8"/>
    </row>
    <row r="707">
      <c r="C707" s="8"/>
      <c r="I707" s="8"/>
      <c r="J707" s="8"/>
    </row>
    <row r="708">
      <c r="C708" s="8"/>
      <c r="I708" s="8"/>
      <c r="J708" s="8"/>
    </row>
    <row r="709">
      <c r="C709" s="8"/>
      <c r="I709" s="8"/>
      <c r="J709" s="8"/>
    </row>
    <row r="710">
      <c r="C710" s="8"/>
      <c r="I710" s="8"/>
      <c r="J710" s="8"/>
    </row>
    <row r="711">
      <c r="C711" s="8"/>
      <c r="I711" s="8"/>
      <c r="J711" s="8"/>
    </row>
    <row r="712">
      <c r="C712" s="8"/>
      <c r="I712" s="8"/>
      <c r="J712" s="8"/>
    </row>
    <row r="713">
      <c r="C713" s="8"/>
      <c r="I713" s="8"/>
      <c r="J713" s="8"/>
    </row>
    <row r="714">
      <c r="C714" s="8"/>
      <c r="I714" s="8"/>
      <c r="J714" s="8"/>
    </row>
    <row r="715">
      <c r="C715" s="8"/>
      <c r="I715" s="8"/>
      <c r="J715" s="8"/>
    </row>
    <row r="716">
      <c r="C716" s="8"/>
      <c r="I716" s="8"/>
      <c r="J716" s="8"/>
    </row>
    <row r="717">
      <c r="C717" s="8"/>
      <c r="I717" s="8"/>
      <c r="J717" s="8"/>
    </row>
    <row r="718">
      <c r="C718" s="8"/>
      <c r="I718" s="8"/>
      <c r="J718" s="8"/>
    </row>
    <row r="719">
      <c r="C719" s="8"/>
      <c r="I719" s="8"/>
      <c r="J719" s="8"/>
    </row>
    <row r="720">
      <c r="C720" s="8"/>
      <c r="I720" s="8"/>
      <c r="J720" s="8"/>
    </row>
    <row r="721">
      <c r="C721" s="8"/>
      <c r="I721" s="8"/>
      <c r="J721" s="8"/>
    </row>
    <row r="722">
      <c r="C722" s="8"/>
      <c r="I722" s="8"/>
      <c r="J722" s="8"/>
    </row>
    <row r="723">
      <c r="C723" s="8"/>
      <c r="I723" s="8"/>
      <c r="J723" s="8"/>
    </row>
    <row r="724">
      <c r="C724" s="8"/>
      <c r="I724" s="8"/>
      <c r="J724" s="8"/>
    </row>
    <row r="725">
      <c r="C725" s="8"/>
      <c r="I725" s="8"/>
      <c r="J725" s="8"/>
    </row>
    <row r="726">
      <c r="C726" s="8"/>
      <c r="I726" s="8"/>
      <c r="J726" s="8"/>
    </row>
    <row r="727">
      <c r="C727" s="8"/>
      <c r="I727" s="8"/>
      <c r="J727" s="8"/>
    </row>
    <row r="728">
      <c r="C728" s="8"/>
      <c r="I728" s="8"/>
      <c r="J728" s="8"/>
    </row>
    <row r="729">
      <c r="C729" s="8"/>
      <c r="I729" s="8"/>
      <c r="J729" s="8"/>
    </row>
    <row r="730">
      <c r="C730" s="8"/>
      <c r="I730" s="8"/>
      <c r="J730" s="8"/>
    </row>
    <row r="731">
      <c r="C731" s="8"/>
      <c r="I731" s="8"/>
      <c r="J731" s="8"/>
    </row>
    <row r="732">
      <c r="C732" s="8"/>
      <c r="I732" s="8"/>
      <c r="J732" s="8"/>
    </row>
    <row r="733">
      <c r="C733" s="8"/>
      <c r="I733" s="8"/>
      <c r="J733" s="8"/>
    </row>
    <row r="734">
      <c r="C734" s="8"/>
      <c r="I734" s="8"/>
      <c r="J734" s="8"/>
    </row>
    <row r="735">
      <c r="C735" s="8"/>
      <c r="I735" s="8"/>
      <c r="J735" s="8"/>
    </row>
    <row r="736">
      <c r="C736" s="8"/>
      <c r="I736" s="8"/>
      <c r="J736" s="8"/>
    </row>
    <row r="737">
      <c r="C737" s="8"/>
      <c r="I737" s="8"/>
      <c r="J737" s="8"/>
    </row>
    <row r="738">
      <c r="C738" s="8"/>
      <c r="I738" s="8"/>
      <c r="J738" s="8"/>
    </row>
    <row r="739">
      <c r="C739" s="8"/>
      <c r="I739" s="8"/>
      <c r="J739" s="8"/>
    </row>
    <row r="740">
      <c r="C740" s="8"/>
      <c r="I740" s="8"/>
      <c r="J740" s="8"/>
    </row>
    <row r="741">
      <c r="C741" s="8"/>
      <c r="I741" s="8"/>
      <c r="J741" s="8"/>
    </row>
    <row r="742">
      <c r="C742" s="8"/>
      <c r="I742" s="8"/>
      <c r="J742" s="8"/>
    </row>
    <row r="743">
      <c r="C743" s="8"/>
      <c r="I743" s="8"/>
      <c r="J743" s="8"/>
    </row>
    <row r="744">
      <c r="C744" s="8"/>
      <c r="I744" s="8"/>
      <c r="J744" s="8"/>
    </row>
    <row r="745">
      <c r="C745" s="8"/>
      <c r="I745" s="8"/>
      <c r="J745" s="8"/>
    </row>
    <row r="746">
      <c r="C746" s="8"/>
      <c r="I746" s="8"/>
      <c r="J746" s="8"/>
    </row>
    <row r="747">
      <c r="C747" s="8"/>
      <c r="I747" s="8"/>
      <c r="J747" s="8"/>
    </row>
    <row r="748">
      <c r="C748" s="8"/>
      <c r="I748" s="8"/>
      <c r="J748" s="8"/>
    </row>
    <row r="749">
      <c r="C749" s="8"/>
      <c r="I749" s="8"/>
      <c r="J749" s="8"/>
    </row>
    <row r="750">
      <c r="C750" s="8"/>
      <c r="I750" s="8"/>
      <c r="J750" s="8"/>
    </row>
    <row r="751">
      <c r="C751" s="8"/>
      <c r="I751" s="8"/>
      <c r="J751" s="8"/>
    </row>
    <row r="752">
      <c r="C752" s="8"/>
      <c r="I752" s="8"/>
      <c r="J752" s="8"/>
    </row>
    <row r="753">
      <c r="C753" s="8"/>
      <c r="I753" s="8"/>
      <c r="J753" s="8"/>
    </row>
    <row r="754">
      <c r="C754" s="8"/>
      <c r="I754" s="8"/>
      <c r="J754" s="8"/>
    </row>
    <row r="755">
      <c r="C755" s="8"/>
      <c r="I755" s="8"/>
      <c r="J755" s="8"/>
    </row>
    <row r="756">
      <c r="C756" s="8"/>
      <c r="I756" s="8"/>
      <c r="J756" s="8"/>
    </row>
    <row r="757">
      <c r="C757" s="8"/>
      <c r="I757" s="8"/>
      <c r="J757" s="8"/>
    </row>
    <row r="758">
      <c r="C758" s="8"/>
      <c r="I758" s="8"/>
      <c r="J758" s="8"/>
    </row>
    <row r="759">
      <c r="C759" s="8"/>
      <c r="I759" s="8"/>
      <c r="J759" s="8"/>
    </row>
    <row r="760">
      <c r="C760" s="8"/>
      <c r="I760" s="8"/>
      <c r="J760" s="8"/>
    </row>
    <row r="761">
      <c r="C761" s="8"/>
      <c r="I761" s="8"/>
      <c r="J761" s="8"/>
    </row>
    <row r="762">
      <c r="C762" s="8"/>
      <c r="I762" s="8"/>
      <c r="J762" s="8"/>
    </row>
    <row r="763">
      <c r="C763" s="8"/>
      <c r="I763" s="8"/>
      <c r="J763" s="8"/>
    </row>
    <row r="764">
      <c r="C764" s="8"/>
      <c r="I764" s="8"/>
      <c r="J764" s="8"/>
    </row>
    <row r="765">
      <c r="C765" s="8"/>
      <c r="I765" s="8"/>
      <c r="J765" s="8"/>
    </row>
    <row r="766">
      <c r="C766" s="8"/>
      <c r="I766" s="8"/>
      <c r="J766" s="8"/>
    </row>
    <row r="767">
      <c r="C767" s="8"/>
      <c r="I767" s="8"/>
      <c r="J767" s="8"/>
    </row>
    <row r="768">
      <c r="C768" s="8"/>
      <c r="I768" s="8"/>
      <c r="J768" s="8"/>
    </row>
    <row r="769">
      <c r="C769" s="8"/>
      <c r="I769" s="8"/>
      <c r="J769" s="8"/>
    </row>
    <row r="770">
      <c r="C770" s="8"/>
      <c r="I770" s="8"/>
      <c r="J770" s="8"/>
    </row>
    <row r="771">
      <c r="C771" s="8"/>
      <c r="I771" s="8"/>
      <c r="J771" s="8"/>
    </row>
    <row r="772">
      <c r="C772" s="8"/>
      <c r="I772" s="8"/>
      <c r="J772" s="8"/>
    </row>
    <row r="773">
      <c r="C773" s="8"/>
      <c r="I773" s="8"/>
      <c r="J773" s="8"/>
    </row>
    <row r="774">
      <c r="C774" s="8"/>
      <c r="I774" s="8"/>
      <c r="J774" s="8"/>
    </row>
    <row r="775">
      <c r="C775" s="8"/>
      <c r="I775" s="8"/>
      <c r="J775" s="8"/>
    </row>
    <row r="776">
      <c r="C776" s="8"/>
      <c r="I776" s="8"/>
      <c r="J776" s="8"/>
    </row>
    <row r="777">
      <c r="C777" s="8"/>
      <c r="I777" s="8"/>
      <c r="J777" s="8"/>
    </row>
    <row r="778">
      <c r="C778" s="8"/>
      <c r="I778" s="8"/>
      <c r="J778" s="8"/>
    </row>
    <row r="779">
      <c r="C779" s="8"/>
      <c r="I779" s="8"/>
      <c r="J779" s="8"/>
    </row>
    <row r="780">
      <c r="C780" s="8"/>
      <c r="I780" s="8"/>
      <c r="J780" s="8"/>
    </row>
    <row r="781">
      <c r="C781" s="8"/>
      <c r="I781" s="8"/>
      <c r="J781" s="8"/>
    </row>
    <row r="782">
      <c r="C782" s="8"/>
      <c r="I782" s="8"/>
      <c r="J782" s="8"/>
    </row>
    <row r="783">
      <c r="C783" s="8"/>
      <c r="I783" s="8"/>
      <c r="J783" s="8"/>
    </row>
    <row r="784">
      <c r="C784" s="8"/>
      <c r="I784" s="8"/>
      <c r="J784" s="8"/>
    </row>
    <row r="785">
      <c r="C785" s="8"/>
      <c r="I785" s="8"/>
      <c r="J785" s="8"/>
    </row>
    <row r="786">
      <c r="C786" s="8"/>
      <c r="I786" s="8"/>
      <c r="J786" s="8"/>
    </row>
    <row r="787">
      <c r="C787" s="8"/>
      <c r="I787" s="8"/>
      <c r="J787" s="8"/>
    </row>
    <row r="788">
      <c r="C788" s="8"/>
      <c r="I788" s="8"/>
      <c r="J788" s="8"/>
    </row>
    <row r="789">
      <c r="C789" s="8"/>
      <c r="I789" s="8"/>
      <c r="J789" s="8"/>
    </row>
    <row r="790">
      <c r="C790" s="8"/>
      <c r="I790" s="8"/>
      <c r="J790" s="8"/>
    </row>
    <row r="791">
      <c r="C791" s="8"/>
      <c r="I791" s="8"/>
      <c r="J791" s="8"/>
    </row>
    <row r="792">
      <c r="C792" s="8"/>
      <c r="I792" s="8"/>
      <c r="J792" s="8"/>
    </row>
    <row r="793">
      <c r="C793" s="8"/>
      <c r="I793" s="8"/>
      <c r="J793" s="8"/>
    </row>
    <row r="794">
      <c r="C794" s="8"/>
      <c r="I794" s="8"/>
      <c r="J794" s="8"/>
    </row>
    <row r="795">
      <c r="C795" s="8"/>
      <c r="I795" s="8"/>
      <c r="J795" s="8"/>
    </row>
    <row r="796">
      <c r="C796" s="8"/>
      <c r="I796" s="8"/>
      <c r="J796" s="8"/>
    </row>
    <row r="797">
      <c r="C797" s="8"/>
      <c r="I797" s="8"/>
      <c r="J797" s="8"/>
    </row>
    <row r="798">
      <c r="C798" s="8"/>
      <c r="I798" s="8"/>
      <c r="J798" s="8"/>
    </row>
    <row r="799">
      <c r="C799" s="8"/>
      <c r="I799" s="8"/>
      <c r="J799" s="8"/>
    </row>
    <row r="800">
      <c r="C800" s="8"/>
      <c r="I800" s="8"/>
      <c r="J800" s="8"/>
    </row>
    <row r="801">
      <c r="C801" s="8"/>
      <c r="I801" s="8"/>
      <c r="J801" s="8"/>
    </row>
    <row r="802">
      <c r="C802" s="8"/>
      <c r="I802" s="8"/>
      <c r="J802" s="8"/>
    </row>
    <row r="803">
      <c r="C803" s="8"/>
      <c r="I803" s="8"/>
      <c r="J803" s="8"/>
    </row>
    <row r="804">
      <c r="C804" s="8"/>
      <c r="I804" s="8"/>
      <c r="J804" s="8"/>
    </row>
    <row r="805">
      <c r="C805" s="8"/>
      <c r="I805" s="8"/>
      <c r="J805" s="8"/>
    </row>
    <row r="806">
      <c r="C806" s="8"/>
      <c r="I806" s="8"/>
      <c r="J806" s="8"/>
    </row>
    <row r="807">
      <c r="C807" s="8"/>
      <c r="I807" s="8"/>
      <c r="J807" s="8"/>
    </row>
    <row r="808">
      <c r="C808" s="8"/>
      <c r="I808" s="8"/>
      <c r="J808" s="8"/>
    </row>
    <row r="809">
      <c r="C809" s="8"/>
      <c r="I809" s="8"/>
      <c r="J809" s="8"/>
    </row>
    <row r="810">
      <c r="C810" s="8"/>
      <c r="I810" s="8"/>
      <c r="J810" s="8"/>
    </row>
    <row r="811">
      <c r="C811" s="8"/>
      <c r="I811" s="8"/>
      <c r="J811" s="8"/>
    </row>
    <row r="812">
      <c r="C812" s="8"/>
      <c r="I812" s="8"/>
      <c r="J812" s="8"/>
    </row>
    <row r="813">
      <c r="C813" s="8"/>
      <c r="I813" s="8"/>
      <c r="J813" s="8"/>
    </row>
    <row r="814">
      <c r="C814" s="8"/>
      <c r="I814" s="8"/>
      <c r="J814" s="8"/>
    </row>
    <row r="815">
      <c r="C815" s="8"/>
      <c r="I815" s="8"/>
      <c r="J815" s="8"/>
    </row>
    <row r="816">
      <c r="C816" s="8"/>
      <c r="I816" s="8"/>
      <c r="J816" s="8"/>
    </row>
    <row r="817">
      <c r="C817" s="8"/>
      <c r="I817" s="8"/>
      <c r="J817" s="8"/>
    </row>
    <row r="818">
      <c r="C818" s="8"/>
      <c r="I818" s="8"/>
      <c r="J818" s="8"/>
    </row>
    <row r="819">
      <c r="C819" s="8"/>
      <c r="I819" s="8"/>
      <c r="J819" s="8"/>
    </row>
    <row r="820">
      <c r="C820" s="8"/>
      <c r="I820" s="8"/>
      <c r="J820" s="8"/>
    </row>
    <row r="821">
      <c r="C821" s="8"/>
      <c r="I821" s="8"/>
      <c r="J821" s="8"/>
    </row>
    <row r="822">
      <c r="C822" s="8"/>
      <c r="I822" s="8"/>
      <c r="J822" s="8"/>
    </row>
    <row r="823">
      <c r="C823" s="8"/>
      <c r="I823" s="8"/>
      <c r="J823" s="8"/>
    </row>
    <row r="824">
      <c r="C824" s="8"/>
      <c r="I824" s="8"/>
      <c r="J824" s="8"/>
    </row>
    <row r="825">
      <c r="C825" s="8"/>
      <c r="I825" s="8"/>
      <c r="J825" s="8"/>
    </row>
    <row r="826">
      <c r="C826" s="8"/>
      <c r="I826" s="8"/>
      <c r="J826" s="8"/>
    </row>
    <row r="827">
      <c r="C827" s="8"/>
      <c r="I827" s="8"/>
      <c r="J827" s="8"/>
    </row>
    <row r="828">
      <c r="C828" s="8"/>
      <c r="I828" s="8"/>
      <c r="J828" s="8"/>
    </row>
    <row r="829">
      <c r="C829" s="8"/>
      <c r="I829" s="8"/>
      <c r="J829" s="8"/>
    </row>
    <row r="830">
      <c r="C830" s="8"/>
      <c r="I830" s="8"/>
      <c r="J830" s="8"/>
    </row>
    <row r="831">
      <c r="C831" s="8"/>
      <c r="I831" s="8"/>
      <c r="J831" s="8"/>
    </row>
    <row r="832">
      <c r="C832" s="8"/>
      <c r="I832" s="8"/>
      <c r="J832" s="8"/>
    </row>
    <row r="833">
      <c r="C833" s="8"/>
      <c r="I833" s="8"/>
      <c r="J833" s="8"/>
    </row>
    <row r="834">
      <c r="C834" s="8"/>
      <c r="I834" s="8"/>
      <c r="J834" s="8"/>
    </row>
    <row r="835">
      <c r="C835" s="8"/>
      <c r="I835" s="8"/>
      <c r="J835" s="8"/>
    </row>
    <row r="836">
      <c r="C836" s="8"/>
      <c r="I836" s="8"/>
      <c r="J836" s="8"/>
    </row>
    <row r="837">
      <c r="C837" s="8"/>
      <c r="I837" s="8"/>
      <c r="J837" s="8"/>
    </row>
    <row r="838">
      <c r="C838" s="8"/>
      <c r="I838" s="8"/>
      <c r="J838" s="8"/>
    </row>
    <row r="839">
      <c r="C839" s="8"/>
      <c r="I839" s="8"/>
      <c r="J839" s="8"/>
    </row>
    <row r="840">
      <c r="C840" s="8"/>
      <c r="I840" s="8"/>
      <c r="J840" s="8"/>
    </row>
    <row r="841">
      <c r="C841" s="8"/>
      <c r="I841" s="8"/>
      <c r="J841" s="8"/>
    </row>
    <row r="842">
      <c r="C842" s="8"/>
      <c r="I842" s="8"/>
      <c r="J842" s="8"/>
    </row>
    <row r="843">
      <c r="C843" s="8"/>
      <c r="I843" s="8"/>
      <c r="J843" s="8"/>
    </row>
    <row r="844">
      <c r="C844" s="8"/>
      <c r="I844" s="8"/>
      <c r="J844" s="8"/>
    </row>
    <row r="845">
      <c r="C845" s="8"/>
      <c r="I845" s="8"/>
      <c r="J845" s="8"/>
    </row>
    <row r="846">
      <c r="C846" s="8"/>
      <c r="I846" s="8"/>
      <c r="J846" s="8"/>
    </row>
    <row r="847">
      <c r="C847" s="8"/>
      <c r="I847" s="8"/>
      <c r="J847" s="8"/>
    </row>
    <row r="848">
      <c r="C848" s="8"/>
      <c r="I848" s="8"/>
      <c r="J848" s="8"/>
    </row>
    <row r="849">
      <c r="C849" s="8"/>
      <c r="I849" s="8"/>
      <c r="J849" s="8"/>
    </row>
    <row r="850">
      <c r="C850" s="8"/>
      <c r="I850" s="8"/>
      <c r="J850" s="8"/>
    </row>
    <row r="851">
      <c r="C851" s="8"/>
      <c r="I851" s="8"/>
      <c r="J851" s="8"/>
    </row>
    <row r="852">
      <c r="C852" s="8"/>
      <c r="I852" s="8"/>
      <c r="J852" s="8"/>
    </row>
    <row r="853">
      <c r="C853" s="8"/>
      <c r="I853" s="8"/>
      <c r="J853" s="8"/>
    </row>
    <row r="854">
      <c r="C854" s="8"/>
      <c r="I854" s="8"/>
      <c r="J854" s="8"/>
    </row>
    <row r="855">
      <c r="C855" s="8"/>
      <c r="I855" s="8"/>
      <c r="J855" s="8"/>
    </row>
    <row r="856">
      <c r="C856" s="8"/>
      <c r="I856" s="8"/>
      <c r="J856" s="8"/>
    </row>
    <row r="857">
      <c r="C857" s="8"/>
      <c r="I857" s="8"/>
      <c r="J857" s="8"/>
    </row>
    <row r="858">
      <c r="C858" s="8"/>
      <c r="I858" s="8"/>
      <c r="J858" s="8"/>
    </row>
    <row r="859">
      <c r="C859" s="8"/>
      <c r="I859" s="8"/>
      <c r="J859" s="8"/>
    </row>
    <row r="860">
      <c r="C860" s="8"/>
      <c r="I860" s="8"/>
      <c r="J860" s="8"/>
    </row>
    <row r="861">
      <c r="C861" s="8"/>
      <c r="I861" s="8"/>
      <c r="J861" s="8"/>
    </row>
    <row r="862">
      <c r="C862" s="8"/>
      <c r="I862" s="8"/>
      <c r="J862" s="8"/>
    </row>
    <row r="863">
      <c r="C863" s="8"/>
      <c r="I863" s="8"/>
      <c r="J863" s="8"/>
    </row>
    <row r="864">
      <c r="C864" s="8"/>
      <c r="I864" s="8"/>
      <c r="J864" s="8"/>
    </row>
    <row r="865">
      <c r="C865" s="8"/>
      <c r="I865" s="8"/>
      <c r="J865" s="8"/>
    </row>
    <row r="866">
      <c r="C866" s="8"/>
      <c r="I866" s="8"/>
      <c r="J866" s="8"/>
    </row>
    <row r="867">
      <c r="C867" s="8"/>
      <c r="I867" s="8"/>
      <c r="J867" s="8"/>
    </row>
    <row r="868">
      <c r="C868" s="8"/>
      <c r="I868" s="8"/>
      <c r="J868" s="8"/>
    </row>
    <row r="869">
      <c r="C869" s="8"/>
      <c r="I869" s="8"/>
      <c r="J869" s="8"/>
    </row>
    <row r="870">
      <c r="C870" s="8"/>
      <c r="I870" s="8"/>
      <c r="J870" s="8"/>
    </row>
    <row r="871">
      <c r="C871" s="8"/>
      <c r="I871" s="8"/>
      <c r="J871" s="8"/>
    </row>
    <row r="872">
      <c r="C872" s="8"/>
      <c r="I872" s="8"/>
      <c r="J872" s="8"/>
    </row>
    <row r="873">
      <c r="C873" s="8"/>
      <c r="I873" s="8"/>
      <c r="J873" s="8"/>
    </row>
    <row r="874">
      <c r="C874" s="8"/>
      <c r="I874" s="8"/>
      <c r="J874" s="8"/>
    </row>
    <row r="875">
      <c r="C875" s="8"/>
      <c r="I875" s="8"/>
      <c r="J875" s="8"/>
    </row>
    <row r="876">
      <c r="C876" s="8"/>
      <c r="I876" s="8"/>
      <c r="J876" s="8"/>
    </row>
    <row r="877">
      <c r="C877" s="8"/>
      <c r="I877" s="8"/>
      <c r="J877" s="8"/>
    </row>
    <row r="878">
      <c r="C878" s="8"/>
      <c r="I878" s="8"/>
      <c r="J878" s="8"/>
    </row>
    <row r="879">
      <c r="C879" s="8"/>
      <c r="I879" s="8"/>
      <c r="J879" s="8"/>
    </row>
    <row r="880">
      <c r="C880" s="8"/>
      <c r="I880" s="8"/>
      <c r="J880" s="8"/>
    </row>
    <row r="881">
      <c r="C881" s="8"/>
      <c r="I881" s="8"/>
      <c r="J881" s="8"/>
    </row>
    <row r="882">
      <c r="C882" s="8"/>
      <c r="I882" s="8"/>
      <c r="J882" s="8"/>
    </row>
    <row r="883">
      <c r="C883" s="8"/>
      <c r="I883" s="8"/>
      <c r="J883" s="8"/>
    </row>
    <row r="884">
      <c r="C884" s="8"/>
      <c r="I884" s="8"/>
      <c r="J884" s="8"/>
    </row>
    <row r="885">
      <c r="C885" s="8"/>
      <c r="I885" s="8"/>
      <c r="J885" s="8"/>
    </row>
    <row r="886">
      <c r="C886" s="8"/>
      <c r="I886" s="8"/>
      <c r="J886" s="8"/>
    </row>
    <row r="887">
      <c r="C887" s="8"/>
      <c r="I887" s="8"/>
      <c r="J887" s="8"/>
    </row>
    <row r="888">
      <c r="C888" s="8"/>
      <c r="I888" s="8"/>
      <c r="J888" s="8"/>
    </row>
    <row r="889">
      <c r="C889" s="8"/>
      <c r="I889" s="8"/>
      <c r="J889" s="8"/>
    </row>
    <row r="890">
      <c r="C890" s="8"/>
      <c r="I890" s="8"/>
      <c r="J890" s="8"/>
    </row>
    <row r="891">
      <c r="C891" s="8"/>
      <c r="I891" s="8"/>
      <c r="J891" s="8"/>
    </row>
    <row r="892">
      <c r="C892" s="8"/>
      <c r="I892" s="8"/>
      <c r="J892" s="8"/>
    </row>
    <row r="893">
      <c r="C893" s="8"/>
      <c r="I893" s="8"/>
      <c r="J893" s="8"/>
    </row>
    <row r="894">
      <c r="C894" s="8"/>
      <c r="I894" s="8"/>
      <c r="J894" s="8"/>
    </row>
    <row r="895">
      <c r="C895" s="8"/>
      <c r="I895" s="8"/>
      <c r="J895" s="8"/>
    </row>
    <row r="896">
      <c r="C896" s="8"/>
      <c r="I896" s="8"/>
      <c r="J896" s="8"/>
    </row>
    <row r="897">
      <c r="C897" s="8"/>
      <c r="I897" s="8"/>
      <c r="J897" s="8"/>
    </row>
    <row r="898">
      <c r="C898" s="8"/>
      <c r="I898" s="8"/>
      <c r="J898" s="8"/>
    </row>
    <row r="899">
      <c r="C899" s="8"/>
      <c r="I899" s="8"/>
      <c r="J899" s="8"/>
    </row>
    <row r="900">
      <c r="C900" s="8"/>
      <c r="I900" s="8"/>
      <c r="J900" s="8"/>
    </row>
    <row r="901">
      <c r="C901" s="8"/>
      <c r="I901" s="8"/>
      <c r="J901" s="8"/>
    </row>
    <row r="902">
      <c r="C902" s="8"/>
      <c r="I902" s="8"/>
      <c r="J902" s="8"/>
    </row>
    <row r="903">
      <c r="C903" s="8"/>
      <c r="I903" s="8"/>
      <c r="J903" s="8"/>
    </row>
    <row r="904">
      <c r="C904" s="8"/>
      <c r="I904" s="8"/>
      <c r="J904" s="8"/>
    </row>
    <row r="905">
      <c r="C905" s="8"/>
      <c r="I905" s="8"/>
      <c r="J905" s="8"/>
    </row>
    <row r="906">
      <c r="C906" s="8"/>
      <c r="I906" s="8"/>
      <c r="J906" s="8"/>
    </row>
    <row r="907">
      <c r="C907" s="8"/>
      <c r="I907" s="8"/>
      <c r="J907" s="8"/>
    </row>
    <row r="908">
      <c r="C908" s="8"/>
      <c r="I908" s="8"/>
      <c r="J908" s="8"/>
    </row>
    <row r="909">
      <c r="C909" s="8"/>
      <c r="I909" s="8"/>
      <c r="J909" s="8"/>
    </row>
    <row r="910">
      <c r="C910" s="8"/>
      <c r="I910" s="8"/>
      <c r="J910" s="8"/>
    </row>
    <row r="911">
      <c r="C911" s="8"/>
      <c r="I911" s="8"/>
      <c r="J911" s="8"/>
    </row>
    <row r="912">
      <c r="C912" s="8"/>
      <c r="I912" s="8"/>
      <c r="J912" s="8"/>
    </row>
    <row r="913">
      <c r="C913" s="8"/>
      <c r="I913" s="8"/>
      <c r="J913" s="8"/>
    </row>
    <row r="914">
      <c r="C914" s="8"/>
      <c r="I914" s="8"/>
      <c r="J914" s="8"/>
    </row>
    <row r="915">
      <c r="C915" s="8"/>
      <c r="I915" s="8"/>
      <c r="J915" s="8"/>
    </row>
    <row r="916">
      <c r="C916" s="8"/>
      <c r="I916" s="8"/>
      <c r="J916" s="8"/>
    </row>
    <row r="917">
      <c r="C917" s="8"/>
      <c r="I917" s="8"/>
      <c r="J917" s="8"/>
    </row>
    <row r="918">
      <c r="C918" s="8"/>
      <c r="I918" s="8"/>
      <c r="J918" s="8"/>
    </row>
    <row r="919">
      <c r="C919" s="8"/>
      <c r="I919" s="8"/>
      <c r="J919" s="8"/>
    </row>
    <row r="920">
      <c r="C920" s="8"/>
      <c r="I920" s="8"/>
      <c r="J920" s="8"/>
    </row>
    <row r="921">
      <c r="C921" s="8"/>
      <c r="I921" s="8"/>
      <c r="J921" s="8"/>
    </row>
    <row r="922">
      <c r="C922" s="8"/>
      <c r="I922" s="8"/>
      <c r="J922" s="8"/>
    </row>
    <row r="923">
      <c r="C923" s="8"/>
      <c r="I923" s="8"/>
      <c r="J923" s="8"/>
    </row>
    <row r="924">
      <c r="C924" s="8"/>
      <c r="I924" s="8"/>
      <c r="J924" s="8"/>
    </row>
    <row r="925">
      <c r="C925" s="8"/>
      <c r="I925" s="8"/>
      <c r="J925" s="8"/>
    </row>
    <row r="926">
      <c r="C926" s="8"/>
      <c r="I926" s="8"/>
      <c r="J926" s="8"/>
    </row>
    <row r="927">
      <c r="C927" s="8"/>
      <c r="I927" s="8"/>
      <c r="J927" s="8"/>
    </row>
    <row r="928">
      <c r="C928" s="8"/>
      <c r="I928" s="8"/>
      <c r="J928" s="8"/>
    </row>
    <row r="929">
      <c r="C929" s="8"/>
      <c r="I929" s="8"/>
      <c r="J929" s="8"/>
    </row>
    <row r="930">
      <c r="C930" s="8"/>
      <c r="I930" s="8"/>
      <c r="J930" s="8"/>
    </row>
    <row r="931">
      <c r="C931" s="8"/>
      <c r="I931" s="8"/>
      <c r="J931" s="8"/>
    </row>
    <row r="932">
      <c r="C932" s="8"/>
      <c r="I932" s="8"/>
      <c r="J932" s="8"/>
    </row>
    <row r="933">
      <c r="C933" s="8"/>
      <c r="I933" s="8"/>
      <c r="J933" s="8"/>
    </row>
    <row r="934">
      <c r="C934" s="8"/>
      <c r="I934" s="8"/>
      <c r="J934" s="8"/>
    </row>
    <row r="935">
      <c r="C935" s="8"/>
      <c r="I935" s="8"/>
      <c r="J935" s="8"/>
    </row>
    <row r="936">
      <c r="C936" s="8"/>
      <c r="I936" s="8"/>
      <c r="J936" s="8"/>
    </row>
    <row r="937">
      <c r="C937" s="8"/>
      <c r="I937" s="8"/>
      <c r="J937" s="8"/>
    </row>
    <row r="938">
      <c r="C938" s="8"/>
      <c r="I938" s="8"/>
      <c r="J938" s="8"/>
    </row>
    <row r="939">
      <c r="C939" s="8"/>
      <c r="I939" s="8"/>
      <c r="J939" s="8"/>
    </row>
    <row r="940">
      <c r="C940" s="8"/>
      <c r="I940" s="8"/>
      <c r="J940" s="8"/>
    </row>
    <row r="941">
      <c r="C941" s="8"/>
      <c r="I941" s="8"/>
      <c r="J941" s="8"/>
    </row>
    <row r="942">
      <c r="C942" s="8"/>
      <c r="I942" s="8"/>
      <c r="J942" s="8"/>
    </row>
    <row r="943">
      <c r="C943" s="8"/>
      <c r="I943" s="8"/>
      <c r="J943" s="8"/>
    </row>
    <row r="944">
      <c r="C944" s="8"/>
      <c r="I944" s="8"/>
      <c r="J944" s="8"/>
    </row>
    <row r="945">
      <c r="C945" s="8"/>
      <c r="I945" s="8"/>
      <c r="J945" s="8"/>
    </row>
    <row r="946">
      <c r="C946" s="8"/>
      <c r="I946" s="8"/>
      <c r="J946" s="8"/>
    </row>
    <row r="947">
      <c r="C947" s="8"/>
      <c r="I947" s="8"/>
      <c r="J947" s="8"/>
    </row>
    <row r="948">
      <c r="C948" s="8"/>
      <c r="I948" s="8"/>
      <c r="J948" s="8"/>
    </row>
    <row r="949">
      <c r="C949" s="8"/>
      <c r="I949" s="8"/>
      <c r="J949" s="8"/>
    </row>
    <row r="950">
      <c r="C950" s="8"/>
      <c r="I950" s="8"/>
      <c r="J950" s="8"/>
    </row>
    <row r="951">
      <c r="C951" s="8"/>
      <c r="I951" s="8"/>
      <c r="J951" s="8"/>
    </row>
    <row r="952">
      <c r="C952" s="8"/>
      <c r="I952" s="8"/>
      <c r="J952" s="8"/>
    </row>
    <row r="953">
      <c r="C953" s="8"/>
      <c r="I953" s="8"/>
      <c r="J953" s="8"/>
    </row>
    <row r="954">
      <c r="C954" s="8"/>
      <c r="I954" s="8"/>
      <c r="J954" s="8"/>
    </row>
    <row r="955">
      <c r="C955" s="8"/>
      <c r="I955" s="8"/>
      <c r="J955" s="8"/>
    </row>
    <row r="956">
      <c r="C956" s="8"/>
      <c r="I956" s="8"/>
      <c r="J956" s="8"/>
    </row>
    <row r="957">
      <c r="C957" s="8"/>
      <c r="I957" s="8"/>
      <c r="J957" s="8"/>
    </row>
    <row r="958">
      <c r="C958" s="8"/>
      <c r="I958" s="8"/>
      <c r="J958" s="8"/>
    </row>
    <row r="959">
      <c r="C959" s="8"/>
      <c r="I959" s="8"/>
      <c r="J959" s="8"/>
    </row>
    <row r="960">
      <c r="C960" s="8"/>
      <c r="I960" s="8"/>
      <c r="J960" s="8"/>
    </row>
    <row r="961">
      <c r="C961" s="8"/>
      <c r="I961" s="8"/>
      <c r="J961" s="8"/>
    </row>
    <row r="962">
      <c r="C962" s="8"/>
      <c r="I962" s="8"/>
      <c r="J962" s="8"/>
    </row>
    <row r="963">
      <c r="C963" s="8"/>
      <c r="I963" s="8"/>
      <c r="J963" s="8"/>
    </row>
    <row r="964">
      <c r="C964" s="8"/>
      <c r="I964" s="8"/>
      <c r="J964" s="8"/>
    </row>
    <row r="965">
      <c r="C965" s="8"/>
      <c r="I965" s="8"/>
      <c r="J965" s="8"/>
    </row>
    <row r="966">
      <c r="C966" s="8"/>
      <c r="I966" s="8"/>
      <c r="J966" s="8"/>
    </row>
    <row r="967">
      <c r="C967" s="8"/>
      <c r="I967" s="8"/>
      <c r="J967" s="8"/>
    </row>
    <row r="968">
      <c r="C968" s="8"/>
      <c r="I968" s="8"/>
      <c r="J968" s="8"/>
    </row>
    <row r="969">
      <c r="C969" s="8"/>
      <c r="I969" s="8"/>
      <c r="J969" s="8"/>
    </row>
    <row r="970">
      <c r="C970" s="8"/>
      <c r="I970" s="8"/>
      <c r="J970" s="8"/>
    </row>
    <row r="971">
      <c r="C971" s="8"/>
      <c r="I971" s="8"/>
      <c r="J971" s="8"/>
    </row>
    <row r="972">
      <c r="C972" s="8"/>
      <c r="I972" s="8"/>
      <c r="J972" s="8"/>
    </row>
    <row r="973">
      <c r="C973" s="8"/>
      <c r="I973" s="8"/>
      <c r="J973" s="8"/>
    </row>
    <row r="974">
      <c r="C974" s="8"/>
      <c r="I974" s="8"/>
      <c r="J974" s="8"/>
    </row>
    <row r="975">
      <c r="C975" s="8"/>
      <c r="I975" s="8"/>
      <c r="J975" s="8"/>
    </row>
    <row r="976">
      <c r="C976" s="8"/>
      <c r="I976" s="8"/>
      <c r="J976" s="8"/>
    </row>
    <row r="977">
      <c r="C977" s="8"/>
      <c r="I977" s="8"/>
      <c r="J977" s="8"/>
    </row>
    <row r="978">
      <c r="C978" s="8"/>
      <c r="I978" s="8"/>
      <c r="J978" s="8"/>
    </row>
    <row r="979">
      <c r="C979" s="8"/>
      <c r="I979" s="8"/>
      <c r="J979" s="8"/>
    </row>
    <row r="980">
      <c r="C980" s="8"/>
      <c r="I980" s="8"/>
      <c r="J980" s="8"/>
    </row>
    <row r="981">
      <c r="C981" s="8"/>
      <c r="I981" s="8"/>
      <c r="J981" s="8"/>
    </row>
    <row r="982">
      <c r="C982" s="8"/>
      <c r="I982" s="8"/>
      <c r="J982" s="8"/>
    </row>
    <row r="983">
      <c r="C983" s="8"/>
      <c r="I983" s="8"/>
      <c r="J983" s="8"/>
    </row>
    <row r="984">
      <c r="C984" s="8"/>
      <c r="I984" s="8"/>
      <c r="J984" s="8"/>
    </row>
    <row r="985">
      <c r="C985" s="8"/>
      <c r="I985" s="8"/>
      <c r="J985" s="8"/>
    </row>
    <row r="986">
      <c r="C986" s="8"/>
      <c r="I986" s="8"/>
      <c r="J986" s="8"/>
    </row>
    <row r="987">
      <c r="C987" s="8"/>
      <c r="I987" s="8"/>
      <c r="J987" s="8"/>
    </row>
    <row r="988">
      <c r="C988" s="8"/>
      <c r="I988" s="8"/>
      <c r="J988" s="8"/>
    </row>
    <row r="989">
      <c r="C989" s="8"/>
      <c r="I989" s="8"/>
      <c r="J989" s="8"/>
    </row>
    <row r="990">
      <c r="C990" s="8"/>
      <c r="I990" s="8"/>
      <c r="J990" s="8"/>
    </row>
    <row r="991">
      <c r="C991" s="8"/>
      <c r="I991" s="8"/>
      <c r="J991" s="8"/>
    </row>
    <row r="992">
      <c r="C992" s="8"/>
      <c r="I992" s="8"/>
      <c r="J992" s="8"/>
    </row>
    <row r="993">
      <c r="C993" s="8"/>
      <c r="I993" s="8"/>
      <c r="J993" s="8"/>
    </row>
    <row r="994">
      <c r="C994" s="8"/>
      <c r="I994" s="8"/>
      <c r="J994" s="8"/>
    </row>
    <row r="995">
      <c r="C995" s="8"/>
      <c r="I995" s="8"/>
      <c r="J995" s="8"/>
    </row>
    <row r="996">
      <c r="C996" s="8"/>
      <c r="I996" s="8"/>
      <c r="J996" s="8"/>
    </row>
    <row r="997">
      <c r="C997" s="8"/>
      <c r="I997" s="8"/>
      <c r="J997" s="8"/>
    </row>
    <row r="998">
      <c r="C998" s="8"/>
      <c r="I998" s="8"/>
      <c r="J998" s="8"/>
    </row>
    <row r="999">
      <c r="C999" s="8"/>
      <c r="I999" s="8"/>
      <c r="J999" s="8"/>
    </row>
    <row r="1000">
      <c r="C1000" s="8"/>
      <c r="I1000" s="8"/>
      <c r="J1000" s="8"/>
    </row>
  </sheetData>
  <mergeCells count="1">
    <mergeCell ref="A1:O2"/>
  </mergeCells>
  <dataValidations>
    <dataValidation type="list" allowBlank="1" showErrorMessage="1" sqref="B3">
      <formula1>"Mout,Hop,Gist,Suiker,Fruit,Adjunct"</formula1>
    </dataValidation>
    <dataValidation type="list" allowBlank="1" showErrorMessage="1" sqref="J6:J1000">
      <formula1>Uitleg!$C$2:$C$5</formula1>
    </dataValidation>
    <dataValidation type="list" allowBlank="1" showErrorMessage="1" sqref="I6:I1000">
      <formula1>Uitleg!$B$2:$B$7</formula1>
    </dataValidation>
    <dataValidation type="list" allowBlank="1" showErrorMessage="1" sqref="C6:C1000">
      <formula1>Uitleg!$A$2:$A$3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63"/>
    <col customWidth="1" min="3" max="3" width="14.0"/>
    <col customWidth="1" min="7" max="11" width="13.5"/>
    <col customWidth="1" min="12" max="12" width="3.38"/>
    <col customWidth="1" min="15" max="15" width="13.88"/>
  </cols>
  <sheetData>
    <row r="1">
      <c r="A1" s="1" t="s">
        <v>141</v>
      </c>
    </row>
    <row r="3">
      <c r="A3" s="2" t="s">
        <v>559</v>
      </c>
      <c r="B3" s="2" t="s">
        <v>498</v>
      </c>
      <c r="M3" s="2" t="s">
        <v>560</v>
      </c>
      <c r="N3" s="8">
        <f>SUM(H6:H1000) - SUM(O6:O1000)</f>
        <v>13</v>
      </c>
      <c r="O3" s="2" t="s">
        <v>561</v>
      </c>
    </row>
    <row r="5">
      <c r="A5" s="22" t="s">
        <v>104</v>
      </c>
      <c r="B5" s="22" t="s">
        <v>105</v>
      </c>
      <c r="C5" s="22" t="s">
        <v>106</v>
      </c>
      <c r="D5" s="22" t="s">
        <v>107</v>
      </c>
      <c r="E5" s="22" t="s">
        <v>108</v>
      </c>
      <c r="F5" s="22" t="s">
        <v>111</v>
      </c>
      <c r="G5" s="22" t="s">
        <v>112</v>
      </c>
      <c r="H5" s="22" t="s">
        <v>113</v>
      </c>
      <c r="I5" s="22" t="s">
        <v>115</v>
      </c>
      <c r="J5" s="22" t="s">
        <v>116</v>
      </c>
      <c r="K5" s="22" t="s">
        <v>117</v>
      </c>
      <c r="M5" s="23" t="s">
        <v>118</v>
      </c>
      <c r="N5" s="23" t="s">
        <v>107</v>
      </c>
      <c r="O5" s="23" t="s">
        <v>113</v>
      </c>
      <c r="P5" s="23" t="s">
        <v>111</v>
      </c>
    </row>
    <row r="6">
      <c r="A6" s="2">
        <v>3.72012518E8</v>
      </c>
      <c r="B6" s="2">
        <v>202305.0</v>
      </c>
      <c r="C6" s="2" t="s">
        <v>130</v>
      </c>
      <c r="D6" s="24">
        <v>45013.0</v>
      </c>
      <c r="E6" s="2" t="s">
        <v>140</v>
      </c>
      <c r="F6" s="2" t="s">
        <v>142</v>
      </c>
      <c r="G6" s="27">
        <v>45645.0</v>
      </c>
      <c r="H6" s="2">
        <v>25.0</v>
      </c>
      <c r="I6" s="8"/>
      <c r="J6" s="8"/>
      <c r="K6" s="53"/>
      <c r="M6" s="2" t="s">
        <v>66</v>
      </c>
      <c r="N6" s="24">
        <v>45020.0</v>
      </c>
      <c r="O6" s="2">
        <v>12.0</v>
      </c>
      <c r="P6" s="2" t="s">
        <v>142</v>
      </c>
    </row>
    <row r="7">
      <c r="C7" s="28"/>
      <c r="D7" s="28"/>
      <c r="E7" s="28"/>
      <c r="F7" s="28"/>
      <c r="I7" s="8"/>
      <c r="J7" s="8"/>
      <c r="N7" s="24"/>
    </row>
    <row r="8">
      <c r="C8" s="28"/>
      <c r="D8" s="28"/>
      <c r="E8" s="28"/>
      <c r="F8" s="28"/>
      <c r="I8" s="8"/>
      <c r="J8" s="8"/>
      <c r="N8" s="28"/>
    </row>
    <row r="9">
      <c r="C9" s="28"/>
      <c r="D9" s="28"/>
      <c r="E9" s="28"/>
      <c r="F9" s="28"/>
      <c r="I9" s="8"/>
      <c r="J9" s="8"/>
      <c r="N9" s="28"/>
    </row>
    <row r="10">
      <c r="C10" s="28"/>
      <c r="D10" s="28"/>
      <c r="E10" s="28"/>
      <c r="F10" s="28"/>
      <c r="I10" s="8"/>
      <c r="J10" s="8"/>
      <c r="N10" s="28"/>
    </row>
    <row r="11">
      <c r="C11" s="28"/>
      <c r="D11" s="28"/>
      <c r="E11" s="28"/>
      <c r="F11" s="28"/>
      <c r="I11" s="8"/>
      <c r="J11" s="8"/>
      <c r="N11" s="28"/>
    </row>
    <row r="12">
      <c r="C12" s="28"/>
      <c r="D12" s="28"/>
      <c r="E12" s="28"/>
      <c r="F12" s="28"/>
      <c r="I12" s="8"/>
      <c r="J12" s="8"/>
      <c r="N12" s="28"/>
    </row>
    <row r="13">
      <c r="C13" s="28"/>
      <c r="D13" s="28"/>
      <c r="E13" s="28"/>
      <c r="F13" s="28"/>
      <c r="I13" s="8"/>
      <c r="J13" s="8"/>
      <c r="N13" s="28"/>
    </row>
    <row r="14">
      <c r="C14" s="28"/>
      <c r="D14" s="28"/>
      <c r="E14" s="28"/>
      <c r="F14" s="28"/>
      <c r="I14" s="8"/>
      <c r="J14" s="8"/>
      <c r="N14" s="28"/>
    </row>
    <row r="15">
      <c r="C15" s="28"/>
      <c r="D15" s="28"/>
      <c r="E15" s="28"/>
      <c r="F15" s="28"/>
      <c r="I15" s="8"/>
      <c r="J15" s="8"/>
      <c r="N15" s="28"/>
    </row>
    <row r="16">
      <c r="C16" s="28"/>
      <c r="D16" s="28"/>
      <c r="E16" s="28"/>
      <c r="F16" s="28"/>
      <c r="I16" s="8"/>
      <c r="J16" s="8"/>
      <c r="N16" s="28"/>
    </row>
    <row r="17">
      <c r="C17" s="28"/>
      <c r="D17" s="28"/>
      <c r="E17" s="28"/>
      <c r="F17" s="28"/>
      <c r="I17" s="8"/>
      <c r="J17" s="8"/>
      <c r="N17" s="28"/>
    </row>
    <row r="18">
      <c r="C18" s="28"/>
      <c r="D18" s="28"/>
      <c r="E18" s="28"/>
      <c r="F18" s="28"/>
      <c r="I18" s="8"/>
      <c r="J18" s="8"/>
      <c r="N18" s="28"/>
    </row>
    <row r="19">
      <c r="C19" s="28"/>
      <c r="D19" s="28"/>
      <c r="E19" s="28"/>
      <c r="F19" s="28"/>
      <c r="I19" s="8"/>
      <c r="J19" s="8"/>
      <c r="N19" s="28"/>
    </row>
    <row r="20">
      <c r="C20" s="28"/>
      <c r="D20" s="28"/>
      <c r="E20" s="28"/>
      <c r="F20" s="28"/>
      <c r="I20" s="8"/>
      <c r="J20" s="8"/>
      <c r="N20" s="28"/>
    </row>
    <row r="21">
      <c r="C21" s="28"/>
      <c r="D21" s="28"/>
      <c r="E21" s="28"/>
      <c r="F21" s="28"/>
      <c r="I21" s="8"/>
      <c r="J21" s="8"/>
      <c r="N21" s="28"/>
    </row>
    <row r="22">
      <c r="C22" s="28"/>
      <c r="D22" s="28"/>
      <c r="E22" s="28"/>
      <c r="F22" s="28"/>
      <c r="I22" s="8"/>
      <c r="J22" s="8"/>
      <c r="N22" s="28"/>
    </row>
    <row r="23">
      <c r="C23" s="28"/>
      <c r="D23" s="28"/>
      <c r="E23" s="28"/>
      <c r="F23" s="28"/>
      <c r="I23" s="8"/>
      <c r="J23" s="8"/>
      <c r="N23" s="28"/>
    </row>
    <row r="24">
      <c r="C24" s="28"/>
      <c r="D24" s="28"/>
      <c r="E24" s="28"/>
      <c r="F24" s="28"/>
      <c r="I24" s="8"/>
      <c r="J24" s="8"/>
      <c r="N24" s="28"/>
    </row>
    <row r="25">
      <c r="C25" s="28"/>
      <c r="D25" s="28"/>
      <c r="E25" s="28"/>
      <c r="F25" s="28"/>
      <c r="I25" s="8"/>
      <c r="J25" s="8"/>
      <c r="N25" s="28"/>
    </row>
    <row r="26">
      <c r="C26" s="28"/>
      <c r="D26" s="28"/>
      <c r="E26" s="28"/>
      <c r="F26" s="28"/>
      <c r="I26" s="8"/>
      <c r="J26" s="8"/>
      <c r="N26" s="28"/>
    </row>
    <row r="27">
      <c r="C27" s="28"/>
      <c r="D27" s="28"/>
      <c r="E27" s="28"/>
      <c r="F27" s="28"/>
      <c r="I27" s="8"/>
      <c r="J27" s="8"/>
      <c r="N27" s="28"/>
    </row>
    <row r="28">
      <c r="C28" s="28"/>
      <c r="D28" s="28"/>
      <c r="E28" s="28"/>
      <c r="F28" s="28"/>
      <c r="I28" s="8"/>
      <c r="J28" s="8"/>
      <c r="N28" s="28"/>
    </row>
    <row r="29">
      <c r="C29" s="28"/>
      <c r="D29" s="28"/>
      <c r="E29" s="28"/>
      <c r="F29" s="28"/>
      <c r="I29" s="8"/>
      <c r="J29" s="8"/>
      <c r="N29" s="28"/>
    </row>
    <row r="30">
      <c r="C30" s="28"/>
      <c r="D30" s="28"/>
      <c r="E30" s="28"/>
      <c r="F30" s="28"/>
      <c r="I30" s="8"/>
      <c r="J30" s="8"/>
      <c r="N30" s="28"/>
    </row>
    <row r="31">
      <c r="C31" s="28"/>
      <c r="D31" s="28"/>
      <c r="E31" s="28"/>
      <c r="F31" s="28"/>
      <c r="I31" s="8"/>
      <c r="J31" s="8"/>
      <c r="N31" s="28"/>
    </row>
    <row r="32">
      <c r="C32" s="28"/>
      <c r="D32" s="28"/>
      <c r="E32" s="28"/>
      <c r="F32" s="28"/>
      <c r="I32" s="8"/>
      <c r="J32" s="8"/>
      <c r="N32" s="28"/>
    </row>
    <row r="33">
      <c r="C33" s="8"/>
      <c r="I33" s="8"/>
      <c r="J33" s="8"/>
      <c r="N33" s="28"/>
    </row>
    <row r="34">
      <c r="C34" s="8"/>
      <c r="I34" s="8"/>
      <c r="J34" s="8"/>
    </row>
    <row r="35">
      <c r="C35" s="8"/>
      <c r="I35" s="8"/>
      <c r="J35" s="8"/>
    </row>
    <row r="36">
      <c r="C36" s="8"/>
      <c r="I36" s="8"/>
      <c r="J36" s="8"/>
    </row>
    <row r="37">
      <c r="C37" s="8"/>
      <c r="I37" s="8"/>
      <c r="J37" s="8"/>
    </row>
    <row r="38">
      <c r="C38" s="8"/>
      <c r="I38" s="8"/>
      <c r="J38" s="8"/>
    </row>
    <row r="39">
      <c r="C39" s="8"/>
      <c r="I39" s="8"/>
      <c r="J39" s="8"/>
    </row>
    <row r="40">
      <c r="C40" s="8"/>
      <c r="I40" s="8"/>
      <c r="J40" s="8"/>
    </row>
    <row r="41">
      <c r="C41" s="8"/>
      <c r="I41" s="8"/>
      <c r="J41" s="8"/>
    </row>
    <row r="42">
      <c r="C42" s="8"/>
      <c r="I42" s="8"/>
      <c r="J42" s="8"/>
    </row>
    <row r="43">
      <c r="C43" s="8"/>
      <c r="I43" s="8"/>
      <c r="J43" s="8"/>
    </row>
    <row r="44">
      <c r="C44" s="8"/>
      <c r="I44" s="8"/>
      <c r="J44" s="8"/>
    </row>
    <row r="45">
      <c r="C45" s="8"/>
      <c r="I45" s="8"/>
      <c r="J45" s="8"/>
    </row>
    <row r="46">
      <c r="C46" s="8"/>
      <c r="I46" s="8"/>
      <c r="J46" s="8"/>
    </row>
    <row r="47">
      <c r="C47" s="8"/>
      <c r="I47" s="8"/>
      <c r="J47" s="8"/>
    </row>
    <row r="48">
      <c r="C48" s="8"/>
      <c r="I48" s="8"/>
      <c r="J48" s="8"/>
    </row>
    <row r="49">
      <c r="C49" s="8"/>
      <c r="I49" s="8"/>
      <c r="J49" s="8"/>
    </row>
    <row r="50">
      <c r="C50" s="8"/>
      <c r="I50" s="8"/>
      <c r="J50" s="8"/>
    </row>
    <row r="51">
      <c r="C51" s="8"/>
      <c r="I51" s="8"/>
      <c r="J51" s="8"/>
    </row>
    <row r="52">
      <c r="C52" s="8"/>
      <c r="I52" s="8"/>
      <c r="J52" s="8"/>
    </row>
    <row r="53">
      <c r="C53" s="8"/>
      <c r="I53" s="8"/>
      <c r="J53" s="8"/>
    </row>
    <row r="54">
      <c r="C54" s="8"/>
      <c r="I54" s="8"/>
      <c r="J54" s="8"/>
    </row>
    <row r="55">
      <c r="C55" s="8"/>
      <c r="I55" s="8"/>
      <c r="J55" s="8"/>
    </row>
    <row r="56">
      <c r="C56" s="8"/>
      <c r="I56" s="8"/>
      <c r="J56" s="8"/>
    </row>
    <row r="57">
      <c r="C57" s="8"/>
      <c r="I57" s="8"/>
      <c r="J57" s="8"/>
    </row>
    <row r="58">
      <c r="C58" s="8"/>
      <c r="I58" s="8"/>
      <c r="J58" s="8"/>
    </row>
    <row r="59">
      <c r="C59" s="8"/>
      <c r="I59" s="8"/>
      <c r="J59" s="8"/>
    </row>
    <row r="60">
      <c r="C60" s="8"/>
      <c r="I60" s="8"/>
      <c r="J60" s="8"/>
    </row>
    <row r="61">
      <c r="C61" s="8"/>
      <c r="I61" s="8"/>
      <c r="J61" s="8"/>
    </row>
    <row r="62">
      <c r="C62" s="8"/>
      <c r="I62" s="8"/>
      <c r="J62" s="8"/>
    </row>
    <row r="63">
      <c r="C63" s="8"/>
      <c r="I63" s="8"/>
      <c r="J63" s="8"/>
    </row>
    <row r="64">
      <c r="C64" s="8"/>
      <c r="I64" s="8"/>
      <c r="J64" s="8"/>
    </row>
    <row r="65">
      <c r="C65" s="8"/>
      <c r="I65" s="8"/>
      <c r="J65" s="8"/>
    </row>
    <row r="66">
      <c r="C66" s="8"/>
      <c r="I66" s="8"/>
      <c r="J66" s="8"/>
    </row>
    <row r="67">
      <c r="C67" s="8"/>
      <c r="I67" s="8"/>
      <c r="J67" s="8"/>
    </row>
    <row r="68">
      <c r="C68" s="8"/>
      <c r="I68" s="8"/>
      <c r="J68" s="8"/>
    </row>
    <row r="69">
      <c r="C69" s="8"/>
      <c r="I69" s="8"/>
      <c r="J69" s="8"/>
    </row>
    <row r="70">
      <c r="C70" s="8"/>
      <c r="I70" s="8"/>
      <c r="J70" s="8"/>
    </row>
    <row r="71">
      <c r="C71" s="8"/>
      <c r="I71" s="8"/>
      <c r="J71" s="8"/>
    </row>
    <row r="72">
      <c r="C72" s="8"/>
      <c r="I72" s="8"/>
      <c r="J72" s="8"/>
    </row>
    <row r="73">
      <c r="C73" s="8"/>
      <c r="I73" s="8"/>
      <c r="J73" s="8"/>
    </row>
    <row r="74">
      <c r="C74" s="8"/>
      <c r="I74" s="8"/>
      <c r="J74" s="8"/>
    </row>
    <row r="75">
      <c r="C75" s="8"/>
      <c r="I75" s="8"/>
      <c r="J75" s="8"/>
    </row>
    <row r="76">
      <c r="C76" s="8"/>
      <c r="I76" s="8"/>
      <c r="J76" s="8"/>
    </row>
    <row r="77">
      <c r="C77" s="8"/>
      <c r="I77" s="8"/>
      <c r="J77" s="8"/>
    </row>
    <row r="78">
      <c r="C78" s="8"/>
      <c r="I78" s="8"/>
      <c r="J78" s="8"/>
    </row>
    <row r="79">
      <c r="C79" s="8"/>
      <c r="I79" s="8"/>
      <c r="J79" s="8"/>
    </row>
    <row r="80">
      <c r="C80" s="8"/>
      <c r="I80" s="8"/>
      <c r="J80" s="8"/>
    </row>
    <row r="81">
      <c r="C81" s="8"/>
      <c r="I81" s="8"/>
      <c r="J81" s="8"/>
    </row>
    <row r="82">
      <c r="C82" s="8"/>
      <c r="I82" s="8"/>
      <c r="J82" s="8"/>
    </row>
    <row r="83">
      <c r="C83" s="8"/>
      <c r="I83" s="8"/>
      <c r="J83" s="8"/>
    </row>
    <row r="84">
      <c r="C84" s="8"/>
      <c r="I84" s="8"/>
      <c r="J84" s="8"/>
    </row>
    <row r="85">
      <c r="C85" s="8"/>
      <c r="I85" s="8"/>
      <c r="J85" s="8"/>
    </row>
    <row r="86">
      <c r="C86" s="8"/>
      <c r="I86" s="8"/>
      <c r="J86" s="8"/>
    </row>
    <row r="87">
      <c r="C87" s="8"/>
      <c r="I87" s="8"/>
      <c r="J87" s="8"/>
    </row>
    <row r="88">
      <c r="C88" s="8"/>
      <c r="I88" s="8"/>
      <c r="J88" s="8"/>
    </row>
    <row r="89">
      <c r="C89" s="8"/>
      <c r="I89" s="8"/>
      <c r="J89" s="8"/>
    </row>
    <row r="90">
      <c r="C90" s="8"/>
      <c r="I90" s="8"/>
      <c r="J90" s="8"/>
    </row>
    <row r="91">
      <c r="C91" s="8"/>
      <c r="I91" s="8"/>
      <c r="J91" s="8"/>
    </row>
    <row r="92">
      <c r="C92" s="8"/>
      <c r="I92" s="8"/>
      <c r="J92" s="8"/>
    </row>
    <row r="93">
      <c r="C93" s="8"/>
      <c r="I93" s="8"/>
      <c r="J93" s="8"/>
    </row>
    <row r="94">
      <c r="C94" s="8"/>
      <c r="I94" s="8"/>
      <c r="J94" s="8"/>
    </row>
    <row r="95">
      <c r="C95" s="8"/>
      <c r="I95" s="8"/>
      <c r="J95" s="8"/>
    </row>
    <row r="96">
      <c r="C96" s="8"/>
      <c r="I96" s="8"/>
      <c r="J96" s="8"/>
    </row>
    <row r="97">
      <c r="C97" s="8"/>
      <c r="I97" s="8"/>
      <c r="J97" s="8"/>
    </row>
    <row r="98">
      <c r="C98" s="8"/>
      <c r="I98" s="8"/>
      <c r="J98" s="8"/>
    </row>
    <row r="99">
      <c r="C99" s="8"/>
      <c r="I99" s="8"/>
      <c r="J99" s="8"/>
    </row>
    <row r="100">
      <c r="C100" s="8"/>
      <c r="I100" s="8"/>
      <c r="J100" s="8"/>
    </row>
    <row r="101">
      <c r="C101" s="8"/>
      <c r="I101" s="8"/>
      <c r="J101" s="8"/>
    </row>
    <row r="102">
      <c r="C102" s="8"/>
      <c r="I102" s="8"/>
      <c r="J102" s="8"/>
    </row>
    <row r="103">
      <c r="C103" s="8"/>
      <c r="I103" s="8"/>
      <c r="J103" s="8"/>
    </row>
    <row r="104">
      <c r="C104" s="8"/>
      <c r="I104" s="8"/>
      <c r="J104" s="8"/>
    </row>
    <row r="105">
      <c r="C105" s="8"/>
      <c r="I105" s="8"/>
      <c r="J105" s="8"/>
    </row>
    <row r="106">
      <c r="C106" s="8"/>
      <c r="I106" s="8"/>
      <c r="J106" s="8"/>
    </row>
    <row r="107">
      <c r="C107" s="8"/>
      <c r="I107" s="8"/>
      <c r="J107" s="8"/>
    </row>
    <row r="108">
      <c r="C108" s="8"/>
      <c r="I108" s="8"/>
      <c r="J108" s="8"/>
    </row>
    <row r="109">
      <c r="C109" s="8"/>
      <c r="I109" s="8"/>
      <c r="J109" s="8"/>
    </row>
    <row r="110">
      <c r="C110" s="8"/>
      <c r="I110" s="8"/>
      <c r="J110" s="8"/>
    </row>
    <row r="111">
      <c r="C111" s="8"/>
      <c r="I111" s="8"/>
      <c r="J111" s="8"/>
    </row>
    <row r="112">
      <c r="C112" s="8"/>
      <c r="I112" s="8"/>
      <c r="J112" s="8"/>
    </row>
    <row r="113">
      <c r="C113" s="8"/>
      <c r="I113" s="8"/>
      <c r="J113" s="8"/>
    </row>
    <row r="114">
      <c r="C114" s="8"/>
      <c r="I114" s="8"/>
      <c r="J114" s="8"/>
    </row>
    <row r="115">
      <c r="C115" s="8"/>
      <c r="I115" s="8"/>
      <c r="J115" s="8"/>
    </row>
    <row r="116">
      <c r="C116" s="8"/>
      <c r="I116" s="8"/>
      <c r="J116" s="8"/>
    </row>
    <row r="117">
      <c r="C117" s="8"/>
      <c r="I117" s="8"/>
      <c r="J117" s="8"/>
    </row>
    <row r="118">
      <c r="C118" s="8"/>
      <c r="I118" s="8"/>
      <c r="J118" s="8"/>
    </row>
    <row r="119">
      <c r="C119" s="8"/>
      <c r="I119" s="8"/>
      <c r="J119" s="8"/>
    </row>
    <row r="120">
      <c r="C120" s="8"/>
      <c r="I120" s="8"/>
      <c r="J120" s="8"/>
    </row>
    <row r="121">
      <c r="C121" s="8"/>
      <c r="I121" s="8"/>
      <c r="J121" s="8"/>
    </row>
    <row r="122">
      <c r="C122" s="8"/>
      <c r="I122" s="8"/>
      <c r="J122" s="8"/>
    </row>
    <row r="123">
      <c r="C123" s="8"/>
      <c r="I123" s="8"/>
      <c r="J123" s="8"/>
    </row>
    <row r="124">
      <c r="C124" s="8"/>
      <c r="I124" s="8"/>
      <c r="J124" s="8"/>
    </row>
    <row r="125">
      <c r="C125" s="8"/>
      <c r="I125" s="8"/>
      <c r="J125" s="8"/>
    </row>
    <row r="126">
      <c r="C126" s="8"/>
      <c r="I126" s="8"/>
      <c r="J126" s="8"/>
    </row>
    <row r="127">
      <c r="C127" s="8"/>
      <c r="I127" s="8"/>
      <c r="J127" s="8"/>
    </row>
    <row r="128">
      <c r="C128" s="8"/>
      <c r="I128" s="8"/>
      <c r="J128" s="8"/>
    </row>
    <row r="129">
      <c r="C129" s="8"/>
      <c r="I129" s="8"/>
      <c r="J129" s="8"/>
    </row>
    <row r="130">
      <c r="C130" s="8"/>
      <c r="I130" s="8"/>
      <c r="J130" s="8"/>
    </row>
    <row r="131">
      <c r="C131" s="8"/>
      <c r="I131" s="8"/>
      <c r="J131" s="8"/>
    </row>
    <row r="132">
      <c r="C132" s="8"/>
      <c r="I132" s="8"/>
      <c r="J132" s="8"/>
    </row>
    <row r="133">
      <c r="C133" s="8"/>
      <c r="I133" s="8"/>
      <c r="J133" s="8"/>
    </row>
    <row r="134">
      <c r="C134" s="8"/>
      <c r="I134" s="8"/>
      <c r="J134" s="8"/>
    </row>
    <row r="135">
      <c r="C135" s="8"/>
      <c r="I135" s="8"/>
      <c r="J135" s="8"/>
    </row>
    <row r="136">
      <c r="C136" s="8"/>
      <c r="I136" s="8"/>
      <c r="J136" s="8"/>
    </row>
    <row r="137">
      <c r="C137" s="8"/>
      <c r="I137" s="8"/>
      <c r="J137" s="8"/>
    </row>
    <row r="138">
      <c r="C138" s="8"/>
      <c r="I138" s="8"/>
      <c r="J138" s="8"/>
    </row>
    <row r="139">
      <c r="C139" s="8"/>
      <c r="I139" s="8"/>
      <c r="J139" s="8"/>
    </row>
    <row r="140">
      <c r="C140" s="8"/>
      <c r="I140" s="8"/>
      <c r="J140" s="8"/>
    </row>
    <row r="141">
      <c r="C141" s="8"/>
      <c r="I141" s="8"/>
      <c r="J141" s="8"/>
    </row>
    <row r="142">
      <c r="C142" s="8"/>
      <c r="I142" s="8"/>
      <c r="J142" s="8"/>
    </row>
    <row r="143">
      <c r="C143" s="8"/>
      <c r="I143" s="8"/>
      <c r="J143" s="8"/>
    </row>
    <row r="144">
      <c r="C144" s="8"/>
      <c r="I144" s="8"/>
      <c r="J144" s="8"/>
    </row>
    <row r="145">
      <c r="C145" s="8"/>
      <c r="I145" s="8"/>
      <c r="J145" s="8"/>
    </row>
    <row r="146">
      <c r="C146" s="8"/>
      <c r="I146" s="8"/>
      <c r="J146" s="8"/>
    </row>
    <row r="147">
      <c r="C147" s="8"/>
      <c r="I147" s="8"/>
      <c r="J147" s="8"/>
    </row>
    <row r="148">
      <c r="C148" s="8"/>
      <c r="I148" s="8"/>
      <c r="J148" s="8"/>
    </row>
    <row r="149">
      <c r="C149" s="8"/>
      <c r="I149" s="8"/>
      <c r="J149" s="8"/>
    </row>
    <row r="150">
      <c r="C150" s="8"/>
      <c r="I150" s="8"/>
      <c r="J150" s="8"/>
    </row>
    <row r="151">
      <c r="C151" s="8"/>
      <c r="I151" s="8"/>
      <c r="J151" s="8"/>
    </row>
    <row r="152">
      <c r="C152" s="8"/>
      <c r="I152" s="8"/>
      <c r="J152" s="8"/>
    </row>
    <row r="153">
      <c r="C153" s="8"/>
      <c r="I153" s="8"/>
      <c r="J153" s="8"/>
    </row>
    <row r="154">
      <c r="C154" s="8"/>
      <c r="I154" s="8"/>
      <c r="J154" s="8"/>
    </row>
    <row r="155">
      <c r="C155" s="8"/>
      <c r="I155" s="8"/>
      <c r="J155" s="8"/>
    </row>
    <row r="156">
      <c r="C156" s="8"/>
      <c r="I156" s="8"/>
      <c r="J156" s="8"/>
    </row>
    <row r="157">
      <c r="C157" s="8"/>
      <c r="I157" s="8"/>
      <c r="J157" s="8"/>
    </row>
    <row r="158">
      <c r="C158" s="8"/>
      <c r="I158" s="8"/>
      <c r="J158" s="8"/>
    </row>
    <row r="159">
      <c r="C159" s="8"/>
      <c r="I159" s="8"/>
      <c r="J159" s="8"/>
    </row>
    <row r="160">
      <c r="C160" s="8"/>
      <c r="I160" s="8"/>
      <c r="J160" s="8"/>
    </row>
    <row r="161">
      <c r="C161" s="8"/>
      <c r="I161" s="8"/>
      <c r="J161" s="8"/>
    </row>
    <row r="162">
      <c r="C162" s="8"/>
      <c r="I162" s="8"/>
      <c r="J162" s="8"/>
    </row>
    <row r="163">
      <c r="C163" s="8"/>
      <c r="I163" s="8"/>
      <c r="J163" s="8"/>
    </row>
    <row r="164">
      <c r="C164" s="8"/>
      <c r="I164" s="8"/>
      <c r="J164" s="8"/>
    </row>
    <row r="165">
      <c r="C165" s="8"/>
      <c r="I165" s="8"/>
      <c r="J165" s="8"/>
    </row>
    <row r="166">
      <c r="C166" s="8"/>
      <c r="I166" s="8"/>
      <c r="J166" s="8"/>
    </row>
    <row r="167">
      <c r="C167" s="8"/>
      <c r="I167" s="8"/>
      <c r="J167" s="8"/>
    </row>
    <row r="168">
      <c r="C168" s="8"/>
      <c r="I168" s="8"/>
      <c r="J168" s="8"/>
    </row>
    <row r="169">
      <c r="C169" s="8"/>
      <c r="I169" s="8"/>
      <c r="J169" s="8"/>
    </row>
    <row r="170">
      <c r="C170" s="8"/>
      <c r="I170" s="8"/>
      <c r="J170" s="8"/>
    </row>
    <row r="171">
      <c r="C171" s="8"/>
      <c r="I171" s="8"/>
      <c r="J171" s="8"/>
    </row>
    <row r="172">
      <c r="C172" s="8"/>
      <c r="I172" s="8"/>
      <c r="J172" s="8"/>
    </row>
    <row r="173">
      <c r="C173" s="8"/>
      <c r="I173" s="8"/>
      <c r="J173" s="8"/>
    </row>
    <row r="174">
      <c r="C174" s="8"/>
      <c r="I174" s="8"/>
      <c r="J174" s="8"/>
    </row>
    <row r="175">
      <c r="C175" s="8"/>
      <c r="I175" s="8"/>
      <c r="J175" s="8"/>
    </row>
    <row r="176">
      <c r="C176" s="8"/>
      <c r="I176" s="8"/>
      <c r="J176" s="8"/>
    </row>
    <row r="177">
      <c r="C177" s="8"/>
      <c r="I177" s="8"/>
      <c r="J177" s="8"/>
    </row>
    <row r="178">
      <c r="C178" s="8"/>
      <c r="I178" s="8"/>
      <c r="J178" s="8"/>
    </row>
    <row r="179">
      <c r="C179" s="8"/>
      <c r="I179" s="8"/>
      <c r="J179" s="8"/>
    </row>
    <row r="180">
      <c r="C180" s="8"/>
      <c r="I180" s="8"/>
      <c r="J180" s="8"/>
    </row>
    <row r="181">
      <c r="C181" s="8"/>
      <c r="I181" s="8"/>
      <c r="J181" s="8"/>
    </row>
    <row r="182">
      <c r="C182" s="8"/>
      <c r="I182" s="8"/>
      <c r="J182" s="8"/>
    </row>
    <row r="183">
      <c r="C183" s="8"/>
      <c r="I183" s="8"/>
      <c r="J183" s="8"/>
    </row>
    <row r="184">
      <c r="C184" s="8"/>
      <c r="I184" s="8"/>
      <c r="J184" s="8"/>
    </row>
    <row r="185">
      <c r="C185" s="8"/>
      <c r="I185" s="8"/>
      <c r="J185" s="8"/>
    </row>
    <row r="186">
      <c r="C186" s="8"/>
      <c r="I186" s="8"/>
      <c r="J186" s="8"/>
    </row>
    <row r="187">
      <c r="C187" s="8"/>
      <c r="I187" s="8"/>
      <c r="J187" s="8"/>
    </row>
    <row r="188">
      <c r="C188" s="8"/>
      <c r="I188" s="8"/>
      <c r="J188" s="8"/>
    </row>
    <row r="189">
      <c r="C189" s="8"/>
      <c r="I189" s="8"/>
      <c r="J189" s="8"/>
    </row>
    <row r="190">
      <c r="C190" s="8"/>
      <c r="I190" s="8"/>
      <c r="J190" s="8"/>
    </row>
    <row r="191">
      <c r="C191" s="8"/>
      <c r="I191" s="8"/>
      <c r="J191" s="8"/>
    </row>
    <row r="192">
      <c r="C192" s="8"/>
      <c r="I192" s="8"/>
      <c r="J192" s="8"/>
    </row>
    <row r="193">
      <c r="C193" s="8"/>
      <c r="I193" s="8"/>
      <c r="J193" s="8"/>
    </row>
    <row r="194">
      <c r="C194" s="8"/>
      <c r="I194" s="8"/>
      <c r="J194" s="8"/>
    </row>
    <row r="195">
      <c r="C195" s="8"/>
      <c r="I195" s="8"/>
      <c r="J195" s="8"/>
    </row>
    <row r="196">
      <c r="C196" s="8"/>
      <c r="I196" s="8"/>
      <c r="J196" s="8"/>
    </row>
    <row r="197">
      <c r="C197" s="8"/>
      <c r="I197" s="8"/>
      <c r="J197" s="8"/>
    </row>
    <row r="198">
      <c r="C198" s="8"/>
      <c r="I198" s="8"/>
      <c r="J198" s="8"/>
    </row>
    <row r="199">
      <c r="C199" s="8"/>
      <c r="I199" s="8"/>
      <c r="J199" s="8"/>
    </row>
    <row r="200">
      <c r="C200" s="8"/>
      <c r="I200" s="8"/>
      <c r="J200" s="8"/>
    </row>
    <row r="201">
      <c r="C201" s="8"/>
      <c r="I201" s="8"/>
      <c r="J201" s="8"/>
    </row>
    <row r="202">
      <c r="C202" s="8"/>
      <c r="I202" s="8"/>
      <c r="J202" s="8"/>
    </row>
    <row r="203">
      <c r="C203" s="8"/>
      <c r="I203" s="8"/>
      <c r="J203" s="8"/>
    </row>
    <row r="204">
      <c r="C204" s="8"/>
      <c r="I204" s="8"/>
      <c r="J204" s="8"/>
    </row>
    <row r="205">
      <c r="C205" s="8"/>
      <c r="I205" s="8"/>
      <c r="J205" s="8"/>
    </row>
    <row r="206">
      <c r="C206" s="8"/>
      <c r="I206" s="8"/>
      <c r="J206" s="8"/>
    </row>
    <row r="207">
      <c r="C207" s="8"/>
      <c r="I207" s="8"/>
      <c r="J207" s="8"/>
    </row>
    <row r="208">
      <c r="C208" s="8"/>
      <c r="I208" s="8"/>
      <c r="J208" s="8"/>
    </row>
    <row r="209">
      <c r="C209" s="8"/>
      <c r="I209" s="8"/>
      <c r="J209" s="8"/>
    </row>
    <row r="210">
      <c r="C210" s="8"/>
      <c r="I210" s="8"/>
      <c r="J210" s="8"/>
    </row>
    <row r="211">
      <c r="C211" s="8"/>
      <c r="I211" s="8"/>
      <c r="J211" s="8"/>
    </row>
    <row r="212">
      <c r="C212" s="8"/>
      <c r="I212" s="8"/>
      <c r="J212" s="8"/>
    </row>
    <row r="213">
      <c r="C213" s="8"/>
      <c r="I213" s="8"/>
      <c r="J213" s="8"/>
    </row>
    <row r="214">
      <c r="C214" s="8"/>
      <c r="I214" s="8"/>
      <c r="J214" s="8"/>
    </row>
    <row r="215">
      <c r="C215" s="8"/>
      <c r="I215" s="8"/>
      <c r="J215" s="8"/>
    </row>
    <row r="216">
      <c r="C216" s="8"/>
      <c r="I216" s="8"/>
      <c r="J216" s="8"/>
    </row>
    <row r="217">
      <c r="C217" s="8"/>
      <c r="I217" s="8"/>
      <c r="J217" s="8"/>
    </row>
    <row r="218">
      <c r="C218" s="8"/>
      <c r="I218" s="8"/>
      <c r="J218" s="8"/>
    </row>
    <row r="219">
      <c r="C219" s="8"/>
      <c r="I219" s="8"/>
      <c r="J219" s="8"/>
    </row>
    <row r="220">
      <c r="C220" s="8"/>
      <c r="I220" s="8"/>
      <c r="J220" s="8"/>
    </row>
    <row r="221">
      <c r="C221" s="8"/>
      <c r="I221" s="8"/>
      <c r="J221" s="8"/>
    </row>
    <row r="222">
      <c r="C222" s="8"/>
      <c r="I222" s="8"/>
      <c r="J222" s="8"/>
    </row>
    <row r="223">
      <c r="C223" s="8"/>
      <c r="I223" s="8"/>
      <c r="J223" s="8"/>
    </row>
    <row r="224">
      <c r="C224" s="8"/>
      <c r="I224" s="8"/>
      <c r="J224" s="8"/>
    </row>
    <row r="225">
      <c r="C225" s="8"/>
      <c r="I225" s="8"/>
      <c r="J225" s="8"/>
    </row>
    <row r="226">
      <c r="C226" s="8"/>
      <c r="I226" s="8"/>
      <c r="J226" s="8"/>
    </row>
    <row r="227">
      <c r="C227" s="8"/>
      <c r="I227" s="8"/>
      <c r="J227" s="8"/>
    </row>
    <row r="228">
      <c r="C228" s="8"/>
      <c r="I228" s="8"/>
      <c r="J228" s="8"/>
    </row>
    <row r="229">
      <c r="C229" s="8"/>
      <c r="I229" s="8"/>
      <c r="J229" s="8"/>
    </row>
    <row r="230">
      <c r="C230" s="8"/>
      <c r="I230" s="8"/>
      <c r="J230" s="8"/>
    </row>
    <row r="231">
      <c r="C231" s="8"/>
      <c r="I231" s="8"/>
      <c r="J231" s="8"/>
    </row>
    <row r="232">
      <c r="C232" s="8"/>
      <c r="I232" s="8"/>
      <c r="J232" s="8"/>
    </row>
    <row r="233">
      <c r="C233" s="8"/>
      <c r="I233" s="8"/>
      <c r="J233" s="8"/>
    </row>
    <row r="234">
      <c r="C234" s="8"/>
      <c r="I234" s="8"/>
      <c r="J234" s="8"/>
    </row>
    <row r="235">
      <c r="C235" s="8"/>
      <c r="I235" s="8"/>
      <c r="J235" s="8"/>
    </row>
    <row r="236">
      <c r="C236" s="8"/>
      <c r="I236" s="8"/>
      <c r="J236" s="8"/>
    </row>
    <row r="237">
      <c r="C237" s="8"/>
      <c r="I237" s="8"/>
      <c r="J237" s="8"/>
    </row>
    <row r="238">
      <c r="C238" s="8"/>
      <c r="I238" s="8"/>
      <c r="J238" s="8"/>
    </row>
    <row r="239">
      <c r="C239" s="8"/>
      <c r="I239" s="8"/>
      <c r="J239" s="8"/>
    </row>
    <row r="240">
      <c r="C240" s="8"/>
      <c r="I240" s="8"/>
      <c r="J240" s="8"/>
    </row>
    <row r="241">
      <c r="C241" s="8"/>
      <c r="I241" s="8"/>
      <c r="J241" s="8"/>
    </row>
    <row r="242">
      <c r="C242" s="8"/>
      <c r="I242" s="8"/>
      <c r="J242" s="8"/>
    </row>
    <row r="243">
      <c r="C243" s="8"/>
      <c r="I243" s="8"/>
      <c r="J243" s="8"/>
    </row>
    <row r="244">
      <c r="C244" s="8"/>
      <c r="I244" s="8"/>
      <c r="J244" s="8"/>
    </row>
    <row r="245">
      <c r="C245" s="8"/>
      <c r="I245" s="8"/>
      <c r="J245" s="8"/>
    </row>
    <row r="246">
      <c r="C246" s="8"/>
      <c r="I246" s="8"/>
      <c r="J246" s="8"/>
    </row>
    <row r="247">
      <c r="C247" s="8"/>
      <c r="I247" s="8"/>
      <c r="J247" s="8"/>
    </row>
    <row r="248">
      <c r="C248" s="8"/>
      <c r="I248" s="8"/>
      <c r="J248" s="8"/>
    </row>
    <row r="249">
      <c r="C249" s="8"/>
      <c r="I249" s="8"/>
      <c r="J249" s="8"/>
    </row>
    <row r="250">
      <c r="C250" s="8"/>
      <c r="I250" s="8"/>
      <c r="J250" s="8"/>
    </row>
    <row r="251">
      <c r="C251" s="8"/>
      <c r="I251" s="8"/>
      <c r="J251" s="8"/>
    </row>
    <row r="252">
      <c r="C252" s="8"/>
      <c r="I252" s="8"/>
      <c r="J252" s="8"/>
    </row>
    <row r="253">
      <c r="C253" s="8"/>
      <c r="I253" s="8"/>
      <c r="J253" s="8"/>
    </row>
    <row r="254">
      <c r="C254" s="8"/>
      <c r="I254" s="8"/>
      <c r="J254" s="8"/>
    </row>
    <row r="255">
      <c r="C255" s="8"/>
      <c r="I255" s="8"/>
      <c r="J255" s="8"/>
    </row>
    <row r="256">
      <c r="C256" s="8"/>
      <c r="I256" s="8"/>
      <c r="J256" s="8"/>
    </row>
    <row r="257">
      <c r="C257" s="8"/>
      <c r="I257" s="8"/>
      <c r="J257" s="8"/>
    </row>
    <row r="258">
      <c r="C258" s="8"/>
      <c r="I258" s="8"/>
      <c r="J258" s="8"/>
    </row>
    <row r="259">
      <c r="C259" s="8"/>
      <c r="I259" s="8"/>
      <c r="J259" s="8"/>
    </row>
    <row r="260">
      <c r="C260" s="8"/>
      <c r="I260" s="8"/>
      <c r="J260" s="8"/>
    </row>
    <row r="261">
      <c r="C261" s="8"/>
      <c r="I261" s="8"/>
      <c r="J261" s="8"/>
    </row>
    <row r="262">
      <c r="C262" s="8"/>
      <c r="I262" s="8"/>
      <c r="J262" s="8"/>
    </row>
    <row r="263">
      <c r="C263" s="8"/>
      <c r="I263" s="8"/>
      <c r="J263" s="8"/>
    </row>
    <row r="264">
      <c r="C264" s="8"/>
      <c r="I264" s="8"/>
      <c r="J264" s="8"/>
    </row>
    <row r="265">
      <c r="C265" s="8"/>
      <c r="I265" s="8"/>
      <c r="J265" s="8"/>
    </row>
    <row r="266">
      <c r="C266" s="8"/>
      <c r="I266" s="8"/>
      <c r="J266" s="8"/>
    </row>
    <row r="267">
      <c r="C267" s="8"/>
      <c r="I267" s="8"/>
      <c r="J267" s="8"/>
    </row>
    <row r="268">
      <c r="C268" s="8"/>
      <c r="I268" s="8"/>
      <c r="J268" s="8"/>
    </row>
    <row r="269">
      <c r="C269" s="8"/>
      <c r="I269" s="8"/>
      <c r="J269" s="8"/>
    </row>
    <row r="270">
      <c r="C270" s="8"/>
      <c r="I270" s="8"/>
      <c r="J270" s="8"/>
    </row>
    <row r="271">
      <c r="C271" s="8"/>
      <c r="I271" s="8"/>
      <c r="J271" s="8"/>
    </row>
    <row r="272">
      <c r="C272" s="8"/>
      <c r="I272" s="8"/>
      <c r="J272" s="8"/>
    </row>
    <row r="273">
      <c r="C273" s="8"/>
      <c r="I273" s="8"/>
      <c r="J273" s="8"/>
    </row>
    <row r="274">
      <c r="C274" s="8"/>
      <c r="I274" s="8"/>
      <c r="J274" s="8"/>
    </row>
    <row r="275">
      <c r="C275" s="8"/>
      <c r="I275" s="8"/>
      <c r="J275" s="8"/>
    </row>
    <row r="276">
      <c r="C276" s="8"/>
      <c r="I276" s="8"/>
      <c r="J276" s="8"/>
    </row>
    <row r="277">
      <c r="C277" s="8"/>
      <c r="I277" s="8"/>
      <c r="J277" s="8"/>
    </row>
    <row r="278">
      <c r="C278" s="8"/>
      <c r="I278" s="8"/>
      <c r="J278" s="8"/>
    </row>
    <row r="279">
      <c r="C279" s="8"/>
      <c r="I279" s="8"/>
      <c r="J279" s="8"/>
    </row>
    <row r="280">
      <c r="C280" s="8"/>
      <c r="I280" s="8"/>
      <c r="J280" s="8"/>
    </row>
    <row r="281">
      <c r="C281" s="8"/>
      <c r="I281" s="8"/>
      <c r="J281" s="8"/>
    </row>
    <row r="282">
      <c r="C282" s="8"/>
      <c r="I282" s="8"/>
      <c r="J282" s="8"/>
    </row>
    <row r="283">
      <c r="C283" s="8"/>
      <c r="I283" s="8"/>
      <c r="J283" s="8"/>
    </row>
    <row r="284">
      <c r="C284" s="8"/>
      <c r="I284" s="8"/>
      <c r="J284" s="8"/>
    </row>
    <row r="285">
      <c r="C285" s="8"/>
      <c r="I285" s="8"/>
      <c r="J285" s="8"/>
    </row>
    <row r="286">
      <c r="C286" s="8"/>
      <c r="I286" s="8"/>
      <c r="J286" s="8"/>
    </row>
    <row r="287">
      <c r="C287" s="8"/>
      <c r="I287" s="8"/>
      <c r="J287" s="8"/>
    </row>
    <row r="288">
      <c r="C288" s="8"/>
      <c r="I288" s="8"/>
      <c r="J288" s="8"/>
    </row>
    <row r="289">
      <c r="C289" s="8"/>
      <c r="I289" s="8"/>
      <c r="J289" s="8"/>
    </row>
    <row r="290">
      <c r="C290" s="8"/>
      <c r="I290" s="8"/>
      <c r="J290" s="8"/>
    </row>
    <row r="291">
      <c r="C291" s="8"/>
      <c r="I291" s="8"/>
      <c r="J291" s="8"/>
    </row>
    <row r="292">
      <c r="C292" s="8"/>
      <c r="I292" s="8"/>
      <c r="J292" s="8"/>
    </row>
    <row r="293">
      <c r="C293" s="8"/>
      <c r="I293" s="8"/>
      <c r="J293" s="8"/>
    </row>
    <row r="294">
      <c r="C294" s="8"/>
      <c r="I294" s="8"/>
      <c r="J294" s="8"/>
    </row>
    <row r="295">
      <c r="C295" s="8"/>
      <c r="I295" s="8"/>
      <c r="J295" s="8"/>
    </row>
    <row r="296">
      <c r="C296" s="8"/>
      <c r="I296" s="8"/>
      <c r="J296" s="8"/>
    </row>
    <row r="297">
      <c r="C297" s="8"/>
      <c r="I297" s="8"/>
      <c r="J297" s="8"/>
    </row>
    <row r="298">
      <c r="C298" s="8"/>
      <c r="I298" s="8"/>
      <c r="J298" s="8"/>
    </row>
    <row r="299">
      <c r="C299" s="8"/>
      <c r="I299" s="8"/>
      <c r="J299" s="8"/>
    </row>
    <row r="300">
      <c r="C300" s="8"/>
      <c r="I300" s="8"/>
      <c r="J300" s="8"/>
    </row>
    <row r="301">
      <c r="C301" s="8"/>
      <c r="I301" s="8"/>
      <c r="J301" s="8"/>
    </row>
    <row r="302">
      <c r="C302" s="8"/>
      <c r="I302" s="8"/>
      <c r="J302" s="8"/>
    </row>
    <row r="303">
      <c r="C303" s="8"/>
      <c r="I303" s="8"/>
      <c r="J303" s="8"/>
    </row>
    <row r="304">
      <c r="C304" s="8"/>
      <c r="I304" s="8"/>
      <c r="J304" s="8"/>
    </row>
    <row r="305">
      <c r="C305" s="8"/>
      <c r="I305" s="8"/>
      <c r="J305" s="8"/>
    </row>
    <row r="306">
      <c r="C306" s="8"/>
      <c r="I306" s="8"/>
      <c r="J306" s="8"/>
    </row>
    <row r="307">
      <c r="C307" s="8"/>
      <c r="I307" s="8"/>
      <c r="J307" s="8"/>
    </row>
    <row r="308">
      <c r="C308" s="8"/>
      <c r="I308" s="8"/>
      <c r="J308" s="8"/>
    </row>
    <row r="309">
      <c r="C309" s="8"/>
      <c r="I309" s="8"/>
      <c r="J309" s="8"/>
    </row>
    <row r="310">
      <c r="C310" s="8"/>
      <c r="I310" s="8"/>
      <c r="J310" s="8"/>
    </row>
    <row r="311">
      <c r="C311" s="8"/>
      <c r="I311" s="8"/>
      <c r="J311" s="8"/>
    </row>
    <row r="312">
      <c r="C312" s="8"/>
      <c r="I312" s="8"/>
      <c r="J312" s="8"/>
    </row>
    <row r="313">
      <c r="C313" s="8"/>
      <c r="I313" s="8"/>
      <c r="J313" s="8"/>
    </row>
    <row r="314">
      <c r="C314" s="8"/>
      <c r="I314" s="8"/>
      <c r="J314" s="8"/>
    </row>
    <row r="315">
      <c r="C315" s="8"/>
      <c r="I315" s="8"/>
      <c r="J315" s="8"/>
    </row>
    <row r="316">
      <c r="C316" s="8"/>
      <c r="I316" s="8"/>
      <c r="J316" s="8"/>
    </row>
    <row r="317">
      <c r="C317" s="8"/>
      <c r="I317" s="8"/>
      <c r="J317" s="8"/>
    </row>
    <row r="318">
      <c r="C318" s="8"/>
      <c r="I318" s="8"/>
      <c r="J318" s="8"/>
    </row>
    <row r="319">
      <c r="C319" s="8"/>
      <c r="I319" s="8"/>
      <c r="J319" s="8"/>
    </row>
    <row r="320">
      <c r="C320" s="8"/>
      <c r="I320" s="8"/>
      <c r="J320" s="8"/>
    </row>
    <row r="321">
      <c r="C321" s="8"/>
      <c r="I321" s="8"/>
      <c r="J321" s="8"/>
    </row>
    <row r="322">
      <c r="C322" s="8"/>
      <c r="I322" s="8"/>
      <c r="J322" s="8"/>
    </row>
    <row r="323">
      <c r="C323" s="8"/>
      <c r="I323" s="8"/>
      <c r="J323" s="8"/>
    </row>
    <row r="324">
      <c r="C324" s="8"/>
      <c r="I324" s="8"/>
      <c r="J324" s="8"/>
    </row>
    <row r="325">
      <c r="C325" s="8"/>
      <c r="I325" s="8"/>
      <c r="J325" s="8"/>
    </row>
    <row r="326">
      <c r="C326" s="8"/>
      <c r="I326" s="8"/>
      <c r="J326" s="8"/>
    </row>
    <row r="327">
      <c r="C327" s="8"/>
      <c r="I327" s="8"/>
      <c r="J327" s="8"/>
    </row>
    <row r="328">
      <c r="C328" s="8"/>
      <c r="I328" s="8"/>
      <c r="J328" s="8"/>
    </row>
    <row r="329">
      <c r="C329" s="8"/>
      <c r="I329" s="8"/>
      <c r="J329" s="8"/>
    </row>
    <row r="330">
      <c r="C330" s="8"/>
      <c r="I330" s="8"/>
      <c r="J330" s="8"/>
    </row>
    <row r="331">
      <c r="C331" s="8"/>
      <c r="I331" s="8"/>
      <c r="J331" s="8"/>
    </row>
    <row r="332">
      <c r="C332" s="8"/>
      <c r="I332" s="8"/>
      <c r="J332" s="8"/>
    </row>
    <row r="333">
      <c r="C333" s="8"/>
      <c r="I333" s="8"/>
      <c r="J333" s="8"/>
    </row>
    <row r="334">
      <c r="C334" s="8"/>
      <c r="I334" s="8"/>
      <c r="J334" s="8"/>
    </row>
    <row r="335">
      <c r="C335" s="8"/>
      <c r="I335" s="8"/>
      <c r="J335" s="8"/>
    </row>
    <row r="336">
      <c r="C336" s="8"/>
      <c r="I336" s="8"/>
      <c r="J336" s="8"/>
    </row>
    <row r="337">
      <c r="C337" s="8"/>
      <c r="I337" s="8"/>
      <c r="J337" s="8"/>
    </row>
    <row r="338">
      <c r="C338" s="8"/>
      <c r="I338" s="8"/>
      <c r="J338" s="8"/>
    </row>
    <row r="339">
      <c r="C339" s="8"/>
      <c r="I339" s="8"/>
      <c r="J339" s="8"/>
    </row>
    <row r="340">
      <c r="C340" s="8"/>
      <c r="I340" s="8"/>
      <c r="J340" s="8"/>
    </row>
    <row r="341">
      <c r="C341" s="8"/>
      <c r="I341" s="8"/>
      <c r="J341" s="8"/>
    </row>
    <row r="342">
      <c r="C342" s="8"/>
      <c r="I342" s="8"/>
      <c r="J342" s="8"/>
    </row>
    <row r="343">
      <c r="C343" s="8"/>
      <c r="I343" s="8"/>
      <c r="J343" s="8"/>
    </row>
    <row r="344">
      <c r="C344" s="8"/>
      <c r="I344" s="8"/>
      <c r="J344" s="8"/>
    </row>
    <row r="345">
      <c r="C345" s="8"/>
      <c r="I345" s="8"/>
      <c r="J345" s="8"/>
    </row>
    <row r="346">
      <c r="C346" s="8"/>
      <c r="I346" s="8"/>
      <c r="J346" s="8"/>
    </row>
    <row r="347">
      <c r="C347" s="8"/>
      <c r="I347" s="8"/>
      <c r="J347" s="8"/>
    </row>
    <row r="348">
      <c r="C348" s="8"/>
      <c r="I348" s="8"/>
      <c r="J348" s="8"/>
    </row>
    <row r="349">
      <c r="C349" s="8"/>
      <c r="I349" s="8"/>
      <c r="J349" s="8"/>
    </row>
    <row r="350">
      <c r="C350" s="8"/>
      <c r="I350" s="8"/>
      <c r="J350" s="8"/>
    </row>
    <row r="351">
      <c r="C351" s="8"/>
      <c r="I351" s="8"/>
      <c r="J351" s="8"/>
    </row>
    <row r="352">
      <c r="C352" s="8"/>
      <c r="I352" s="8"/>
      <c r="J352" s="8"/>
    </row>
    <row r="353">
      <c r="C353" s="8"/>
      <c r="I353" s="8"/>
      <c r="J353" s="8"/>
    </row>
    <row r="354">
      <c r="C354" s="8"/>
      <c r="I354" s="8"/>
      <c r="J354" s="8"/>
    </row>
    <row r="355">
      <c r="C355" s="8"/>
      <c r="I355" s="8"/>
      <c r="J355" s="8"/>
    </row>
    <row r="356">
      <c r="C356" s="8"/>
      <c r="I356" s="8"/>
      <c r="J356" s="8"/>
    </row>
    <row r="357">
      <c r="C357" s="8"/>
      <c r="I357" s="8"/>
      <c r="J357" s="8"/>
    </row>
    <row r="358">
      <c r="C358" s="8"/>
      <c r="I358" s="8"/>
      <c r="J358" s="8"/>
    </row>
    <row r="359">
      <c r="C359" s="8"/>
      <c r="I359" s="8"/>
      <c r="J359" s="8"/>
    </row>
    <row r="360">
      <c r="C360" s="8"/>
      <c r="I360" s="8"/>
      <c r="J360" s="8"/>
    </row>
    <row r="361">
      <c r="C361" s="8"/>
      <c r="I361" s="8"/>
      <c r="J361" s="8"/>
    </row>
    <row r="362">
      <c r="C362" s="8"/>
      <c r="I362" s="8"/>
      <c r="J362" s="8"/>
    </row>
    <row r="363">
      <c r="C363" s="8"/>
      <c r="I363" s="8"/>
      <c r="J363" s="8"/>
    </row>
    <row r="364">
      <c r="C364" s="8"/>
      <c r="I364" s="8"/>
      <c r="J364" s="8"/>
    </row>
    <row r="365">
      <c r="C365" s="8"/>
      <c r="I365" s="8"/>
      <c r="J365" s="8"/>
    </row>
    <row r="366">
      <c r="C366" s="8"/>
      <c r="I366" s="8"/>
      <c r="J366" s="8"/>
    </row>
    <row r="367">
      <c r="C367" s="8"/>
      <c r="I367" s="8"/>
      <c r="J367" s="8"/>
    </row>
    <row r="368">
      <c r="C368" s="8"/>
      <c r="I368" s="8"/>
      <c r="J368" s="8"/>
    </row>
    <row r="369">
      <c r="C369" s="8"/>
      <c r="I369" s="8"/>
      <c r="J369" s="8"/>
    </row>
    <row r="370">
      <c r="C370" s="8"/>
      <c r="I370" s="8"/>
      <c r="J370" s="8"/>
    </row>
    <row r="371">
      <c r="C371" s="8"/>
      <c r="I371" s="8"/>
      <c r="J371" s="8"/>
    </row>
    <row r="372">
      <c r="C372" s="8"/>
      <c r="I372" s="8"/>
      <c r="J372" s="8"/>
    </row>
    <row r="373">
      <c r="C373" s="8"/>
      <c r="I373" s="8"/>
      <c r="J373" s="8"/>
    </row>
    <row r="374">
      <c r="C374" s="8"/>
      <c r="I374" s="8"/>
      <c r="J374" s="8"/>
    </row>
    <row r="375">
      <c r="C375" s="8"/>
      <c r="I375" s="8"/>
      <c r="J375" s="8"/>
    </row>
    <row r="376">
      <c r="C376" s="8"/>
      <c r="I376" s="8"/>
      <c r="J376" s="8"/>
    </row>
    <row r="377">
      <c r="C377" s="8"/>
      <c r="I377" s="8"/>
      <c r="J377" s="8"/>
    </row>
    <row r="378">
      <c r="C378" s="8"/>
      <c r="I378" s="8"/>
      <c r="J378" s="8"/>
    </row>
    <row r="379">
      <c r="C379" s="8"/>
      <c r="I379" s="8"/>
      <c r="J379" s="8"/>
    </row>
    <row r="380">
      <c r="C380" s="8"/>
      <c r="I380" s="8"/>
      <c r="J380" s="8"/>
    </row>
    <row r="381">
      <c r="C381" s="8"/>
      <c r="I381" s="8"/>
      <c r="J381" s="8"/>
    </row>
    <row r="382">
      <c r="C382" s="8"/>
      <c r="I382" s="8"/>
      <c r="J382" s="8"/>
    </row>
    <row r="383">
      <c r="C383" s="8"/>
      <c r="I383" s="8"/>
      <c r="J383" s="8"/>
    </row>
    <row r="384">
      <c r="C384" s="8"/>
      <c r="I384" s="8"/>
      <c r="J384" s="8"/>
    </row>
    <row r="385">
      <c r="C385" s="8"/>
      <c r="I385" s="8"/>
      <c r="J385" s="8"/>
    </row>
    <row r="386">
      <c r="C386" s="8"/>
      <c r="I386" s="8"/>
      <c r="J386" s="8"/>
    </row>
    <row r="387">
      <c r="C387" s="8"/>
      <c r="I387" s="8"/>
      <c r="J387" s="8"/>
    </row>
    <row r="388">
      <c r="C388" s="8"/>
      <c r="I388" s="8"/>
      <c r="J388" s="8"/>
    </row>
    <row r="389">
      <c r="C389" s="8"/>
      <c r="I389" s="8"/>
      <c r="J389" s="8"/>
    </row>
    <row r="390">
      <c r="C390" s="8"/>
      <c r="I390" s="8"/>
      <c r="J390" s="8"/>
    </row>
    <row r="391">
      <c r="C391" s="8"/>
      <c r="I391" s="8"/>
      <c r="J391" s="8"/>
    </row>
    <row r="392">
      <c r="C392" s="8"/>
      <c r="I392" s="8"/>
      <c r="J392" s="8"/>
    </row>
    <row r="393">
      <c r="C393" s="8"/>
      <c r="I393" s="8"/>
      <c r="J393" s="8"/>
    </row>
    <row r="394">
      <c r="C394" s="8"/>
      <c r="I394" s="8"/>
      <c r="J394" s="8"/>
    </row>
    <row r="395">
      <c r="C395" s="8"/>
      <c r="I395" s="8"/>
      <c r="J395" s="8"/>
    </row>
    <row r="396">
      <c r="C396" s="8"/>
      <c r="I396" s="8"/>
      <c r="J396" s="8"/>
    </row>
    <row r="397">
      <c r="C397" s="8"/>
      <c r="I397" s="8"/>
      <c r="J397" s="8"/>
    </row>
    <row r="398">
      <c r="C398" s="8"/>
      <c r="I398" s="8"/>
      <c r="J398" s="8"/>
    </row>
    <row r="399">
      <c r="C399" s="8"/>
      <c r="I399" s="8"/>
      <c r="J399" s="8"/>
    </row>
    <row r="400">
      <c r="C400" s="8"/>
      <c r="I400" s="8"/>
      <c r="J400" s="8"/>
    </row>
    <row r="401">
      <c r="C401" s="8"/>
      <c r="I401" s="8"/>
      <c r="J401" s="8"/>
    </row>
    <row r="402">
      <c r="C402" s="8"/>
      <c r="I402" s="8"/>
      <c r="J402" s="8"/>
    </row>
    <row r="403">
      <c r="C403" s="8"/>
      <c r="I403" s="8"/>
      <c r="J403" s="8"/>
    </row>
    <row r="404">
      <c r="C404" s="8"/>
      <c r="I404" s="8"/>
      <c r="J404" s="8"/>
    </row>
    <row r="405">
      <c r="C405" s="8"/>
      <c r="I405" s="8"/>
      <c r="J405" s="8"/>
    </row>
    <row r="406">
      <c r="C406" s="8"/>
      <c r="I406" s="8"/>
      <c r="J406" s="8"/>
    </row>
    <row r="407">
      <c r="C407" s="8"/>
      <c r="I407" s="8"/>
      <c r="J407" s="8"/>
    </row>
    <row r="408">
      <c r="C408" s="8"/>
      <c r="I408" s="8"/>
      <c r="J408" s="8"/>
    </row>
    <row r="409">
      <c r="C409" s="8"/>
      <c r="I409" s="8"/>
      <c r="J409" s="8"/>
    </row>
    <row r="410">
      <c r="C410" s="8"/>
      <c r="I410" s="8"/>
      <c r="J410" s="8"/>
    </row>
    <row r="411">
      <c r="C411" s="8"/>
      <c r="I411" s="8"/>
      <c r="J411" s="8"/>
    </row>
    <row r="412">
      <c r="C412" s="8"/>
      <c r="I412" s="8"/>
      <c r="J412" s="8"/>
    </row>
    <row r="413">
      <c r="C413" s="8"/>
      <c r="I413" s="8"/>
      <c r="J413" s="8"/>
    </row>
    <row r="414">
      <c r="C414" s="8"/>
      <c r="I414" s="8"/>
      <c r="J414" s="8"/>
    </row>
    <row r="415">
      <c r="C415" s="8"/>
      <c r="I415" s="8"/>
      <c r="J415" s="8"/>
    </row>
    <row r="416">
      <c r="C416" s="8"/>
      <c r="I416" s="8"/>
      <c r="J416" s="8"/>
    </row>
    <row r="417">
      <c r="C417" s="8"/>
      <c r="I417" s="8"/>
      <c r="J417" s="8"/>
    </row>
    <row r="418">
      <c r="C418" s="8"/>
      <c r="I418" s="8"/>
      <c r="J418" s="8"/>
    </row>
    <row r="419">
      <c r="C419" s="8"/>
      <c r="I419" s="8"/>
      <c r="J419" s="8"/>
    </row>
    <row r="420">
      <c r="C420" s="8"/>
      <c r="I420" s="8"/>
      <c r="J420" s="8"/>
    </row>
    <row r="421">
      <c r="C421" s="8"/>
      <c r="I421" s="8"/>
      <c r="J421" s="8"/>
    </row>
    <row r="422">
      <c r="C422" s="8"/>
      <c r="I422" s="8"/>
      <c r="J422" s="8"/>
    </row>
    <row r="423">
      <c r="C423" s="8"/>
      <c r="I423" s="8"/>
      <c r="J423" s="8"/>
    </row>
    <row r="424">
      <c r="C424" s="8"/>
      <c r="I424" s="8"/>
      <c r="J424" s="8"/>
    </row>
    <row r="425">
      <c r="C425" s="8"/>
      <c r="I425" s="8"/>
      <c r="J425" s="8"/>
    </row>
    <row r="426">
      <c r="C426" s="8"/>
      <c r="I426" s="8"/>
      <c r="J426" s="8"/>
    </row>
    <row r="427">
      <c r="C427" s="8"/>
      <c r="I427" s="8"/>
      <c r="J427" s="8"/>
    </row>
    <row r="428">
      <c r="C428" s="8"/>
      <c r="I428" s="8"/>
      <c r="J428" s="8"/>
    </row>
    <row r="429">
      <c r="C429" s="8"/>
      <c r="I429" s="8"/>
      <c r="J429" s="8"/>
    </row>
    <row r="430">
      <c r="C430" s="8"/>
      <c r="I430" s="8"/>
      <c r="J430" s="8"/>
    </row>
    <row r="431">
      <c r="C431" s="8"/>
      <c r="I431" s="8"/>
      <c r="J431" s="8"/>
    </row>
    <row r="432">
      <c r="C432" s="8"/>
      <c r="I432" s="8"/>
      <c r="J432" s="8"/>
    </row>
    <row r="433">
      <c r="C433" s="8"/>
      <c r="I433" s="8"/>
      <c r="J433" s="8"/>
    </row>
    <row r="434">
      <c r="C434" s="8"/>
      <c r="I434" s="8"/>
      <c r="J434" s="8"/>
    </row>
    <row r="435">
      <c r="C435" s="8"/>
      <c r="I435" s="8"/>
      <c r="J435" s="8"/>
    </row>
    <row r="436">
      <c r="C436" s="8"/>
      <c r="I436" s="8"/>
      <c r="J436" s="8"/>
    </row>
    <row r="437">
      <c r="C437" s="8"/>
      <c r="I437" s="8"/>
      <c r="J437" s="8"/>
    </row>
    <row r="438">
      <c r="C438" s="8"/>
      <c r="I438" s="8"/>
      <c r="J438" s="8"/>
    </row>
    <row r="439">
      <c r="C439" s="8"/>
      <c r="I439" s="8"/>
      <c r="J439" s="8"/>
    </row>
    <row r="440">
      <c r="C440" s="8"/>
      <c r="I440" s="8"/>
      <c r="J440" s="8"/>
    </row>
    <row r="441">
      <c r="C441" s="8"/>
      <c r="I441" s="8"/>
      <c r="J441" s="8"/>
    </row>
    <row r="442">
      <c r="C442" s="8"/>
      <c r="I442" s="8"/>
      <c r="J442" s="8"/>
    </row>
    <row r="443">
      <c r="C443" s="8"/>
      <c r="I443" s="8"/>
      <c r="J443" s="8"/>
    </row>
    <row r="444">
      <c r="C444" s="8"/>
      <c r="I444" s="8"/>
      <c r="J444" s="8"/>
    </row>
    <row r="445">
      <c r="C445" s="8"/>
      <c r="I445" s="8"/>
      <c r="J445" s="8"/>
    </row>
    <row r="446">
      <c r="C446" s="8"/>
      <c r="I446" s="8"/>
      <c r="J446" s="8"/>
    </row>
    <row r="447">
      <c r="C447" s="8"/>
      <c r="I447" s="8"/>
      <c r="J447" s="8"/>
    </row>
    <row r="448">
      <c r="C448" s="8"/>
      <c r="I448" s="8"/>
      <c r="J448" s="8"/>
    </row>
    <row r="449">
      <c r="C449" s="8"/>
      <c r="I449" s="8"/>
      <c r="J449" s="8"/>
    </row>
    <row r="450">
      <c r="C450" s="8"/>
      <c r="I450" s="8"/>
      <c r="J450" s="8"/>
    </row>
    <row r="451">
      <c r="C451" s="8"/>
      <c r="I451" s="8"/>
      <c r="J451" s="8"/>
    </row>
    <row r="452">
      <c r="C452" s="8"/>
      <c r="I452" s="8"/>
      <c r="J452" s="8"/>
    </row>
    <row r="453">
      <c r="C453" s="8"/>
      <c r="I453" s="8"/>
      <c r="J453" s="8"/>
    </row>
    <row r="454">
      <c r="C454" s="8"/>
      <c r="I454" s="8"/>
      <c r="J454" s="8"/>
    </row>
    <row r="455">
      <c r="C455" s="8"/>
      <c r="I455" s="8"/>
      <c r="J455" s="8"/>
    </row>
    <row r="456">
      <c r="C456" s="8"/>
      <c r="I456" s="8"/>
      <c r="J456" s="8"/>
    </row>
    <row r="457">
      <c r="C457" s="8"/>
      <c r="I457" s="8"/>
      <c r="J457" s="8"/>
    </row>
    <row r="458">
      <c r="C458" s="8"/>
      <c r="I458" s="8"/>
      <c r="J458" s="8"/>
    </row>
    <row r="459">
      <c r="C459" s="8"/>
      <c r="I459" s="8"/>
      <c r="J459" s="8"/>
    </row>
    <row r="460">
      <c r="C460" s="8"/>
      <c r="I460" s="8"/>
      <c r="J460" s="8"/>
    </row>
    <row r="461">
      <c r="C461" s="8"/>
      <c r="I461" s="8"/>
      <c r="J461" s="8"/>
    </row>
    <row r="462">
      <c r="C462" s="8"/>
      <c r="I462" s="8"/>
      <c r="J462" s="8"/>
    </row>
    <row r="463">
      <c r="C463" s="8"/>
      <c r="I463" s="8"/>
      <c r="J463" s="8"/>
    </row>
    <row r="464">
      <c r="C464" s="8"/>
      <c r="I464" s="8"/>
      <c r="J464" s="8"/>
    </row>
    <row r="465">
      <c r="C465" s="8"/>
      <c r="I465" s="8"/>
      <c r="J465" s="8"/>
    </row>
    <row r="466">
      <c r="C466" s="8"/>
      <c r="I466" s="8"/>
      <c r="J466" s="8"/>
    </row>
    <row r="467">
      <c r="C467" s="8"/>
      <c r="I467" s="8"/>
      <c r="J467" s="8"/>
    </row>
    <row r="468">
      <c r="C468" s="8"/>
      <c r="I468" s="8"/>
      <c r="J468" s="8"/>
    </row>
    <row r="469">
      <c r="C469" s="8"/>
      <c r="I469" s="8"/>
      <c r="J469" s="8"/>
    </row>
    <row r="470">
      <c r="C470" s="8"/>
      <c r="I470" s="8"/>
      <c r="J470" s="8"/>
    </row>
    <row r="471">
      <c r="C471" s="8"/>
      <c r="I471" s="8"/>
      <c r="J471" s="8"/>
    </row>
    <row r="472">
      <c r="C472" s="8"/>
      <c r="I472" s="8"/>
      <c r="J472" s="8"/>
    </row>
    <row r="473">
      <c r="C473" s="8"/>
      <c r="I473" s="8"/>
      <c r="J473" s="8"/>
    </row>
    <row r="474">
      <c r="C474" s="8"/>
      <c r="I474" s="8"/>
      <c r="J474" s="8"/>
    </row>
    <row r="475">
      <c r="C475" s="8"/>
      <c r="I475" s="8"/>
      <c r="J475" s="8"/>
    </row>
    <row r="476">
      <c r="C476" s="8"/>
      <c r="I476" s="8"/>
      <c r="J476" s="8"/>
    </row>
    <row r="477">
      <c r="C477" s="8"/>
      <c r="I477" s="8"/>
      <c r="J477" s="8"/>
    </row>
    <row r="478">
      <c r="C478" s="8"/>
      <c r="I478" s="8"/>
      <c r="J478" s="8"/>
    </row>
    <row r="479">
      <c r="C479" s="8"/>
      <c r="I479" s="8"/>
      <c r="J479" s="8"/>
    </row>
    <row r="480">
      <c r="C480" s="8"/>
      <c r="I480" s="8"/>
      <c r="J480" s="8"/>
    </row>
    <row r="481">
      <c r="C481" s="8"/>
      <c r="I481" s="8"/>
      <c r="J481" s="8"/>
    </row>
    <row r="482">
      <c r="C482" s="8"/>
      <c r="I482" s="8"/>
      <c r="J482" s="8"/>
    </row>
    <row r="483">
      <c r="C483" s="8"/>
      <c r="I483" s="8"/>
      <c r="J483" s="8"/>
    </row>
    <row r="484">
      <c r="C484" s="8"/>
      <c r="I484" s="8"/>
      <c r="J484" s="8"/>
    </row>
    <row r="485">
      <c r="C485" s="8"/>
      <c r="I485" s="8"/>
      <c r="J485" s="8"/>
    </row>
    <row r="486">
      <c r="C486" s="8"/>
      <c r="I486" s="8"/>
      <c r="J486" s="8"/>
    </row>
    <row r="487">
      <c r="C487" s="8"/>
      <c r="I487" s="8"/>
      <c r="J487" s="8"/>
    </row>
    <row r="488">
      <c r="C488" s="8"/>
      <c r="I488" s="8"/>
      <c r="J488" s="8"/>
    </row>
    <row r="489">
      <c r="C489" s="8"/>
      <c r="I489" s="8"/>
      <c r="J489" s="8"/>
    </row>
    <row r="490">
      <c r="C490" s="8"/>
      <c r="I490" s="8"/>
      <c r="J490" s="8"/>
    </row>
    <row r="491">
      <c r="C491" s="8"/>
      <c r="I491" s="8"/>
      <c r="J491" s="8"/>
    </row>
    <row r="492">
      <c r="C492" s="8"/>
      <c r="I492" s="8"/>
      <c r="J492" s="8"/>
    </row>
    <row r="493">
      <c r="C493" s="8"/>
      <c r="I493" s="8"/>
      <c r="J493" s="8"/>
    </row>
    <row r="494">
      <c r="C494" s="8"/>
      <c r="I494" s="8"/>
      <c r="J494" s="8"/>
    </row>
    <row r="495">
      <c r="C495" s="8"/>
      <c r="I495" s="8"/>
      <c r="J495" s="8"/>
    </row>
    <row r="496">
      <c r="C496" s="8"/>
      <c r="I496" s="8"/>
      <c r="J496" s="8"/>
    </row>
    <row r="497">
      <c r="C497" s="8"/>
      <c r="I497" s="8"/>
      <c r="J497" s="8"/>
    </row>
    <row r="498">
      <c r="C498" s="8"/>
      <c r="I498" s="8"/>
      <c r="J498" s="8"/>
    </row>
    <row r="499">
      <c r="C499" s="8"/>
      <c r="I499" s="8"/>
      <c r="J499" s="8"/>
    </row>
    <row r="500">
      <c r="C500" s="8"/>
      <c r="I500" s="8"/>
      <c r="J500" s="8"/>
    </row>
    <row r="501">
      <c r="C501" s="8"/>
      <c r="I501" s="8"/>
      <c r="J501" s="8"/>
    </row>
    <row r="502">
      <c r="C502" s="8"/>
      <c r="I502" s="8"/>
      <c r="J502" s="8"/>
    </row>
    <row r="503">
      <c r="C503" s="8"/>
      <c r="I503" s="8"/>
      <c r="J503" s="8"/>
    </row>
    <row r="504">
      <c r="C504" s="8"/>
      <c r="I504" s="8"/>
      <c r="J504" s="8"/>
    </row>
    <row r="505">
      <c r="C505" s="8"/>
      <c r="I505" s="8"/>
      <c r="J505" s="8"/>
    </row>
    <row r="506">
      <c r="C506" s="8"/>
      <c r="I506" s="8"/>
      <c r="J506" s="8"/>
    </row>
    <row r="507">
      <c r="C507" s="8"/>
      <c r="I507" s="8"/>
      <c r="J507" s="8"/>
    </row>
    <row r="508">
      <c r="C508" s="8"/>
      <c r="I508" s="8"/>
      <c r="J508" s="8"/>
    </row>
    <row r="509">
      <c r="C509" s="8"/>
      <c r="I509" s="8"/>
      <c r="J509" s="8"/>
    </row>
    <row r="510">
      <c r="C510" s="8"/>
      <c r="I510" s="8"/>
      <c r="J510" s="8"/>
    </row>
    <row r="511">
      <c r="C511" s="8"/>
      <c r="I511" s="8"/>
      <c r="J511" s="8"/>
    </row>
    <row r="512">
      <c r="C512" s="8"/>
      <c r="I512" s="8"/>
      <c r="J512" s="8"/>
    </row>
    <row r="513">
      <c r="C513" s="8"/>
      <c r="I513" s="8"/>
      <c r="J513" s="8"/>
    </row>
    <row r="514">
      <c r="C514" s="8"/>
      <c r="I514" s="8"/>
      <c r="J514" s="8"/>
    </row>
    <row r="515">
      <c r="C515" s="8"/>
      <c r="I515" s="8"/>
      <c r="J515" s="8"/>
    </row>
    <row r="516">
      <c r="C516" s="8"/>
      <c r="I516" s="8"/>
      <c r="J516" s="8"/>
    </row>
    <row r="517">
      <c r="C517" s="8"/>
      <c r="I517" s="8"/>
      <c r="J517" s="8"/>
    </row>
    <row r="518">
      <c r="C518" s="8"/>
      <c r="I518" s="8"/>
      <c r="J518" s="8"/>
    </row>
    <row r="519">
      <c r="C519" s="8"/>
      <c r="I519" s="8"/>
      <c r="J519" s="8"/>
    </row>
    <row r="520">
      <c r="C520" s="8"/>
      <c r="I520" s="8"/>
      <c r="J520" s="8"/>
    </row>
    <row r="521">
      <c r="C521" s="8"/>
      <c r="I521" s="8"/>
      <c r="J521" s="8"/>
    </row>
    <row r="522">
      <c r="C522" s="8"/>
      <c r="I522" s="8"/>
      <c r="J522" s="8"/>
    </row>
    <row r="523">
      <c r="C523" s="8"/>
      <c r="I523" s="8"/>
      <c r="J523" s="8"/>
    </row>
    <row r="524">
      <c r="C524" s="8"/>
      <c r="I524" s="8"/>
      <c r="J524" s="8"/>
    </row>
    <row r="525">
      <c r="C525" s="8"/>
      <c r="I525" s="8"/>
      <c r="J525" s="8"/>
    </row>
    <row r="526">
      <c r="C526" s="8"/>
      <c r="I526" s="8"/>
      <c r="J526" s="8"/>
    </row>
    <row r="527">
      <c r="C527" s="8"/>
      <c r="I527" s="8"/>
      <c r="J527" s="8"/>
    </row>
    <row r="528">
      <c r="C528" s="8"/>
      <c r="I528" s="8"/>
      <c r="J528" s="8"/>
    </row>
    <row r="529">
      <c r="C529" s="8"/>
      <c r="I529" s="8"/>
      <c r="J529" s="8"/>
    </row>
    <row r="530">
      <c r="C530" s="8"/>
      <c r="I530" s="8"/>
      <c r="J530" s="8"/>
    </row>
    <row r="531">
      <c r="C531" s="8"/>
      <c r="I531" s="8"/>
      <c r="J531" s="8"/>
    </row>
    <row r="532">
      <c r="C532" s="8"/>
      <c r="I532" s="8"/>
      <c r="J532" s="8"/>
    </row>
    <row r="533">
      <c r="C533" s="8"/>
      <c r="I533" s="8"/>
      <c r="J533" s="8"/>
    </row>
    <row r="534">
      <c r="C534" s="8"/>
      <c r="I534" s="8"/>
      <c r="J534" s="8"/>
    </row>
    <row r="535">
      <c r="C535" s="8"/>
      <c r="I535" s="8"/>
      <c r="J535" s="8"/>
    </row>
    <row r="536">
      <c r="C536" s="8"/>
      <c r="I536" s="8"/>
      <c r="J536" s="8"/>
    </row>
    <row r="537">
      <c r="C537" s="8"/>
      <c r="I537" s="8"/>
      <c r="J537" s="8"/>
    </row>
    <row r="538">
      <c r="C538" s="8"/>
      <c r="I538" s="8"/>
      <c r="J538" s="8"/>
    </row>
    <row r="539">
      <c r="C539" s="8"/>
      <c r="I539" s="8"/>
      <c r="J539" s="8"/>
    </row>
    <row r="540">
      <c r="C540" s="8"/>
      <c r="I540" s="8"/>
      <c r="J540" s="8"/>
    </row>
    <row r="541">
      <c r="C541" s="8"/>
      <c r="I541" s="8"/>
      <c r="J541" s="8"/>
    </row>
    <row r="542">
      <c r="C542" s="8"/>
      <c r="I542" s="8"/>
      <c r="J542" s="8"/>
    </row>
    <row r="543">
      <c r="C543" s="8"/>
      <c r="I543" s="8"/>
      <c r="J543" s="8"/>
    </row>
    <row r="544">
      <c r="C544" s="8"/>
      <c r="I544" s="8"/>
      <c r="J544" s="8"/>
    </row>
    <row r="545">
      <c r="C545" s="8"/>
      <c r="I545" s="8"/>
      <c r="J545" s="8"/>
    </row>
    <row r="546">
      <c r="C546" s="8"/>
      <c r="I546" s="8"/>
      <c r="J546" s="8"/>
    </row>
    <row r="547">
      <c r="C547" s="8"/>
      <c r="I547" s="8"/>
      <c r="J547" s="8"/>
    </row>
    <row r="548">
      <c r="C548" s="8"/>
      <c r="I548" s="8"/>
      <c r="J548" s="8"/>
    </row>
    <row r="549">
      <c r="C549" s="8"/>
      <c r="I549" s="8"/>
      <c r="J549" s="8"/>
    </row>
    <row r="550">
      <c r="C550" s="8"/>
      <c r="I550" s="8"/>
      <c r="J550" s="8"/>
    </row>
    <row r="551">
      <c r="C551" s="8"/>
      <c r="I551" s="8"/>
      <c r="J551" s="8"/>
    </row>
    <row r="552">
      <c r="C552" s="8"/>
      <c r="I552" s="8"/>
      <c r="J552" s="8"/>
    </row>
    <row r="553">
      <c r="C553" s="8"/>
      <c r="I553" s="8"/>
      <c r="J553" s="8"/>
    </row>
    <row r="554">
      <c r="C554" s="8"/>
      <c r="I554" s="8"/>
      <c r="J554" s="8"/>
    </row>
    <row r="555">
      <c r="C555" s="8"/>
      <c r="I555" s="8"/>
      <c r="J555" s="8"/>
    </row>
    <row r="556">
      <c r="C556" s="8"/>
      <c r="I556" s="8"/>
      <c r="J556" s="8"/>
    </row>
    <row r="557">
      <c r="C557" s="8"/>
      <c r="I557" s="8"/>
      <c r="J557" s="8"/>
    </row>
    <row r="558">
      <c r="C558" s="8"/>
      <c r="I558" s="8"/>
      <c r="J558" s="8"/>
    </row>
    <row r="559">
      <c r="C559" s="8"/>
      <c r="I559" s="8"/>
      <c r="J559" s="8"/>
    </row>
    <row r="560">
      <c r="C560" s="8"/>
      <c r="I560" s="8"/>
      <c r="J560" s="8"/>
    </row>
    <row r="561">
      <c r="C561" s="8"/>
      <c r="I561" s="8"/>
      <c r="J561" s="8"/>
    </row>
    <row r="562">
      <c r="C562" s="8"/>
      <c r="I562" s="8"/>
      <c r="J562" s="8"/>
    </row>
    <row r="563">
      <c r="C563" s="8"/>
      <c r="I563" s="8"/>
      <c r="J563" s="8"/>
    </row>
    <row r="564">
      <c r="C564" s="8"/>
      <c r="I564" s="8"/>
      <c r="J564" s="8"/>
    </row>
    <row r="565">
      <c r="C565" s="8"/>
      <c r="I565" s="8"/>
      <c r="J565" s="8"/>
    </row>
    <row r="566">
      <c r="C566" s="8"/>
      <c r="I566" s="8"/>
      <c r="J566" s="8"/>
    </row>
    <row r="567">
      <c r="C567" s="8"/>
      <c r="I567" s="8"/>
      <c r="J567" s="8"/>
    </row>
    <row r="568">
      <c r="C568" s="8"/>
      <c r="I568" s="8"/>
      <c r="J568" s="8"/>
    </row>
    <row r="569">
      <c r="C569" s="8"/>
      <c r="I569" s="8"/>
      <c r="J569" s="8"/>
    </row>
    <row r="570">
      <c r="C570" s="8"/>
      <c r="I570" s="8"/>
      <c r="J570" s="8"/>
    </row>
    <row r="571">
      <c r="C571" s="8"/>
      <c r="I571" s="8"/>
      <c r="J571" s="8"/>
    </row>
    <row r="572">
      <c r="C572" s="8"/>
      <c r="I572" s="8"/>
      <c r="J572" s="8"/>
    </row>
    <row r="573">
      <c r="C573" s="8"/>
      <c r="I573" s="8"/>
      <c r="J573" s="8"/>
    </row>
    <row r="574">
      <c r="C574" s="8"/>
      <c r="I574" s="8"/>
      <c r="J574" s="8"/>
    </row>
    <row r="575">
      <c r="C575" s="8"/>
      <c r="I575" s="8"/>
      <c r="J575" s="8"/>
    </row>
    <row r="576">
      <c r="C576" s="8"/>
      <c r="I576" s="8"/>
      <c r="J576" s="8"/>
    </row>
    <row r="577">
      <c r="C577" s="8"/>
      <c r="I577" s="8"/>
      <c r="J577" s="8"/>
    </row>
    <row r="578">
      <c r="C578" s="8"/>
      <c r="I578" s="8"/>
      <c r="J578" s="8"/>
    </row>
    <row r="579">
      <c r="C579" s="8"/>
      <c r="I579" s="8"/>
      <c r="J579" s="8"/>
    </row>
    <row r="580">
      <c r="C580" s="8"/>
      <c r="I580" s="8"/>
      <c r="J580" s="8"/>
    </row>
    <row r="581">
      <c r="C581" s="8"/>
      <c r="I581" s="8"/>
      <c r="J581" s="8"/>
    </row>
    <row r="582">
      <c r="C582" s="8"/>
      <c r="I582" s="8"/>
      <c r="J582" s="8"/>
    </row>
    <row r="583">
      <c r="C583" s="8"/>
      <c r="I583" s="8"/>
      <c r="J583" s="8"/>
    </row>
    <row r="584">
      <c r="C584" s="8"/>
      <c r="I584" s="8"/>
      <c r="J584" s="8"/>
    </row>
    <row r="585">
      <c r="C585" s="8"/>
      <c r="I585" s="8"/>
      <c r="J585" s="8"/>
    </row>
    <row r="586">
      <c r="C586" s="8"/>
      <c r="I586" s="8"/>
      <c r="J586" s="8"/>
    </row>
    <row r="587">
      <c r="C587" s="8"/>
      <c r="I587" s="8"/>
      <c r="J587" s="8"/>
    </row>
    <row r="588">
      <c r="C588" s="8"/>
      <c r="I588" s="8"/>
      <c r="J588" s="8"/>
    </row>
    <row r="589">
      <c r="C589" s="8"/>
      <c r="I589" s="8"/>
      <c r="J589" s="8"/>
    </row>
    <row r="590">
      <c r="C590" s="8"/>
      <c r="I590" s="8"/>
      <c r="J590" s="8"/>
    </row>
    <row r="591">
      <c r="C591" s="8"/>
      <c r="I591" s="8"/>
      <c r="J591" s="8"/>
    </row>
    <row r="592">
      <c r="C592" s="8"/>
      <c r="I592" s="8"/>
      <c r="J592" s="8"/>
    </row>
    <row r="593">
      <c r="C593" s="8"/>
      <c r="I593" s="8"/>
      <c r="J593" s="8"/>
    </row>
    <row r="594">
      <c r="C594" s="8"/>
      <c r="I594" s="8"/>
      <c r="J594" s="8"/>
    </row>
    <row r="595">
      <c r="C595" s="8"/>
      <c r="I595" s="8"/>
      <c r="J595" s="8"/>
    </row>
    <row r="596">
      <c r="C596" s="8"/>
      <c r="I596" s="8"/>
      <c r="J596" s="8"/>
    </row>
    <row r="597">
      <c r="C597" s="8"/>
      <c r="I597" s="8"/>
      <c r="J597" s="8"/>
    </row>
    <row r="598">
      <c r="C598" s="8"/>
      <c r="I598" s="8"/>
      <c r="J598" s="8"/>
    </row>
    <row r="599">
      <c r="C599" s="8"/>
      <c r="I599" s="8"/>
      <c r="J599" s="8"/>
    </row>
    <row r="600">
      <c r="C600" s="8"/>
      <c r="I600" s="8"/>
      <c r="J600" s="8"/>
    </row>
    <row r="601">
      <c r="C601" s="8"/>
      <c r="I601" s="8"/>
      <c r="J601" s="8"/>
    </row>
    <row r="602">
      <c r="C602" s="8"/>
      <c r="I602" s="8"/>
      <c r="J602" s="8"/>
    </row>
    <row r="603">
      <c r="C603" s="8"/>
      <c r="I603" s="8"/>
      <c r="J603" s="8"/>
    </row>
    <row r="604">
      <c r="C604" s="8"/>
      <c r="I604" s="8"/>
      <c r="J604" s="8"/>
    </row>
    <row r="605">
      <c r="C605" s="8"/>
      <c r="I605" s="8"/>
      <c r="J605" s="8"/>
    </row>
    <row r="606">
      <c r="C606" s="8"/>
      <c r="I606" s="8"/>
      <c r="J606" s="8"/>
    </row>
    <row r="607">
      <c r="C607" s="8"/>
      <c r="I607" s="8"/>
      <c r="J607" s="8"/>
    </row>
    <row r="608">
      <c r="C608" s="8"/>
      <c r="I608" s="8"/>
      <c r="J608" s="8"/>
    </row>
    <row r="609">
      <c r="C609" s="8"/>
      <c r="I609" s="8"/>
      <c r="J609" s="8"/>
    </row>
    <row r="610">
      <c r="C610" s="8"/>
      <c r="I610" s="8"/>
      <c r="J610" s="8"/>
    </row>
    <row r="611">
      <c r="C611" s="8"/>
      <c r="I611" s="8"/>
      <c r="J611" s="8"/>
    </row>
    <row r="612">
      <c r="C612" s="8"/>
      <c r="I612" s="8"/>
      <c r="J612" s="8"/>
    </row>
    <row r="613">
      <c r="C613" s="8"/>
      <c r="I613" s="8"/>
      <c r="J613" s="8"/>
    </row>
    <row r="614">
      <c r="C614" s="8"/>
      <c r="I614" s="8"/>
      <c r="J614" s="8"/>
    </row>
    <row r="615">
      <c r="C615" s="8"/>
      <c r="I615" s="8"/>
      <c r="J615" s="8"/>
    </row>
    <row r="616">
      <c r="C616" s="8"/>
      <c r="I616" s="8"/>
      <c r="J616" s="8"/>
    </row>
    <row r="617">
      <c r="C617" s="8"/>
      <c r="I617" s="8"/>
      <c r="J617" s="8"/>
    </row>
    <row r="618">
      <c r="C618" s="8"/>
      <c r="I618" s="8"/>
      <c r="J618" s="8"/>
    </row>
    <row r="619">
      <c r="C619" s="8"/>
      <c r="I619" s="8"/>
      <c r="J619" s="8"/>
    </row>
    <row r="620">
      <c r="C620" s="8"/>
      <c r="I620" s="8"/>
      <c r="J620" s="8"/>
    </row>
    <row r="621">
      <c r="C621" s="8"/>
      <c r="I621" s="8"/>
      <c r="J621" s="8"/>
    </row>
    <row r="622">
      <c r="C622" s="8"/>
      <c r="I622" s="8"/>
      <c r="J622" s="8"/>
    </row>
    <row r="623">
      <c r="C623" s="8"/>
      <c r="I623" s="8"/>
      <c r="J623" s="8"/>
    </row>
    <row r="624">
      <c r="C624" s="8"/>
      <c r="I624" s="8"/>
      <c r="J624" s="8"/>
    </row>
    <row r="625">
      <c r="C625" s="8"/>
      <c r="I625" s="8"/>
      <c r="J625" s="8"/>
    </row>
    <row r="626">
      <c r="C626" s="8"/>
      <c r="I626" s="8"/>
      <c r="J626" s="8"/>
    </row>
    <row r="627">
      <c r="C627" s="8"/>
      <c r="I627" s="8"/>
      <c r="J627" s="8"/>
    </row>
    <row r="628">
      <c r="C628" s="8"/>
      <c r="I628" s="8"/>
      <c r="J628" s="8"/>
    </row>
    <row r="629">
      <c r="C629" s="8"/>
      <c r="I629" s="8"/>
      <c r="J629" s="8"/>
    </row>
    <row r="630">
      <c r="C630" s="8"/>
      <c r="I630" s="8"/>
      <c r="J630" s="8"/>
    </row>
    <row r="631">
      <c r="C631" s="8"/>
      <c r="I631" s="8"/>
      <c r="J631" s="8"/>
    </row>
    <row r="632">
      <c r="C632" s="8"/>
      <c r="I632" s="8"/>
      <c r="J632" s="8"/>
    </row>
    <row r="633">
      <c r="C633" s="8"/>
      <c r="I633" s="8"/>
      <c r="J633" s="8"/>
    </row>
    <row r="634">
      <c r="C634" s="8"/>
      <c r="I634" s="8"/>
      <c r="J634" s="8"/>
    </row>
    <row r="635">
      <c r="C635" s="8"/>
      <c r="I635" s="8"/>
      <c r="J635" s="8"/>
    </row>
    <row r="636">
      <c r="C636" s="8"/>
      <c r="I636" s="8"/>
      <c r="J636" s="8"/>
    </row>
    <row r="637">
      <c r="C637" s="8"/>
      <c r="I637" s="8"/>
      <c r="J637" s="8"/>
    </row>
    <row r="638">
      <c r="C638" s="8"/>
      <c r="I638" s="8"/>
      <c r="J638" s="8"/>
    </row>
    <row r="639">
      <c r="C639" s="8"/>
      <c r="I639" s="8"/>
      <c r="J639" s="8"/>
    </row>
    <row r="640">
      <c r="C640" s="8"/>
      <c r="I640" s="8"/>
      <c r="J640" s="8"/>
    </row>
    <row r="641">
      <c r="C641" s="8"/>
      <c r="I641" s="8"/>
      <c r="J641" s="8"/>
    </row>
    <row r="642">
      <c r="C642" s="8"/>
      <c r="I642" s="8"/>
      <c r="J642" s="8"/>
    </row>
    <row r="643">
      <c r="C643" s="8"/>
      <c r="I643" s="8"/>
      <c r="J643" s="8"/>
    </row>
    <row r="644">
      <c r="C644" s="8"/>
      <c r="I644" s="8"/>
      <c r="J644" s="8"/>
    </row>
    <row r="645">
      <c r="C645" s="8"/>
      <c r="I645" s="8"/>
      <c r="J645" s="8"/>
    </row>
    <row r="646">
      <c r="C646" s="8"/>
      <c r="I646" s="8"/>
      <c r="J646" s="8"/>
    </row>
    <row r="647">
      <c r="C647" s="8"/>
      <c r="I647" s="8"/>
      <c r="J647" s="8"/>
    </row>
    <row r="648">
      <c r="C648" s="8"/>
      <c r="I648" s="8"/>
      <c r="J648" s="8"/>
    </row>
    <row r="649">
      <c r="C649" s="8"/>
      <c r="I649" s="8"/>
      <c r="J649" s="8"/>
    </row>
    <row r="650">
      <c r="C650" s="8"/>
      <c r="I650" s="8"/>
      <c r="J650" s="8"/>
    </row>
    <row r="651">
      <c r="C651" s="8"/>
      <c r="I651" s="8"/>
      <c r="J651" s="8"/>
    </row>
    <row r="652">
      <c r="C652" s="8"/>
      <c r="I652" s="8"/>
      <c r="J652" s="8"/>
    </row>
    <row r="653">
      <c r="C653" s="8"/>
      <c r="I653" s="8"/>
      <c r="J653" s="8"/>
    </row>
    <row r="654">
      <c r="C654" s="8"/>
      <c r="I654" s="8"/>
      <c r="J654" s="8"/>
    </row>
    <row r="655">
      <c r="C655" s="8"/>
      <c r="I655" s="8"/>
      <c r="J655" s="8"/>
    </row>
    <row r="656">
      <c r="C656" s="8"/>
      <c r="I656" s="8"/>
      <c r="J656" s="8"/>
    </row>
    <row r="657">
      <c r="C657" s="8"/>
      <c r="I657" s="8"/>
      <c r="J657" s="8"/>
    </row>
    <row r="658">
      <c r="C658" s="8"/>
      <c r="I658" s="8"/>
      <c r="J658" s="8"/>
    </row>
    <row r="659">
      <c r="C659" s="8"/>
      <c r="I659" s="8"/>
      <c r="J659" s="8"/>
    </row>
    <row r="660">
      <c r="C660" s="8"/>
      <c r="I660" s="8"/>
      <c r="J660" s="8"/>
    </row>
    <row r="661">
      <c r="C661" s="8"/>
      <c r="I661" s="8"/>
      <c r="J661" s="8"/>
    </row>
    <row r="662">
      <c r="C662" s="8"/>
      <c r="I662" s="8"/>
      <c r="J662" s="8"/>
    </row>
    <row r="663">
      <c r="C663" s="8"/>
      <c r="I663" s="8"/>
      <c r="J663" s="8"/>
    </row>
    <row r="664">
      <c r="C664" s="8"/>
      <c r="I664" s="8"/>
      <c r="J664" s="8"/>
    </row>
    <row r="665">
      <c r="C665" s="8"/>
      <c r="I665" s="8"/>
      <c r="J665" s="8"/>
    </row>
    <row r="666">
      <c r="C666" s="8"/>
      <c r="I666" s="8"/>
      <c r="J666" s="8"/>
    </row>
    <row r="667">
      <c r="C667" s="8"/>
      <c r="I667" s="8"/>
      <c r="J667" s="8"/>
    </row>
    <row r="668">
      <c r="C668" s="8"/>
      <c r="I668" s="8"/>
      <c r="J668" s="8"/>
    </row>
    <row r="669">
      <c r="C669" s="8"/>
      <c r="I669" s="8"/>
      <c r="J669" s="8"/>
    </row>
    <row r="670">
      <c r="C670" s="8"/>
      <c r="I670" s="8"/>
      <c r="J670" s="8"/>
    </row>
    <row r="671">
      <c r="C671" s="8"/>
      <c r="I671" s="8"/>
      <c r="J671" s="8"/>
    </row>
    <row r="672">
      <c r="C672" s="8"/>
      <c r="I672" s="8"/>
      <c r="J672" s="8"/>
    </row>
    <row r="673">
      <c r="C673" s="8"/>
      <c r="I673" s="8"/>
      <c r="J673" s="8"/>
    </row>
    <row r="674">
      <c r="C674" s="8"/>
      <c r="I674" s="8"/>
      <c r="J674" s="8"/>
    </row>
    <row r="675">
      <c r="C675" s="8"/>
      <c r="I675" s="8"/>
      <c r="J675" s="8"/>
    </row>
    <row r="676">
      <c r="C676" s="8"/>
      <c r="I676" s="8"/>
      <c r="J676" s="8"/>
    </row>
    <row r="677">
      <c r="C677" s="8"/>
      <c r="I677" s="8"/>
      <c r="J677" s="8"/>
    </row>
    <row r="678">
      <c r="C678" s="8"/>
      <c r="I678" s="8"/>
      <c r="J678" s="8"/>
    </row>
    <row r="679">
      <c r="C679" s="8"/>
      <c r="I679" s="8"/>
      <c r="J679" s="8"/>
    </row>
    <row r="680">
      <c r="C680" s="8"/>
      <c r="I680" s="8"/>
      <c r="J680" s="8"/>
    </row>
    <row r="681">
      <c r="C681" s="8"/>
      <c r="I681" s="8"/>
      <c r="J681" s="8"/>
    </row>
    <row r="682">
      <c r="C682" s="8"/>
      <c r="I682" s="8"/>
      <c r="J682" s="8"/>
    </row>
    <row r="683">
      <c r="C683" s="8"/>
      <c r="I683" s="8"/>
      <c r="J683" s="8"/>
    </row>
    <row r="684">
      <c r="C684" s="8"/>
      <c r="I684" s="8"/>
      <c r="J684" s="8"/>
    </row>
    <row r="685">
      <c r="C685" s="8"/>
      <c r="I685" s="8"/>
      <c r="J685" s="8"/>
    </row>
    <row r="686">
      <c r="C686" s="8"/>
      <c r="I686" s="8"/>
      <c r="J686" s="8"/>
    </row>
    <row r="687">
      <c r="C687" s="8"/>
      <c r="I687" s="8"/>
      <c r="J687" s="8"/>
    </row>
    <row r="688">
      <c r="C688" s="8"/>
      <c r="I688" s="8"/>
      <c r="J688" s="8"/>
    </row>
    <row r="689">
      <c r="C689" s="8"/>
      <c r="I689" s="8"/>
      <c r="J689" s="8"/>
    </row>
    <row r="690">
      <c r="C690" s="8"/>
      <c r="I690" s="8"/>
      <c r="J690" s="8"/>
    </row>
    <row r="691">
      <c r="C691" s="8"/>
      <c r="I691" s="8"/>
      <c r="J691" s="8"/>
    </row>
    <row r="692">
      <c r="C692" s="8"/>
      <c r="I692" s="8"/>
      <c r="J692" s="8"/>
    </row>
    <row r="693">
      <c r="C693" s="8"/>
      <c r="I693" s="8"/>
      <c r="J693" s="8"/>
    </row>
    <row r="694">
      <c r="C694" s="8"/>
      <c r="I694" s="8"/>
      <c r="J694" s="8"/>
    </row>
    <row r="695">
      <c r="C695" s="8"/>
      <c r="I695" s="8"/>
      <c r="J695" s="8"/>
    </row>
    <row r="696">
      <c r="C696" s="8"/>
      <c r="I696" s="8"/>
      <c r="J696" s="8"/>
    </row>
    <row r="697">
      <c r="C697" s="8"/>
      <c r="I697" s="8"/>
      <c r="J697" s="8"/>
    </row>
    <row r="698">
      <c r="C698" s="8"/>
      <c r="I698" s="8"/>
      <c r="J698" s="8"/>
    </row>
    <row r="699">
      <c r="C699" s="8"/>
      <c r="I699" s="8"/>
      <c r="J699" s="8"/>
    </row>
    <row r="700">
      <c r="C700" s="8"/>
      <c r="I700" s="8"/>
      <c r="J700" s="8"/>
    </row>
    <row r="701">
      <c r="C701" s="8"/>
      <c r="I701" s="8"/>
      <c r="J701" s="8"/>
    </row>
    <row r="702">
      <c r="C702" s="8"/>
      <c r="I702" s="8"/>
      <c r="J702" s="8"/>
    </row>
    <row r="703">
      <c r="C703" s="8"/>
      <c r="I703" s="8"/>
      <c r="J703" s="8"/>
    </row>
    <row r="704">
      <c r="C704" s="8"/>
      <c r="I704" s="8"/>
      <c r="J704" s="8"/>
    </row>
    <row r="705">
      <c r="C705" s="8"/>
      <c r="I705" s="8"/>
      <c r="J705" s="8"/>
    </row>
    <row r="706">
      <c r="C706" s="8"/>
      <c r="I706" s="8"/>
      <c r="J706" s="8"/>
    </row>
    <row r="707">
      <c r="C707" s="8"/>
      <c r="I707" s="8"/>
      <c r="J707" s="8"/>
    </row>
    <row r="708">
      <c r="C708" s="8"/>
      <c r="I708" s="8"/>
      <c r="J708" s="8"/>
    </row>
    <row r="709">
      <c r="C709" s="8"/>
      <c r="I709" s="8"/>
      <c r="J709" s="8"/>
    </row>
    <row r="710">
      <c r="C710" s="8"/>
      <c r="I710" s="8"/>
      <c r="J710" s="8"/>
    </row>
    <row r="711">
      <c r="C711" s="8"/>
      <c r="I711" s="8"/>
      <c r="J711" s="8"/>
    </row>
    <row r="712">
      <c r="C712" s="8"/>
      <c r="I712" s="8"/>
      <c r="J712" s="8"/>
    </row>
    <row r="713">
      <c r="C713" s="8"/>
      <c r="I713" s="8"/>
      <c r="J713" s="8"/>
    </row>
    <row r="714">
      <c r="C714" s="8"/>
      <c r="I714" s="8"/>
      <c r="J714" s="8"/>
    </row>
    <row r="715">
      <c r="C715" s="8"/>
      <c r="I715" s="8"/>
      <c r="J715" s="8"/>
    </row>
    <row r="716">
      <c r="C716" s="8"/>
      <c r="I716" s="8"/>
      <c r="J716" s="8"/>
    </row>
    <row r="717">
      <c r="C717" s="8"/>
      <c r="I717" s="8"/>
      <c r="J717" s="8"/>
    </row>
    <row r="718">
      <c r="C718" s="8"/>
      <c r="I718" s="8"/>
      <c r="J718" s="8"/>
    </row>
    <row r="719">
      <c r="C719" s="8"/>
      <c r="I719" s="8"/>
      <c r="J719" s="8"/>
    </row>
    <row r="720">
      <c r="C720" s="8"/>
      <c r="I720" s="8"/>
      <c r="J720" s="8"/>
    </row>
    <row r="721">
      <c r="C721" s="8"/>
      <c r="I721" s="8"/>
      <c r="J721" s="8"/>
    </row>
    <row r="722">
      <c r="C722" s="8"/>
      <c r="I722" s="8"/>
      <c r="J722" s="8"/>
    </row>
    <row r="723">
      <c r="C723" s="8"/>
      <c r="I723" s="8"/>
      <c r="J723" s="8"/>
    </row>
    <row r="724">
      <c r="C724" s="8"/>
      <c r="I724" s="8"/>
      <c r="J724" s="8"/>
    </row>
    <row r="725">
      <c r="C725" s="8"/>
      <c r="I725" s="8"/>
      <c r="J725" s="8"/>
    </row>
    <row r="726">
      <c r="C726" s="8"/>
      <c r="I726" s="8"/>
      <c r="J726" s="8"/>
    </row>
    <row r="727">
      <c r="C727" s="8"/>
      <c r="I727" s="8"/>
      <c r="J727" s="8"/>
    </row>
    <row r="728">
      <c r="C728" s="8"/>
      <c r="I728" s="8"/>
      <c r="J728" s="8"/>
    </row>
    <row r="729">
      <c r="C729" s="8"/>
      <c r="I729" s="8"/>
      <c r="J729" s="8"/>
    </row>
    <row r="730">
      <c r="C730" s="8"/>
      <c r="I730" s="8"/>
      <c r="J730" s="8"/>
    </row>
    <row r="731">
      <c r="C731" s="8"/>
      <c r="I731" s="8"/>
      <c r="J731" s="8"/>
    </row>
    <row r="732">
      <c r="C732" s="8"/>
      <c r="I732" s="8"/>
      <c r="J732" s="8"/>
    </row>
    <row r="733">
      <c r="C733" s="8"/>
      <c r="I733" s="8"/>
      <c r="J733" s="8"/>
    </row>
    <row r="734">
      <c r="C734" s="8"/>
      <c r="I734" s="8"/>
      <c r="J734" s="8"/>
    </row>
    <row r="735">
      <c r="C735" s="8"/>
      <c r="I735" s="8"/>
      <c r="J735" s="8"/>
    </row>
    <row r="736">
      <c r="C736" s="8"/>
      <c r="I736" s="8"/>
      <c r="J736" s="8"/>
    </row>
    <row r="737">
      <c r="C737" s="8"/>
      <c r="I737" s="8"/>
      <c r="J737" s="8"/>
    </row>
    <row r="738">
      <c r="C738" s="8"/>
      <c r="I738" s="8"/>
      <c r="J738" s="8"/>
    </row>
    <row r="739">
      <c r="C739" s="8"/>
      <c r="I739" s="8"/>
      <c r="J739" s="8"/>
    </row>
    <row r="740">
      <c r="C740" s="8"/>
      <c r="I740" s="8"/>
      <c r="J740" s="8"/>
    </row>
    <row r="741">
      <c r="C741" s="8"/>
      <c r="I741" s="8"/>
      <c r="J741" s="8"/>
    </row>
    <row r="742">
      <c r="C742" s="8"/>
      <c r="I742" s="8"/>
      <c r="J742" s="8"/>
    </row>
    <row r="743">
      <c r="C743" s="8"/>
      <c r="I743" s="8"/>
      <c r="J743" s="8"/>
    </row>
    <row r="744">
      <c r="C744" s="8"/>
      <c r="I744" s="8"/>
      <c r="J744" s="8"/>
    </row>
    <row r="745">
      <c r="C745" s="8"/>
      <c r="I745" s="8"/>
      <c r="J745" s="8"/>
    </row>
    <row r="746">
      <c r="C746" s="8"/>
      <c r="I746" s="8"/>
      <c r="J746" s="8"/>
    </row>
    <row r="747">
      <c r="C747" s="8"/>
      <c r="I747" s="8"/>
      <c r="J747" s="8"/>
    </row>
    <row r="748">
      <c r="C748" s="8"/>
      <c r="I748" s="8"/>
      <c r="J748" s="8"/>
    </row>
    <row r="749">
      <c r="C749" s="8"/>
      <c r="I749" s="8"/>
      <c r="J749" s="8"/>
    </row>
    <row r="750">
      <c r="C750" s="8"/>
      <c r="I750" s="8"/>
      <c r="J750" s="8"/>
    </row>
    <row r="751">
      <c r="C751" s="8"/>
      <c r="I751" s="8"/>
      <c r="J751" s="8"/>
    </row>
    <row r="752">
      <c r="C752" s="8"/>
      <c r="I752" s="8"/>
      <c r="J752" s="8"/>
    </row>
    <row r="753">
      <c r="C753" s="8"/>
      <c r="I753" s="8"/>
      <c r="J753" s="8"/>
    </row>
    <row r="754">
      <c r="C754" s="8"/>
      <c r="I754" s="8"/>
      <c r="J754" s="8"/>
    </row>
    <row r="755">
      <c r="C755" s="8"/>
      <c r="I755" s="8"/>
      <c r="J755" s="8"/>
    </row>
    <row r="756">
      <c r="C756" s="8"/>
      <c r="I756" s="8"/>
      <c r="J756" s="8"/>
    </row>
    <row r="757">
      <c r="C757" s="8"/>
      <c r="I757" s="8"/>
      <c r="J757" s="8"/>
    </row>
    <row r="758">
      <c r="C758" s="8"/>
      <c r="I758" s="8"/>
      <c r="J758" s="8"/>
    </row>
    <row r="759">
      <c r="C759" s="8"/>
      <c r="I759" s="8"/>
      <c r="J759" s="8"/>
    </row>
    <row r="760">
      <c r="C760" s="8"/>
      <c r="I760" s="8"/>
      <c r="J760" s="8"/>
    </row>
    <row r="761">
      <c r="C761" s="8"/>
      <c r="I761" s="8"/>
      <c r="J761" s="8"/>
    </row>
    <row r="762">
      <c r="C762" s="8"/>
      <c r="I762" s="8"/>
      <c r="J762" s="8"/>
    </row>
    <row r="763">
      <c r="C763" s="8"/>
      <c r="I763" s="8"/>
      <c r="J763" s="8"/>
    </row>
    <row r="764">
      <c r="C764" s="8"/>
      <c r="I764" s="8"/>
      <c r="J764" s="8"/>
    </row>
    <row r="765">
      <c r="C765" s="8"/>
      <c r="I765" s="8"/>
      <c r="J765" s="8"/>
    </row>
    <row r="766">
      <c r="C766" s="8"/>
      <c r="I766" s="8"/>
      <c r="J766" s="8"/>
    </row>
    <row r="767">
      <c r="C767" s="8"/>
      <c r="I767" s="8"/>
      <c r="J767" s="8"/>
    </row>
    <row r="768">
      <c r="C768" s="8"/>
      <c r="I768" s="8"/>
      <c r="J768" s="8"/>
    </row>
    <row r="769">
      <c r="C769" s="8"/>
      <c r="I769" s="8"/>
      <c r="J769" s="8"/>
    </row>
    <row r="770">
      <c r="C770" s="8"/>
      <c r="I770" s="8"/>
      <c r="J770" s="8"/>
    </row>
    <row r="771">
      <c r="C771" s="8"/>
      <c r="I771" s="8"/>
      <c r="J771" s="8"/>
    </row>
    <row r="772">
      <c r="C772" s="8"/>
      <c r="I772" s="8"/>
      <c r="J772" s="8"/>
    </row>
    <row r="773">
      <c r="C773" s="8"/>
      <c r="I773" s="8"/>
      <c r="J773" s="8"/>
    </row>
    <row r="774">
      <c r="C774" s="8"/>
      <c r="I774" s="8"/>
      <c r="J774" s="8"/>
    </row>
    <row r="775">
      <c r="C775" s="8"/>
      <c r="I775" s="8"/>
      <c r="J775" s="8"/>
    </row>
    <row r="776">
      <c r="C776" s="8"/>
      <c r="I776" s="8"/>
      <c r="J776" s="8"/>
    </row>
    <row r="777">
      <c r="C777" s="8"/>
      <c r="I777" s="8"/>
      <c r="J777" s="8"/>
    </row>
    <row r="778">
      <c r="C778" s="8"/>
      <c r="I778" s="8"/>
      <c r="J778" s="8"/>
    </row>
    <row r="779">
      <c r="C779" s="8"/>
      <c r="I779" s="8"/>
      <c r="J779" s="8"/>
    </row>
    <row r="780">
      <c r="C780" s="8"/>
      <c r="I780" s="8"/>
      <c r="J780" s="8"/>
    </row>
    <row r="781">
      <c r="C781" s="8"/>
      <c r="I781" s="8"/>
      <c r="J781" s="8"/>
    </row>
    <row r="782">
      <c r="C782" s="8"/>
      <c r="I782" s="8"/>
      <c r="J782" s="8"/>
    </row>
    <row r="783">
      <c r="C783" s="8"/>
      <c r="I783" s="8"/>
      <c r="J783" s="8"/>
    </row>
    <row r="784">
      <c r="C784" s="8"/>
      <c r="I784" s="8"/>
      <c r="J784" s="8"/>
    </row>
    <row r="785">
      <c r="C785" s="8"/>
      <c r="I785" s="8"/>
      <c r="J785" s="8"/>
    </row>
    <row r="786">
      <c r="C786" s="8"/>
      <c r="I786" s="8"/>
      <c r="J786" s="8"/>
    </row>
    <row r="787">
      <c r="C787" s="8"/>
      <c r="I787" s="8"/>
      <c r="J787" s="8"/>
    </row>
    <row r="788">
      <c r="C788" s="8"/>
      <c r="I788" s="8"/>
      <c r="J788" s="8"/>
    </row>
    <row r="789">
      <c r="C789" s="8"/>
      <c r="I789" s="8"/>
      <c r="J789" s="8"/>
    </row>
    <row r="790">
      <c r="C790" s="8"/>
      <c r="I790" s="8"/>
      <c r="J790" s="8"/>
    </row>
    <row r="791">
      <c r="C791" s="8"/>
      <c r="I791" s="8"/>
      <c r="J791" s="8"/>
    </row>
    <row r="792">
      <c r="C792" s="8"/>
      <c r="I792" s="8"/>
      <c r="J792" s="8"/>
    </row>
    <row r="793">
      <c r="C793" s="8"/>
      <c r="I793" s="8"/>
      <c r="J793" s="8"/>
    </row>
    <row r="794">
      <c r="C794" s="8"/>
      <c r="I794" s="8"/>
      <c r="J794" s="8"/>
    </row>
    <row r="795">
      <c r="C795" s="8"/>
      <c r="I795" s="8"/>
      <c r="J795" s="8"/>
    </row>
    <row r="796">
      <c r="C796" s="8"/>
      <c r="I796" s="8"/>
      <c r="J796" s="8"/>
    </row>
    <row r="797">
      <c r="C797" s="8"/>
      <c r="I797" s="8"/>
      <c r="J797" s="8"/>
    </row>
    <row r="798">
      <c r="C798" s="8"/>
      <c r="I798" s="8"/>
      <c r="J798" s="8"/>
    </row>
    <row r="799">
      <c r="C799" s="8"/>
      <c r="I799" s="8"/>
      <c r="J799" s="8"/>
    </row>
    <row r="800">
      <c r="C800" s="8"/>
      <c r="I800" s="8"/>
      <c r="J800" s="8"/>
    </row>
    <row r="801">
      <c r="C801" s="8"/>
      <c r="I801" s="8"/>
      <c r="J801" s="8"/>
    </row>
    <row r="802">
      <c r="C802" s="8"/>
      <c r="I802" s="8"/>
      <c r="J802" s="8"/>
    </row>
    <row r="803">
      <c r="C803" s="8"/>
      <c r="I803" s="8"/>
      <c r="J803" s="8"/>
    </row>
    <row r="804">
      <c r="C804" s="8"/>
      <c r="I804" s="8"/>
      <c r="J804" s="8"/>
    </row>
    <row r="805">
      <c r="C805" s="8"/>
      <c r="I805" s="8"/>
      <c r="J805" s="8"/>
    </row>
    <row r="806">
      <c r="C806" s="8"/>
      <c r="I806" s="8"/>
      <c r="J806" s="8"/>
    </row>
    <row r="807">
      <c r="C807" s="8"/>
      <c r="I807" s="8"/>
      <c r="J807" s="8"/>
    </row>
    <row r="808">
      <c r="C808" s="8"/>
      <c r="I808" s="8"/>
      <c r="J808" s="8"/>
    </row>
    <row r="809">
      <c r="C809" s="8"/>
      <c r="I809" s="8"/>
      <c r="J809" s="8"/>
    </row>
    <row r="810">
      <c r="C810" s="8"/>
      <c r="I810" s="8"/>
      <c r="J810" s="8"/>
    </row>
    <row r="811">
      <c r="C811" s="8"/>
      <c r="I811" s="8"/>
      <c r="J811" s="8"/>
    </row>
    <row r="812">
      <c r="C812" s="8"/>
      <c r="I812" s="8"/>
      <c r="J812" s="8"/>
    </row>
    <row r="813">
      <c r="C813" s="8"/>
      <c r="I813" s="8"/>
      <c r="J813" s="8"/>
    </row>
    <row r="814">
      <c r="C814" s="8"/>
      <c r="I814" s="8"/>
      <c r="J814" s="8"/>
    </row>
    <row r="815">
      <c r="C815" s="8"/>
      <c r="I815" s="8"/>
      <c r="J815" s="8"/>
    </row>
    <row r="816">
      <c r="C816" s="8"/>
      <c r="I816" s="8"/>
      <c r="J816" s="8"/>
    </row>
    <row r="817">
      <c r="C817" s="8"/>
      <c r="I817" s="8"/>
      <c r="J817" s="8"/>
    </row>
    <row r="818">
      <c r="C818" s="8"/>
      <c r="I818" s="8"/>
      <c r="J818" s="8"/>
    </row>
    <row r="819">
      <c r="C819" s="8"/>
      <c r="I819" s="8"/>
      <c r="J819" s="8"/>
    </row>
    <row r="820">
      <c r="C820" s="8"/>
      <c r="I820" s="8"/>
      <c r="J820" s="8"/>
    </row>
    <row r="821">
      <c r="C821" s="8"/>
      <c r="I821" s="8"/>
      <c r="J821" s="8"/>
    </row>
    <row r="822">
      <c r="C822" s="8"/>
      <c r="I822" s="8"/>
      <c r="J822" s="8"/>
    </row>
    <row r="823">
      <c r="C823" s="8"/>
      <c r="I823" s="8"/>
      <c r="J823" s="8"/>
    </row>
    <row r="824">
      <c r="C824" s="8"/>
      <c r="I824" s="8"/>
      <c r="J824" s="8"/>
    </row>
    <row r="825">
      <c r="C825" s="8"/>
      <c r="I825" s="8"/>
      <c r="J825" s="8"/>
    </row>
    <row r="826">
      <c r="C826" s="8"/>
      <c r="I826" s="8"/>
      <c r="J826" s="8"/>
    </row>
    <row r="827">
      <c r="C827" s="8"/>
      <c r="I827" s="8"/>
      <c r="J827" s="8"/>
    </row>
    <row r="828">
      <c r="C828" s="8"/>
      <c r="I828" s="8"/>
      <c r="J828" s="8"/>
    </row>
    <row r="829">
      <c r="C829" s="8"/>
      <c r="I829" s="8"/>
      <c r="J829" s="8"/>
    </row>
    <row r="830">
      <c r="C830" s="8"/>
      <c r="I830" s="8"/>
      <c r="J830" s="8"/>
    </row>
    <row r="831">
      <c r="C831" s="8"/>
      <c r="I831" s="8"/>
      <c r="J831" s="8"/>
    </row>
    <row r="832">
      <c r="C832" s="8"/>
      <c r="I832" s="8"/>
      <c r="J832" s="8"/>
    </row>
    <row r="833">
      <c r="C833" s="8"/>
      <c r="I833" s="8"/>
      <c r="J833" s="8"/>
    </row>
    <row r="834">
      <c r="C834" s="8"/>
      <c r="I834" s="8"/>
      <c r="J834" s="8"/>
    </row>
    <row r="835">
      <c r="C835" s="8"/>
      <c r="I835" s="8"/>
      <c r="J835" s="8"/>
    </row>
    <row r="836">
      <c r="C836" s="8"/>
      <c r="I836" s="8"/>
      <c r="J836" s="8"/>
    </row>
    <row r="837">
      <c r="C837" s="8"/>
      <c r="I837" s="8"/>
      <c r="J837" s="8"/>
    </row>
    <row r="838">
      <c r="C838" s="8"/>
      <c r="I838" s="8"/>
      <c r="J838" s="8"/>
    </row>
    <row r="839">
      <c r="C839" s="8"/>
      <c r="I839" s="8"/>
      <c r="J839" s="8"/>
    </row>
    <row r="840">
      <c r="C840" s="8"/>
      <c r="I840" s="8"/>
      <c r="J840" s="8"/>
    </row>
    <row r="841">
      <c r="C841" s="8"/>
      <c r="I841" s="8"/>
      <c r="J841" s="8"/>
    </row>
    <row r="842">
      <c r="C842" s="8"/>
      <c r="I842" s="8"/>
      <c r="J842" s="8"/>
    </row>
    <row r="843">
      <c r="C843" s="8"/>
      <c r="I843" s="8"/>
      <c r="J843" s="8"/>
    </row>
    <row r="844">
      <c r="C844" s="8"/>
      <c r="I844" s="8"/>
      <c r="J844" s="8"/>
    </row>
    <row r="845">
      <c r="C845" s="8"/>
      <c r="I845" s="8"/>
      <c r="J845" s="8"/>
    </row>
    <row r="846">
      <c r="C846" s="8"/>
      <c r="I846" s="8"/>
      <c r="J846" s="8"/>
    </row>
    <row r="847">
      <c r="C847" s="8"/>
      <c r="I847" s="8"/>
      <c r="J847" s="8"/>
    </row>
    <row r="848">
      <c r="C848" s="8"/>
      <c r="I848" s="8"/>
      <c r="J848" s="8"/>
    </row>
    <row r="849">
      <c r="C849" s="8"/>
      <c r="I849" s="8"/>
      <c r="J849" s="8"/>
    </row>
    <row r="850">
      <c r="C850" s="8"/>
      <c r="I850" s="8"/>
      <c r="J850" s="8"/>
    </row>
    <row r="851">
      <c r="C851" s="8"/>
      <c r="I851" s="8"/>
      <c r="J851" s="8"/>
    </row>
    <row r="852">
      <c r="C852" s="8"/>
      <c r="I852" s="8"/>
      <c r="J852" s="8"/>
    </row>
    <row r="853">
      <c r="C853" s="8"/>
      <c r="I853" s="8"/>
      <c r="J853" s="8"/>
    </row>
    <row r="854">
      <c r="C854" s="8"/>
      <c r="I854" s="8"/>
      <c r="J854" s="8"/>
    </row>
    <row r="855">
      <c r="C855" s="8"/>
      <c r="I855" s="8"/>
      <c r="J855" s="8"/>
    </row>
    <row r="856">
      <c r="C856" s="8"/>
      <c r="I856" s="8"/>
      <c r="J856" s="8"/>
    </row>
    <row r="857">
      <c r="C857" s="8"/>
      <c r="I857" s="8"/>
      <c r="J857" s="8"/>
    </row>
    <row r="858">
      <c r="C858" s="8"/>
      <c r="I858" s="8"/>
      <c r="J858" s="8"/>
    </row>
    <row r="859">
      <c r="C859" s="8"/>
      <c r="I859" s="8"/>
      <c r="J859" s="8"/>
    </row>
    <row r="860">
      <c r="C860" s="8"/>
      <c r="I860" s="8"/>
      <c r="J860" s="8"/>
    </row>
    <row r="861">
      <c r="C861" s="8"/>
      <c r="I861" s="8"/>
      <c r="J861" s="8"/>
    </row>
    <row r="862">
      <c r="C862" s="8"/>
      <c r="I862" s="8"/>
      <c r="J862" s="8"/>
    </row>
    <row r="863">
      <c r="C863" s="8"/>
      <c r="I863" s="8"/>
      <c r="J863" s="8"/>
    </row>
    <row r="864">
      <c r="C864" s="8"/>
      <c r="I864" s="8"/>
      <c r="J864" s="8"/>
    </row>
    <row r="865">
      <c r="C865" s="8"/>
      <c r="I865" s="8"/>
      <c r="J865" s="8"/>
    </row>
    <row r="866">
      <c r="C866" s="8"/>
      <c r="I866" s="8"/>
      <c r="J866" s="8"/>
    </row>
    <row r="867">
      <c r="C867" s="8"/>
      <c r="I867" s="8"/>
      <c r="J867" s="8"/>
    </row>
    <row r="868">
      <c r="C868" s="8"/>
      <c r="I868" s="8"/>
      <c r="J868" s="8"/>
    </row>
    <row r="869">
      <c r="C869" s="8"/>
      <c r="I869" s="8"/>
      <c r="J869" s="8"/>
    </row>
    <row r="870">
      <c r="C870" s="8"/>
      <c r="I870" s="8"/>
      <c r="J870" s="8"/>
    </row>
    <row r="871">
      <c r="C871" s="8"/>
      <c r="I871" s="8"/>
      <c r="J871" s="8"/>
    </row>
    <row r="872">
      <c r="C872" s="8"/>
      <c r="I872" s="8"/>
      <c r="J872" s="8"/>
    </row>
    <row r="873">
      <c r="C873" s="8"/>
      <c r="I873" s="8"/>
      <c r="J873" s="8"/>
    </row>
    <row r="874">
      <c r="C874" s="8"/>
      <c r="I874" s="8"/>
      <c r="J874" s="8"/>
    </row>
    <row r="875">
      <c r="C875" s="8"/>
      <c r="I875" s="8"/>
      <c r="J875" s="8"/>
    </row>
    <row r="876">
      <c r="C876" s="8"/>
      <c r="I876" s="8"/>
      <c r="J876" s="8"/>
    </row>
    <row r="877">
      <c r="C877" s="8"/>
      <c r="I877" s="8"/>
      <c r="J877" s="8"/>
    </row>
    <row r="878">
      <c r="C878" s="8"/>
      <c r="I878" s="8"/>
      <c r="J878" s="8"/>
    </row>
    <row r="879">
      <c r="C879" s="8"/>
      <c r="I879" s="8"/>
      <c r="J879" s="8"/>
    </row>
    <row r="880">
      <c r="C880" s="8"/>
      <c r="I880" s="8"/>
      <c r="J880" s="8"/>
    </row>
    <row r="881">
      <c r="C881" s="8"/>
      <c r="I881" s="8"/>
      <c r="J881" s="8"/>
    </row>
    <row r="882">
      <c r="C882" s="8"/>
      <c r="I882" s="8"/>
      <c r="J882" s="8"/>
    </row>
    <row r="883">
      <c r="C883" s="8"/>
      <c r="I883" s="8"/>
      <c r="J883" s="8"/>
    </row>
    <row r="884">
      <c r="C884" s="8"/>
      <c r="I884" s="8"/>
      <c r="J884" s="8"/>
    </row>
    <row r="885">
      <c r="C885" s="8"/>
      <c r="I885" s="8"/>
      <c r="J885" s="8"/>
    </row>
    <row r="886">
      <c r="C886" s="8"/>
      <c r="I886" s="8"/>
      <c r="J886" s="8"/>
    </row>
    <row r="887">
      <c r="C887" s="8"/>
      <c r="I887" s="8"/>
      <c r="J887" s="8"/>
    </row>
    <row r="888">
      <c r="C888" s="8"/>
      <c r="I888" s="8"/>
      <c r="J888" s="8"/>
    </row>
    <row r="889">
      <c r="C889" s="8"/>
      <c r="I889" s="8"/>
      <c r="J889" s="8"/>
    </row>
    <row r="890">
      <c r="C890" s="8"/>
      <c r="I890" s="8"/>
      <c r="J890" s="8"/>
    </row>
    <row r="891">
      <c r="C891" s="8"/>
      <c r="I891" s="8"/>
      <c r="J891" s="8"/>
    </row>
    <row r="892">
      <c r="C892" s="8"/>
      <c r="I892" s="8"/>
      <c r="J892" s="8"/>
    </row>
    <row r="893">
      <c r="C893" s="8"/>
      <c r="I893" s="8"/>
      <c r="J893" s="8"/>
    </row>
    <row r="894">
      <c r="C894" s="8"/>
      <c r="I894" s="8"/>
      <c r="J894" s="8"/>
    </row>
    <row r="895">
      <c r="C895" s="8"/>
      <c r="I895" s="8"/>
      <c r="J895" s="8"/>
    </row>
    <row r="896">
      <c r="C896" s="8"/>
      <c r="I896" s="8"/>
      <c r="J896" s="8"/>
    </row>
    <row r="897">
      <c r="C897" s="8"/>
      <c r="I897" s="8"/>
      <c r="J897" s="8"/>
    </row>
    <row r="898">
      <c r="C898" s="8"/>
      <c r="I898" s="8"/>
      <c r="J898" s="8"/>
    </row>
    <row r="899">
      <c r="C899" s="8"/>
      <c r="I899" s="8"/>
      <c r="J899" s="8"/>
    </row>
    <row r="900">
      <c r="C900" s="8"/>
      <c r="I900" s="8"/>
      <c r="J900" s="8"/>
    </row>
    <row r="901">
      <c r="C901" s="8"/>
      <c r="I901" s="8"/>
      <c r="J901" s="8"/>
    </row>
    <row r="902">
      <c r="C902" s="8"/>
      <c r="I902" s="8"/>
      <c r="J902" s="8"/>
    </row>
    <row r="903">
      <c r="C903" s="8"/>
      <c r="I903" s="8"/>
      <c r="J903" s="8"/>
    </row>
    <row r="904">
      <c r="C904" s="8"/>
      <c r="I904" s="8"/>
      <c r="J904" s="8"/>
    </row>
    <row r="905">
      <c r="C905" s="8"/>
      <c r="I905" s="8"/>
      <c r="J905" s="8"/>
    </row>
    <row r="906">
      <c r="C906" s="8"/>
      <c r="I906" s="8"/>
      <c r="J906" s="8"/>
    </row>
    <row r="907">
      <c r="C907" s="8"/>
      <c r="I907" s="8"/>
      <c r="J907" s="8"/>
    </row>
    <row r="908">
      <c r="C908" s="8"/>
      <c r="I908" s="8"/>
      <c r="J908" s="8"/>
    </row>
    <row r="909">
      <c r="C909" s="8"/>
      <c r="I909" s="8"/>
      <c r="J909" s="8"/>
    </row>
    <row r="910">
      <c r="C910" s="8"/>
      <c r="I910" s="8"/>
      <c r="J910" s="8"/>
    </row>
    <row r="911">
      <c r="C911" s="8"/>
      <c r="I911" s="8"/>
      <c r="J911" s="8"/>
    </row>
    <row r="912">
      <c r="C912" s="8"/>
      <c r="I912" s="8"/>
      <c r="J912" s="8"/>
    </row>
    <row r="913">
      <c r="C913" s="8"/>
      <c r="I913" s="8"/>
      <c r="J913" s="8"/>
    </row>
    <row r="914">
      <c r="C914" s="8"/>
      <c r="I914" s="8"/>
      <c r="J914" s="8"/>
    </row>
    <row r="915">
      <c r="C915" s="8"/>
      <c r="I915" s="8"/>
      <c r="J915" s="8"/>
    </row>
    <row r="916">
      <c r="C916" s="8"/>
      <c r="I916" s="8"/>
      <c r="J916" s="8"/>
    </row>
    <row r="917">
      <c r="C917" s="8"/>
      <c r="I917" s="8"/>
      <c r="J917" s="8"/>
    </row>
    <row r="918">
      <c r="C918" s="8"/>
      <c r="I918" s="8"/>
      <c r="J918" s="8"/>
    </row>
    <row r="919">
      <c r="C919" s="8"/>
      <c r="I919" s="8"/>
      <c r="J919" s="8"/>
    </row>
    <row r="920">
      <c r="C920" s="8"/>
      <c r="I920" s="8"/>
      <c r="J920" s="8"/>
    </row>
    <row r="921">
      <c r="C921" s="8"/>
      <c r="I921" s="8"/>
      <c r="J921" s="8"/>
    </row>
    <row r="922">
      <c r="C922" s="8"/>
      <c r="I922" s="8"/>
      <c r="J922" s="8"/>
    </row>
    <row r="923">
      <c r="C923" s="8"/>
      <c r="I923" s="8"/>
      <c r="J923" s="8"/>
    </row>
    <row r="924">
      <c r="C924" s="8"/>
      <c r="I924" s="8"/>
      <c r="J924" s="8"/>
    </row>
    <row r="925">
      <c r="C925" s="8"/>
      <c r="I925" s="8"/>
      <c r="J925" s="8"/>
    </row>
    <row r="926">
      <c r="C926" s="8"/>
      <c r="I926" s="8"/>
      <c r="J926" s="8"/>
    </row>
    <row r="927">
      <c r="C927" s="8"/>
      <c r="I927" s="8"/>
      <c r="J927" s="8"/>
    </row>
    <row r="928">
      <c r="C928" s="8"/>
      <c r="I928" s="8"/>
      <c r="J928" s="8"/>
    </row>
    <row r="929">
      <c r="C929" s="8"/>
      <c r="I929" s="8"/>
      <c r="J929" s="8"/>
    </row>
    <row r="930">
      <c r="C930" s="8"/>
      <c r="I930" s="8"/>
      <c r="J930" s="8"/>
    </row>
    <row r="931">
      <c r="C931" s="8"/>
      <c r="I931" s="8"/>
      <c r="J931" s="8"/>
    </row>
    <row r="932">
      <c r="C932" s="8"/>
      <c r="I932" s="8"/>
      <c r="J932" s="8"/>
    </row>
    <row r="933">
      <c r="C933" s="8"/>
      <c r="I933" s="8"/>
      <c r="J933" s="8"/>
    </row>
    <row r="934">
      <c r="C934" s="8"/>
      <c r="I934" s="8"/>
      <c r="J934" s="8"/>
    </row>
    <row r="935">
      <c r="C935" s="8"/>
      <c r="I935" s="8"/>
      <c r="J935" s="8"/>
    </row>
    <row r="936">
      <c r="C936" s="8"/>
      <c r="I936" s="8"/>
      <c r="J936" s="8"/>
    </row>
    <row r="937">
      <c r="C937" s="8"/>
      <c r="I937" s="8"/>
      <c r="J937" s="8"/>
    </row>
    <row r="938">
      <c r="C938" s="8"/>
      <c r="I938" s="8"/>
      <c r="J938" s="8"/>
    </row>
    <row r="939">
      <c r="C939" s="8"/>
      <c r="I939" s="8"/>
      <c r="J939" s="8"/>
    </row>
    <row r="940">
      <c r="C940" s="8"/>
      <c r="I940" s="8"/>
      <c r="J940" s="8"/>
    </row>
    <row r="941">
      <c r="C941" s="8"/>
      <c r="I941" s="8"/>
      <c r="J941" s="8"/>
    </row>
    <row r="942">
      <c r="C942" s="8"/>
      <c r="I942" s="8"/>
      <c r="J942" s="8"/>
    </row>
    <row r="943">
      <c r="C943" s="8"/>
      <c r="I943" s="8"/>
      <c r="J943" s="8"/>
    </row>
    <row r="944">
      <c r="C944" s="8"/>
      <c r="I944" s="8"/>
      <c r="J944" s="8"/>
    </row>
    <row r="945">
      <c r="C945" s="8"/>
      <c r="I945" s="8"/>
      <c r="J945" s="8"/>
    </row>
    <row r="946">
      <c r="C946" s="8"/>
      <c r="I946" s="8"/>
      <c r="J946" s="8"/>
    </row>
    <row r="947">
      <c r="C947" s="8"/>
      <c r="I947" s="8"/>
      <c r="J947" s="8"/>
    </row>
    <row r="948">
      <c r="C948" s="8"/>
      <c r="I948" s="8"/>
      <c r="J948" s="8"/>
    </row>
    <row r="949">
      <c r="C949" s="8"/>
      <c r="I949" s="8"/>
      <c r="J949" s="8"/>
    </row>
    <row r="950">
      <c r="C950" s="8"/>
      <c r="I950" s="8"/>
      <c r="J950" s="8"/>
    </row>
    <row r="951">
      <c r="C951" s="8"/>
      <c r="I951" s="8"/>
      <c r="J951" s="8"/>
    </row>
    <row r="952">
      <c r="C952" s="8"/>
      <c r="I952" s="8"/>
      <c r="J952" s="8"/>
    </row>
    <row r="953">
      <c r="C953" s="8"/>
      <c r="I953" s="8"/>
      <c r="J953" s="8"/>
    </row>
    <row r="954">
      <c r="C954" s="8"/>
      <c r="I954" s="8"/>
      <c r="J954" s="8"/>
    </row>
    <row r="955">
      <c r="C955" s="8"/>
      <c r="I955" s="8"/>
      <c r="J955" s="8"/>
    </row>
    <row r="956">
      <c r="C956" s="8"/>
      <c r="I956" s="8"/>
      <c r="J956" s="8"/>
    </row>
    <row r="957">
      <c r="C957" s="8"/>
      <c r="I957" s="8"/>
      <c r="J957" s="8"/>
    </row>
    <row r="958">
      <c r="C958" s="8"/>
      <c r="I958" s="8"/>
      <c r="J958" s="8"/>
    </row>
    <row r="959">
      <c r="C959" s="8"/>
      <c r="I959" s="8"/>
      <c r="J959" s="8"/>
    </row>
    <row r="960">
      <c r="C960" s="8"/>
      <c r="I960" s="8"/>
      <c r="J960" s="8"/>
    </row>
    <row r="961">
      <c r="C961" s="8"/>
      <c r="I961" s="8"/>
      <c r="J961" s="8"/>
    </row>
    <row r="962">
      <c r="C962" s="8"/>
      <c r="I962" s="8"/>
      <c r="J962" s="8"/>
    </row>
    <row r="963">
      <c r="C963" s="8"/>
      <c r="I963" s="8"/>
      <c r="J963" s="8"/>
    </row>
    <row r="964">
      <c r="C964" s="8"/>
      <c r="I964" s="8"/>
      <c r="J964" s="8"/>
    </row>
    <row r="965">
      <c r="C965" s="8"/>
      <c r="I965" s="8"/>
      <c r="J965" s="8"/>
    </row>
    <row r="966">
      <c r="C966" s="8"/>
      <c r="I966" s="8"/>
      <c r="J966" s="8"/>
    </row>
    <row r="967">
      <c r="C967" s="8"/>
      <c r="I967" s="8"/>
      <c r="J967" s="8"/>
    </row>
    <row r="968">
      <c r="C968" s="8"/>
      <c r="I968" s="8"/>
      <c r="J968" s="8"/>
    </row>
    <row r="969">
      <c r="C969" s="8"/>
      <c r="I969" s="8"/>
      <c r="J969" s="8"/>
    </row>
    <row r="970">
      <c r="C970" s="8"/>
      <c r="I970" s="8"/>
      <c r="J970" s="8"/>
    </row>
    <row r="971">
      <c r="C971" s="8"/>
      <c r="I971" s="8"/>
      <c r="J971" s="8"/>
    </row>
    <row r="972">
      <c r="C972" s="8"/>
      <c r="I972" s="8"/>
      <c r="J972" s="8"/>
    </row>
    <row r="973">
      <c r="C973" s="8"/>
      <c r="I973" s="8"/>
      <c r="J973" s="8"/>
    </row>
    <row r="974">
      <c r="C974" s="8"/>
      <c r="I974" s="8"/>
      <c r="J974" s="8"/>
    </row>
    <row r="975">
      <c r="C975" s="8"/>
      <c r="I975" s="8"/>
      <c r="J975" s="8"/>
    </row>
    <row r="976">
      <c r="C976" s="8"/>
      <c r="I976" s="8"/>
      <c r="J976" s="8"/>
    </row>
    <row r="977">
      <c r="C977" s="8"/>
      <c r="I977" s="8"/>
      <c r="J977" s="8"/>
    </row>
    <row r="978">
      <c r="C978" s="8"/>
      <c r="I978" s="8"/>
      <c r="J978" s="8"/>
    </row>
    <row r="979">
      <c r="C979" s="8"/>
      <c r="I979" s="8"/>
      <c r="J979" s="8"/>
    </row>
    <row r="980">
      <c r="C980" s="8"/>
      <c r="I980" s="8"/>
      <c r="J980" s="8"/>
    </row>
    <row r="981">
      <c r="C981" s="8"/>
      <c r="I981" s="8"/>
      <c r="J981" s="8"/>
    </row>
    <row r="982">
      <c r="C982" s="8"/>
      <c r="I982" s="8"/>
      <c r="J982" s="8"/>
    </row>
    <row r="983">
      <c r="C983" s="8"/>
      <c r="I983" s="8"/>
      <c r="J983" s="8"/>
    </row>
    <row r="984">
      <c r="C984" s="8"/>
      <c r="I984" s="8"/>
      <c r="J984" s="8"/>
    </row>
    <row r="985">
      <c r="C985" s="8"/>
      <c r="I985" s="8"/>
      <c r="J985" s="8"/>
    </row>
    <row r="986">
      <c r="C986" s="8"/>
      <c r="I986" s="8"/>
      <c r="J986" s="8"/>
    </row>
    <row r="987">
      <c r="C987" s="8"/>
      <c r="I987" s="8"/>
      <c r="J987" s="8"/>
    </row>
    <row r="988">
      <c r="C988" s="8"/>
      <c r="I988" s="8"/>
      <c r="J988" s="8"/>
    </row>
    <row r="989">
      <c r="C989" s="8"/>
      <c r="I989" s="8"/>
      <c r="J989" s="8"/>
    </row>
    <row r="990">
      <c r="C990" s="8"/>
      <c r="I990" s="8"/>
      <c r="J990" s="8"/>
    </row>
    <row r="991">
      <c r="C991" s="8"/>
      <c r="I991" s="8"/>
      <c r="J991" s="8"/>
    </row>
    <row r="992">
      <c r="C992" s="8"/>
      <c r="I992" s="8"/>
      <c r="J992" s="8"/>
    </row>
    <row r="993">
      <c r="C993" s="8"/>
      <c r="I993" s="8"/>
      <c r="J993" s="8"/>
    </row>
    <row r="994">
      <c r="C994" s="8"/>
      <c r="I994" s="8"/>
      <c r="J994" s="8"/>
    </row>
    <row r="995">
      <c r="C995" s="8"/>
      <c r="I995" s="8"/>
      <c r="J995" s="8"/>
    </row>
    <row r="996">
      <c r="C996" s="8"/>
      <c r="I996" s="8"/>
      <c r="J996" s="8"/>
    </row>
    <row r="997">
      <c r="C997" s="8"/>
      <c r="I997" s="8"/>
      <c r="J997" s="8"/>
    </row>
    <row r="998">
      <c r="C998" s="8"/>
      <c r="I998" s="8"/>
      <c r="J998" s="8"/>
    </row>
    <row r="999">
      <c r="C999" s="8"/>
      <c r="I999" s="8"/>
      <c r="J999" s="8"/>
    </row>
    <row r="1000">
      <c r="C1000" s="8"/>
      <c r="I1000" s="8"/>
      <c r="J1000" s="8"/>
    </row>
  </sheetData>
  <mergeCells count="1">
    <mergeCell ref="A1:O2"/>
  </mergeCells>
  <dataValidations>
    <dataValidation type="list" allowBlank="1" showErrorMessage="1" sqref="B3">
      <formula1>"Mout,Hop,Gist,Suiker,Fruit,Adjunct"</formula1>
    </dataValidation>
    <dataValidation type="list" allowBlank="1" showErrorMessage="1" sqref="J6:J1000">
      <formula1>Uitleg!$C$2:$C$5</formula1>
    </dataValidation>
    <dataValidation type="list" allowBlank="1" showErrorMessage="1" sqref="I6:I1000">
      <formula1>Uitleg!$B$2:$B$7</formula1>
    </dataValidation>
    <dataValidation type="list" allowBlank="1" showErrorMessage="1" sqref="C6:C1000">
      <formula1>Uitleg!$A$2:$A$3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63"/>
    <col customWidth="1" min="3" max="3" width="14.0"/>
    <col customWidth="1" min="7" max="11" width="13.5"/>
    <col customWidth="1" min="12" max="12" width="3.38"/>
    <col customWidth="1" min="15" max="15" width="13.88"/>
  </cols>
  <sheetData>
    <row r="1">
      <c r="A1" s="1" t="s">
        <v>144</v>
      </c>
    </row>
    <row r="3">
      <c r="A3" s="2" t="s">
        <v>559</v>
      </c>
      <c r="B3" s="2" t="s">
        <v>498</v>
      </c>
      <c r="M3" s="2" t="s">
        <v>560</v>
      </c>
      <c r="N3" s="8">
        <f>SUM(H6:H1000) - SUM(O6:O1000)</f>
        <v>0</v>
      </c>
      <c r="O3" s="2" t="s">
        <v>561</v>
      </c>
    </row>
    <row r="5">
      <c r="A5" s="22" t="s">
        <v>104</v>
      </c>
      <c r="B5" s="22" t="s">
        <v>105</v>
      </c>
      <c r="C5" s="22" t="s">
        <v>106</v>
      </c>
      <c r="D5" s="22" t="s">
        <v>107</v>
      </c>
      <c r="E5" s="22" t="s">
        <v>108</v>
      </c>
      <c r="F5" s="22" t="s">
        <v>111</v>
      </c>
      <c r="G5" s="22" t="s">
        <v>112</v>
      </c>
      <c r="H5" s="22" t="s">
        <v>113</v>
      </c>
      <c r="I5" s="22" t="s">
        <v>115</v>
      </c>
      <c r="J5" s="22" t="s">
        <v>116</v>
      </c>
      <c r="K5" s="22" t="s">
        <v>117</v>
      </c>
      <c r="M5" s="23" t="s">
        <v>118</v>
      </c>
      <c r="N5" s="23" t="s">
        <v>107</v>
      </c>
      <c r="O5" s="23" t="s">
        <v>113</v>
      </c>
      <c r="P5" s="23" t="s">
        <v>111</v>
      </c>
    </row>
    <row r="6">
      <c r="A6" s="2">
        <v>3.72012518E8</v>
      </c>
      <c r="B6" s="2">
        <v>202305.0</v>
      </c>
      <c r="C6" s="2" t="s">
        <v>130</v>
      </c>
      <c r="D6" s="24">
        <v>45013.0</v>
      </c>
      <c r="E6" s="2" t="s">
        <v>131</v>
      </c>
      <c r="F6" s="2" t="s">
        <v>145</v>
      </c>
      <c r="G6" s="27">
        <v>45538.0</v>
      </c>
      <c r="H6" s="2">
        <v>5.0</v>
      </c>
      <c r="I6" s="8"/>
      <c r="J6" s="8"/>
      <c r="K6" s="53"/>
      <c r="M6" s="2" t="s">
        <v>64</v>
      </c>
      <c r="N6" s="24">
        <v>45015.0</v>
      </c>
      <c r="O6" s="2">
        <v>4.0</v>
      </c>
      <c r="P6" s="2" t="s">
        <v>145</v>
      </c>
    </row>
    <row r="7">
      <c r="C7" s="28"/>
      <c r="D7" s="28"/>
      <c r="E7" s="28"/>
      <c r="F7" s="28"/>
      <c r="I7" s="8"/>
      <c r="J7" s="8"/>
      <c r="M7" s="2" t="s">
        <v>65</v>
      </c>
      <c r="N7" s="24">
        <v>45015.0</v>
      </c>
      <c r="O7" s="2">
        <v>1.0</v>
      </c>
      <c r="P7" s="2" t="s">
        <v>145</v>
      </c>
    </row>
    <row r="8">
      <c r="C8" s="28"/>
      <c r="D8" s="28"/>
      <c r="E8" s="28"/>
      <c r="F8" s="28"/>
      <c r="I8" s="8"/>
      <c r="J8" s="8"/>
      <c r="N8" s="28"/>
    </row>
    <row r="9">
      <c r="C9" s="28"/>
      <c r="D9" s="28"/>
      <c r="E9" s="28"/>
      <c r="F9" s="28"/>
      <c r="I9" s="8"/>
      <c r="J9" s="8"/>
      <c r="N9" s="28"/>
    </row>
    <row r="10">
      <c r="C10" s="28"/>
      <c r="D10" s="28"/>
      <c r="E10" s="28"/>
      <c r="F10" s="28"/>
      <c r="I10" s="8"/>
      <c r="J10" s="8"/>
      <c r="N10" s="28"/>
    </row>
    <row r="11">
      <c r="C11" s="28"/>
      <c r="D11" s="28"/>
      <c r="E11" s="28"/>
      <c r="F11" s="28"/>
      <c r="I11" s="8"/>
      <c r="J11" s="8"/>
      <c r="N11" s="28"/>
    </row>
    <row r="12">
      <c r="C12" s="28"/>
      <c r="D12" s="28"/>
      <c r="E12" s="28"/>
      <c r="F12" s="28"/>
      <c r="I12" s="8"/>
      <c r="J12" s="8"/>
      <c r="N12" s="28"/>
    </row>
    <row r="13">
      <c r="C13" s="28"/>
      <c r="D13" s="28"/>
      <c r="E13" s="28"/>
      <c r="F13" s="28"/>
      <c r="I13" s="8"/>
      <c r="J13" s="8"/>
      <c r="N13" s="28"/>
    </row>
    <row r="14">
      <c r="C14" s="28"/>
      <c r="D14" s="28"/>
      <c r="E14" s="28"/>
      <c r="F14" s="28"/>
      <c r="I14" s="8"/>
      <c r="J14" s="8"/>
      <c r="N14" s="28"/>
    </row>
    <row r="15">
      <c r="C15" s="28"/>
      <c r="D15" s="28"/>
      <c r="E15" s="28"/>
      <c r="F15" s="28"/>
      <c r="I15" s="8"/>
      <c r="J15" s="8"/>
      <c r="N15" s="28"/>
    </row>
    <row r="16">
      <c r="C16" s="28"/>
      <c r="D16" s="28"/>
      <c r="E16" s="28"/>
      <c r="F16" s="28"/>
      <c r="I16" s="8"/>
      <c r="J16" s="8"/>
      <c r="N16" s="28"/>
    </row>
    <row r="17">
      <c r="C17" s="28"/>
      <c r="D17" s="28"/>
      <c r="E17" s="28"/>
      <c r="F17" s="28"/>
      <c r="I17" s="8"/>
      <c r="J17" s="8"/>
      <c r="N17" s="28"/>
    </row>
    <row r="18">
      <c r="C18" s="28"/>
      <c r="D18" s="28"/>
      <c r="E18" s="28"/>
      <c r="F18" s="28"/>
      <c r="I18" s="8"/>
      <c r="J18" s="8"/>
      <c r="N18" s="28"/>
    </row>
    <row r="19">
      <c r="C19" s="28"/>
      <c r="D19" s="28"/>
      <c r="E19" s="28"/>
      <c r="F19" s="28"/>
      <c r="I19" s="8"/>
      <c r="J19" s="8"/>
      <c r="N19" s="28"/>
    </row>
    <row r="20">
      <c r="C20" s="28"/>
      <c r="D20" s="28"/>
      <c r="E20" s="28"/>
      <c r="F20" s="28"/>
      <c r="I20" s="8"/>
      <c r="J20" s="8"/>
      <c r="N20" s="28"/>
    </row>
    <row r="21">
      <c r="C21" s="28"/>
      <c r="D21" s="28"/>
      <c r="E21" s="28"/>
      <c r="F21" s="28"/>
      <c r="I21" s="8"/>
      <c r="J21" s="8"/>
      <c r="N21" s="28"/>
    </row>
    <row r="22">
      <c r="C22" s="28"/>
      <c r="D22" s="28"/>
      <c r="E22" s="28"/>
      <c r="F22" s="28"/>
      <c r="I22" s="8"/>
      <c r="J22" s="8"/>
      <c r="N22" s="28"/>
    </row>
    <row r="23">
      <c r="C23" s="28"/>
      <c r="D23" s="28"/>
      <c r="E23" s="28"/>
      <c r="F23" s="28"/>
      <c r="I23" s="8"/>
      <c r="J23" s="8"/>
      <c r="N23" s="28"/>
    </row>
    <row r="24">
      <c r="C24" s="28"/>
      <c r="D24" s="28"/>
      <c r="E24" s="28"/>
      <c r="F24" s="28"/>
      <c r="I24" s="8"/>
      <c r="J24" s="8"/>
      <c r="N24" s="28"/>
    </row>
    <row r="25">
      <c r="C25" s="28"/>
      <c r="D25" s="28"/>
      <c r="E25" s="28"/>
      <c r="F25" s="28"/>
      <c r="I25" s="8"/>
      <c r="J25" s="8"/>
      <c r="N25" s="28"/>
    </row>
    <row r="26">
      <c r="C26" s="28"/>
      <c r="D26" s="28"/>
      <c r="E26" s="28"/>
      <c r="F26" s="28"/>
      <c r="I26" s="8"/>
      <c r="J26" s="8"/>
      <c r="N26" s="28"/>
    </row>
    <row r="27">
      <c r="C27" s="28"/>
      <c r="D27" s="28"/>
      <c r="E27" s="28"/>
      <c r="F27" s="28"/>
      <c r="I27" s="8"/>
      <c r="J27" s="8"/>
      <c r="N27" s="28"/>
    </row>
    <row r="28">
      <c r="C28" s="28"/>
      <c r="D28" s="28"/>
      <c r="E28" s="28"/>
      <c r="F28" s="28"/>
      <c r="I28" s="8"/>
      <c r="J28" s="8"/>
      <c r="N28" s="28"/>
    </row>
    <row r="29">
      <c r="C29" s="28"/>
      <c r="D29" s="28"/>
      <c r="E29" s="28"/>
      <c r="F29" s="28"/>
      <c r="I29" s="8"/>
      <c r="J29" s="8"/>
      <c r="N29" s="28"/>
    </row>
    <row r="30">
      <c r="C30" s="28"/>
      <c r="D30" s="28"/>
      <c r="E30" s="28"/>
      <c r="F30" s="28"/>
      <c r="I30" s="8"/>
      <c r="J30" s="8"/>
      <c r="N30" s="28"/>
    </row>
    <row r="31">
      <c r="C31" s="28"/>
      <c r="D31" s="28"/>
      <c r="E31" s="28"/>
      <c r="F31" s="28"/>
      <c r="I31" s="8"/>
      <c r="J31" s="8"/>
      <c r="N31" s="28"/>
    </row>
    <row r="32">
      <c r="C32" s="28"/>
      <c r="D32" s="28"/>
      <c r="E32" s="28"/>
      <c r="F32" s="28"/>
      <c r="I32" s="8"/>
      <c r="J32" s="8"/>
      <c r="N32" s="28"/>
    </row>
    <row r="33">
      <c r="C33" s="8"/>
      <c r="I33" s="8"/>
      <c r="J33" s="8"/>
      <c r="N33" s="28"/>
    </row>
    <row r="34">
      <c r="C34" s="8"/>
      <c r="I34" s="8"/>
      <c r="J34" s="8"/>
    </row>
    <row r="35">
      <c r="C35" s="8"/>
      <c r="I35" s="8"/>
      <c r="J35" s="8"/>
    </row>
    <row r="36">
      <c r="C36" s="8"/>
      <c r="I36" s="8"/>
      <c r="J36" s="8"/>
    </row>
    <row r="37">
      <c r="C37" s="8"/>
      <c r="I37" s="8"/>
      <c r="J37" s="8"/>
    </row>
    <row r="38">
      <c r="C38" s="8"/>
      <c r="I38" s="8"/>
      <c r="J38" s="8"/>
    </row>
    <row r="39">
      <c r="C39" s="8"/>
      <c r="I39" s="8"/>
      <c r="J39" s="8"/>
    </row>
    <row r="40">
      <c r="C40" s="8"/>
      <c r="I40" s="8"/>
      <c r="J40" s="8"/>
    </row>
    <row r="41">
      <c r="C41" s="8"/>
      <c r="I41" s="8"/>
      <c r="J41" s="8"/>
    </row>
    <row r="42">
      <c r="C42" s="8"/>
      <c r="I42" s="8"/>
      <c r="J42" s="8"/>
    </row>
    <row r="43">
      <c r="C43" s="8"/>
      <c r="I43" s="8"/>
      <c r="J43" s="8"/>
    </row>
    <row r="44">
      <c r="C44" s="8"/>
      <c r="I44" s="8"/>
      <c r="J44" s="8"/>
    </row>
    <row r="45">
      <c r="C45" s="8"/>
      <c r="I45" s="8"/>
      <c r="J45" s="8"/>
    </row>
    <row r="46">
      <c r="C46" s="8"/>
      <c r="I46" s="8"/>
      <c r="J46" s="8"/>
    </row>
    <row r="47">
      <c r="C47" s="8"/>
      <c r="I47" s="8"/>
      <c r="J47" s="8"/>
    </row>
    <row r="48">
      <c r="C48" s="8"/>
      <c r="I48" s="8"/>
      <c r="J48" s="8"/>
    </row>
    <row r="49">
      <c r="C49" s="8"/>
      <c r="I49" s="8"/>
      <c r="J49" s="8"/>
    </row>
    <row r="50">
      <c r="C50" s="8"/>
      <c r="I50" s="8"/>
      <c r="J50" s="8"/>
    </row>
    <row r="51">
      <c r="C51" s="8"/>
      <c r="I51" s="8"/>
      <c r="J51" s="8"/>
    </row>
    <row r="52">
      <c r="C52" s="8"/>
      <c r="I52" s="8"/>
      <c r="J52" s="8"/>
    </row>
    <row r="53">
      <c r="C53" s="8"/>
      <c r="I53" s="8"/>
      <c r="J53" s="8"/>
    </row>
    <row r="54">
      <c r="C54" s="8"/>
      <c r="I54" s="8"/>
      <c r="J54" s="8"/>
    </row>
    <row r="55">
      <c r="C55" s="8"/>
      <c r="I55" s="8"/>
      <c r="J55" s="8"/>
    </row>
    <row r="56">
      <c r="C56" s="8"/>
      <c r="I56" s="8"/>
      <c r="J56" s="8"/>
    </row>
    <row r="57">
      <c r="C57" s="8"/>
      <c r="I57" s="8"/>
      <c r="J57" s="8"/>
    </row>
    <row r="58">
      <c r="C58" s="8"/>
      <c r="I58" s="8"/>
      <c r="J58" s="8"/>
    </row>
    <row r="59">
      <c r="C59" s="8"/>
      <c r="I59" s="8"/>
      <c r="J59" s="8"/>
    </row>
    <row r="60">
      <c r="C60" s="8"/>
      <c r="I60" s="8"/>
      <c r="J60" s="8"/>
    </row>
    <row r="61">
      <c r="C61" s="8"/>
      <c r="I61" s="8"/>
      <c r="J61" s="8"/>
    </row>
    <row r="62">
      <c r="C62" s="8"/>
      <c r="I62" s="8"/>
      <c r="J62" s="8"/>
    </row>
    <row r="63">
      <c r="C63" s="8"/>
      <c r="I63" s="8"/>
      <c r="J63" s="8"/>
    </row>
    <row r="64">
      <c r="C64" s="8"/>
      <c r="I64" s="8"/>
      <c r="J64" s="8"/>
    </row>
    <row r="65">
      <c r="C65" s="8"/>
      <c r="I65" s="8"/>
      <c r="J65" s="8"/>
    </row>
    <row r="66">
      <c r="C66" s="8"/>
      <c r="I66" s="8"/>
      <c r="J66" s="8"/>
    </row>
    <row r="67">
      <c r="C67" s="8"/>
      <c r="I67" s="8"/>
      <c r="J67" s="8"/>
    </row>
    <row r="68">
      <c r="C68" s="8"/>
      <c r="I68" s="8"/>
      <c r="J68" s="8"/>
    </row>
    <row r="69">
      <c r="C69" s="8"/>
      <c r="I69" s="8"/>
      <c r="J69" s="8"/>
    </row>
    <row r="70">
      <c r="C70" s="8"/>
      <c r="I70" s="8"/>
      <c r="J70" s="8"/>
    </row>
    <row r="71">
      <c r="C71" s="8"/>
      <c r="I71" s="8"/>
      <c r="J71" s="8"/>
    </row>
    <row r="72">
      <c r="C72" s="8"/>
      <c r="I72" s="8"/>
      <c r="J72" s="8"/>
    </row>
    <row r="73">
      <c r="C73" s="8"/>
      <c r="I73" s="8"/>
      <c r="J73" s="8"/>
    </row>
    <row r="74">
      <c r="C74" s="8"/>
      <c r="I74" s="8"/>
      <c r="J74" s="8"/>
    </row>
    <row r="75">
      <c r="C75" s="8"/>
      <c r="I75" s="8"/>
      <c r="J75" s="8"/>
    </row>
    <row r="76">
      <c r="C76" s="8"/>
      <c r="I76" s="8"/>
      <c r="J76" s="8"/>
    </row>
    <row r="77">
      <c r="C77" s="8"/>
      <c r="I77" s="8"/>
      <c r="J77" s="8"/>
    </row>
    <row r="78">
      <c r="C78" s="8"/>
      <c r="I78" s="8"/>
      <c r="J78" s="8"/>
    </row>
    <row r="79">
      <c r="C79" s="8"/>
      <c r="I79" s="8"/>
      <c r="J79" s="8"/>
    </row>
    <row r="80">
      <c r="C80" s="8"/>
      <c r="I80" s="8"/>
      <c r="J80" s="8"/>
    </row>
    <row r="81">
      <c r="C81" s="8"/>
      <c r="I81" s="8"/>
      <c r="J81" s="8"/>
    </row>
    <row r="82">
      <c r="C82" s="8"/>
      <c r="I82" s="8"/>
      <c r="J82" s="8"/>
    </row>
    <row r="83">
      <c r="C83" s="8"/>
      <c r="I83" s="8"/>
      <c r="J83" s="8"/>
    </row>
    <row r="84">
      <c r="C84" s="8"/>
      <c r="I84" s="8"/>
      <c r="J84" s="8"/>
    </row>
    <row r="85">
      <c r="C85" s="8"/>
      <c r="I85" s="8"/>
      <c r="J85" s="8"/>
    </row>
    <row r="86">
      <c r="C86" s="8"/>
      <c r="I86" s="8"/>
      <c r="J86" s="8"/>
    </row>
    <row r="87">
      <c r="C87" s="8"/>
      <c r="I87" s="8"/>
      <c r="J87" s="8"/>
    </row>
    <row r="88">
      <c r="C88" s="8"/>
      <c r="I88" s="8"/>
      <c r="J88" s="8"/>
    </row>
    <row r="89">
      <c r="C89" s="8"/>
      <c r="I89" s="8"/>
      <c r="J89" s="8"/>
    </row>
    <row r="90">
      <c r="C90" s="8"/>
      <c r="I90" s="8"/>
      <c r="J90" s="8"/>
    </row>
    <row r="91">
      <c r="C91" s="8"/>
      <c r="I91" s="8"/>
      <c r="J91" s="8"/>
    </row>
    <row r="92">
      <c r="C92" s="8"/>
      <c r="I92" s="8"/>
      <c r="J92" s="8"/>
    </row>
    <row r="93">
      <c r="C93" s="8"/>
      <c r="I93" s="8"/>
      <c r="J93" s="8"/>
    </row>
    <row r="94">
      <c r="C94" s="8"/>
      <c r="I94" s="8"/>
      <c r="J94" s="8"/>
    </row>
    <row r="95">
      <c r="C95" s="8"/>
      <c r="I95" s="8"/>
      <c r="J95" s="8"/>
    </row>
    <row r="96">
      <c r="C96" s="8"/>
      <c r="I96" s="8"/>
      <c r="J96" s="8"/>
    </row>
    <row r="97">
      <c r="C97" s="8"/>
      <c r="I97" s="8"/>
      <c r="J97" s="8"/>
    </row>
    <row r="98">
      <c r="C98" s="8"/>
      <c r="I98" s="8"/>
      <c r="J98" s="8"/>
    </row>
    <row r="99">
      <c r="C99" s="8"/>
      <c r="I99" s="8"/>
      <c r="J99" s="8"/>
    </row>
    <row r="100">
      <c r="C100" s="8"/>
      <c r="I100" s="8"/>
      <c r="J100" s="8"/>
    </row>
    <row r="101">
      <c r="C101" s="8"/>
      <c r="I101" s="8"/>
      <c r="J101" s="8"/>
    </row>
    <row r="102">
      <c r="C102" s="8"/>
      <c r="I102" s="8"/>
      <c r="J102" s="8"/>
    </row>
    <row r="103">
      <c r="C103" s="8"/>
      <c r="I103" s="8"/>
      <c r="J103" s="8"/>
    </row>
    <row r="104">
      <c r="C104" s="8"/>
      <c r="I104" s="8"/>
      <c r="J104" s="8"/>
    </row>
    <row r="105">
      <c r="C105" s="8"/>
      <c r="I105" s="8"/>
      <c r="J105" s="8"/>
    </row>
    <row r="106">
      <c r="C106" s="8"/>
      <c r="I106" s="8"/>
      <c r="J106" s="8"/>
    </row>
    <row r="107">
      <c r="C107" s="8"/>
      <c r="I107" s="8"/>
      <c r="J107" s="8"/>
    </row>
    <row r="108">
      <c r="C108" s="8"/>
      <c r="I108" s="8"/>
      <c r="J108" s="8"/>
    </row>
    <row r="109">
      <c r="C109" s="8"/>
      <c r="I109" s="8"/>
      <c r="J109" s="8"/>
    </row>
    <row r="110">
      <c r="C110" s="8"/>
      <c r="I110" s="8"/>
      <c r="J110" s="8"/>
    </row>
    <row r="111">
      <c r="C111" s="8"/>
      <c r="I111" s="8"/>
      <c r="J111" s="8"/>
    </row>
    <row r="112">
      <c r="C112" s="8"/>
      <c r="I112" s="8"/>
      <c r="J112" s="8"/>
    </row>
    <row r="113">
      <c r="C113" s="8"/>
      <c r="I113" s="8"/>
      <c r="J113" s="8"/>
    </row>
    <row r="114">
      <c r="C114" s="8"/>
      <c r="I114" s="8"/>
      <c r="J114" s="8"/>
    </row>
    <row r="115">
      <c r="C115" s="8"/>
      <c r="I115" s="8"/>
      <c r="J115" s="8"/>
    </row>
    <row r="116">
      <c r="C116" s="8"/>
      <c r="I116" s="8"/>
      <c r="J116" s="8"/>
    </row>
    <row r="117">
      <c r="C117" s="8"/>
      <c r="I117" s="8"/>
      <c r="J117" s="8"/>
    </row>
    <row r="118">
      <c r="C118" s="8"/>
      <c r="I118" s="8"/>
      <c r="J118" s="8"/>
    </row>
    <row r="119">
      <c r="C119" s="8"/>
      <c r="I119" s="8"/>
      <c r="J119" s="8"/>
    </row>
    <row r="120">
      <c r="C120" s="8"/>
      <c r="I120" s="8"/>
      <c r="J120" s="8"/>
    </row>
    <row r="121">
      <c r="C121" s="8"/>
      <c r="I121" s="8"/>
      <c r="J121" s="8"/>
    </row>
    <row r="122">
      <c r="C122" s="8"/>
      <c r="I122" s="8"/>
      <c r="J122" s="8"/>
    </row>
    <row r="123">
      <c r="C123" s="8"/>
      <c r="I123" s="8"/>
      <c r="J123" s="8"/>
    </row>
    <row r="124">
      <c r="C124" s="8"/>
      <c r="I124" s="8"/>
      <c r="J124" s="8"/>
    </row>
    <row r="125">
      <c r="C125" s="8"/>
      <c r="I125" s="8"/>
      <c r="J125" s="8"/>
    </row>
    <row r="126">
      <c r="C126" s="8"/>
      <c r="I126" s="8"/>
      <c r="J126" s="8"/>
    </row>
    <row r="127">
      <c r="C127" s="8"/>
      <c r="I127" s="8"/>
      <c r="J127" s="8"/>
    </row>
    <row r="128">
      <c r="C128" s="8"/>
      <c r="I128" s="8"/>
      <c r="J128" s="8"/>
    </row>
    <row r="129">
      <c r="C129" s="8"/>
      <c r="I129" s="8"/>
      <c r="J129" s="8"/>
    </row>
    <row r="130">
      <c r="C130" s="8"/>
      <c r="I130" s="8"/>
      <c r="J130" s="8"/>
    </row>
    <row r="131">
      <c r="C131" s="8"/>
      <c r="I131" s="8"/>
      <c r="J131" s="8"/>
    </row>
    <row r="132">
      <c r="C132" s="8"/>
      <c r="I132" s="8"/>
      <c r="J132" s="8"/>
    </row>
    <row r="133">
      <c r="C133" s="8"/>
      <c r="I133" s="8"/>
      <c r="J133" s="8"/>
    </row>
    <row r="134">
      <c r="C134" s="8"/>
      <c r="I134" s="8"/>
      <c r="J134" s="8"/>
    </row>
    <row r="135">
      <c r="C135" s="8"/>
      <c r="I135" s="8"/>
      <c r="J135" s="8"/>
    </row>
    <row r="136">
      <c r="C136" s="8"/>
      <c r="I136" s="8"/>
      <c r="J136" s="8"/>
    </row>
    <row r="137">
      <c r="C137" s="8"/>
      <c r="I137" s="8"/>
      <c r="J137" s="8"/>
    </row>
    <row r="138">
      <c r="C138" s="8"/>
      <c r="I138" s="8"/>
      <c r="J138" s="8"/>
    </row>
    <row r="139">
      <c r="C139" s="8"/>
      <c r="I139" s="8"/>
      <c r="J139" s="8"/>
    </row>
    <row r="140">
      <c r="C140" s="8"/>
      <c r="I140" s="8"/>
      <c r="J140" s="8"/>
    </row>
    <row r="141">
      <c r="C141" s="8"/>
      <c r="I141" s="8"/>
      <c r="J141" s="8"/>
    </row>
    <row r="142">
      <c r="C142" s="8"/>
      <c r="I142" s="8"/>
      <c r="J142" s="8"/>
    </row>
    <row r="143">
      <c r="C143" s="8"/>
      <c r="I143" s="8"/>
      <c r="J143" s="8"/>
    </row>
    <row r="144">
      <c r="C144" s="8"/>
      <c r="I144" s="8"/>
      <c r="J144" s="8"/>
    </row>
    <row r="145">
      <c r="C145" s="8"/>
      <c r="I145" s="8"/>
      <c r="J145" s="8"/>
    </row>
    <row r="146">
      <c r="C146" s="8"/>
      <c r="I146" s="8"/>
      <c r="J146" s="8"/>
    </row>
    <row r="147">
      <c r="C147" s="8"/>
      <c r="I147" s="8"/>
      <c r="J147" s="8"/>
    </row>
    <row r="148">
      <c r="C148" s="8"/>
      <c r="I148" s="8"/>
      <c r="J148" s="8"/>
    </row>
    <row r="149">
      <c r="C149" s="8"/>
      <c r="I149" s="8"/>
      <c r="J149" s="8"/>
    </row>
    <row r="150">
      <c r="C150" s="8"/>
      <c r="I150" s="8"/>
      <c r="J150" s="8"/>
    </row>
    <row r="151">
      <c r="C151" s="8"/>
      <c r="I151" s="8"/>
      <c r="J151" s="8"/>
    </row>
    <row r="152">
      <c r="C152" s="8"/>
      <c r="I152" s="8"/>
      <c r="J152" s="8"/>
    </row>
    <row r="153">
      <c r="C153" s="8"/>
      <c r="I153" s="8"/>
      <c r="J153" s="8"/>
    </row>
    <row r="154">
      <c r="C154" s="8"/>
      <c r="I154" s="8"/>
      <c r="J154" s="8"/>
    </row>
    <row r="155">
      <c r="C155" s="8"/>
      <c r="I155" s="8"/>
      <c r="J155" s="8"/>
    </row>
    <row r="156">
      <c r="C156" s="8"/>
      <c r="I156" s="8"/>
      <c r="J156" s="8"/>
    </row>
    <row r="157">
      <c r="C157" s="8"/>
      <c r="I157" s="8"/>
      <c r="J157" s="8"/>
    </row>
    <row r="158">
      <c r="C158" s="8"/>
      <c r="I158" s="8"/>
      <c r="J158" s="8"/>
    </row>
    <row r="159">
      <c r="C159" s="8"/>
      <c r="I159" s="8"/>
      <c r="J159" s="8"/>
    </row>
    <row r="160">
      <c r="C160" s="8"/>
      <c r="I160" s="8"/>
      <c r="J160" s="8"/>
    </row>
    <row r="161">
      <c r="C161" s="8"/>
      <c r="I161" s="8"/>
      <c r="J161" s="8"/>
    </row>
    <row r="162">
      <c r="C162" s="8"/>
      <c r="I162" s="8"/>
      <c r="J162" s="8"/>
    </row>
    <row r="163">
      <c r="C163" s="8"/>
      <c r="I163" s="8"/>
      <c r="J163" s="8"/>
    </row>
    <row r="164">
      <c r="C164" s="8"/>
      <c r="I164" s="8"/>
      <c r="J164" s="8"/>
    </row>
    <row r="165">
      <c r="C165" s="8"/>
      <c r="I165" s="8"/>
      <c r="J165" s="8"/>
    </row>
    <row r="166">
      <c r="C166" s="8"/>
      <c r="I166" s="8"/>
      <c r="J166" s="8"/>
    </row>
    <row r="167">
      <c r="C167" s="8"/>
      <c r="I167" s="8"/>
      <c r="J167" s="8"/>
    </row>
    <row r="168">
      <c r="C168" s="8"/>
      <c r="I168" s="8"/>
      <c r="J168" s="8"/>
    </row>
    <row r="169">
      <c r="C169" s="8"/>
      <c r="I169" s="8"/>
      <c r="J169" s="8"/>
    </row>
    <row r="170">
      <c r="C170" s="8"/>
      <c r="I170" s="8"/>
      <c r="J170" s="8"/>
    </row>
    <row r="171">
      <c r="C171" s="8"/>
      <c r="I171" s="8"/>
      <c r="J171" s="8"/>
    </row>
    <row r="172">
      <c r="C172" s="8"/>
      <c r="I172" s="8"/>
      <c r="J172" s="8"/>
    </row>
    <row r="173">
      <c r="C173" s="8"/>
      <c r="I173" s="8"/>
      <c r="J173" s="8"/>
    </row>
    <row r="174">
      <c r="C174" s="8"/>
      <c r="I174" s="8"/>
      <c r="J174" s="8"/>
    </row>
    <row r="175">
      <c r="C175" s="8"/>
      <c r="I175" s="8"/>
      <c r="J175" s="8"/>
    </row>
    <row r="176">
      <c r="C176" s="8"/>
      <c r="I176" s="8"/>
      <c r="J176" s="8"/>
    </row>
    <row r="177">
      <c r="C177" s="8"/>
      <c r="I177" s="8"/>
      <c r="J177" s="8"/>
    </row>
    <row r="178">
      <c r="C178" s="8"/>
      <c r="I178" s="8"/>
      <c r="J178" s="8"/>
    </row>
    <row r="179">
      <c r="C179" s="8"/>
      <c r="I179" s="8"/>
      <c r="J179" s="8"/>
    </row>
    <row r="180">
      <c r="C180" s="8"/>
      <c r="I180" s="8"/>
      <c r="J180" s="8"/>
    </row>
    <row r="181">
      <c r="C181" s="8"/>
      <c r="I181" s="8"/>
      <c r="J181" s="8"/>
    </row>
    <row r="182">
      <c r="C182" s="8"/>
      <c r="I182" s="8"/>
      <c r="J182" s="8"/>
    </row>
    <row r="183">
      <c r="C183" s="8"/>
      <c r="I183" s="8"/>
      <c r="J183" s="8"/>
    </row>
    <row r="184">
      <c r="C184" s="8"/>
      <c r="I184" s="8"/>
      <c r="J184" s="8"/>
    </row>
    <row r="185">
      <c r="C185" s="8"/>
      <c r="I185" s="8"/>
      <c r="J185" s="8"/>
    </row>
    <row r="186">
      <c r="C186" s="8"/>
      <c r="I186" s="8"/>
      <c r="J186" s="8"/>
    </row>
    <row r="187">
      <c r="C187" s="8"/>
      <c r="I187" s="8"/>
      <c r="J187" s="8"/>
    </row>
    <row r="188">
      <c r="C188" s="8"/>
      <c r="I188" s="8"/>
      <c r="J188" s="8"/>
    </row>
    <row r="189">
      <c r="C189" s="8"/>
      <c r="I189" s="8"/>
      <c r="J189" s="8"/>
    </row>
    <row r="190">
      <c r="C190" s="8"/>
      <c r="I190" s="8"/>
      <c r="J190" s="8"/>
    </row>
    <row r="191">
      <c r="C191" s="8"/>
      <c r="I191" s="8"/>
      <c r="J191" s="8"/>
    </row>
    <row r="192">
      <c r="C192" s="8"/>
      <c r="I192" s="8"/>
      <c r="J192" s="8"/>
    </row>
    <row r="193">
      <c r="C193" s="8"/>
      <c r="I193" s="8"/>
      <c r="J193" s="8"/>
    </row>
    <row r="194">
      <c r="C194" s="8"/>
      <c r="I194" s="8"/>
      <c r="J194" s="8"/>
    </row>
    <row r="195">
      <c r="C195" s="8"/>
      <c r="I195" s="8"/>
      <c r="J195" s="8"/>
    </row>
    <row r="196">
      <c r="C196" s="8"/>
      <c r="I196" s="8"/>
      <c r="J196" s="8"/>
    </row>
    <row r="197">
      <c r="C197" s="8"/>
      <c r="I197" s="8"/>
      <c r="J197" s="8"/>
    </row>
    <row r="198">
      <c r="C198" s="8"/>
      <c r="I198" s="8"/>
      <c r="J198" s="8"/>
    </row>
    <row r="199">
      <c r="C199" s="8"/>
      <c r="I199" s="8"/>
      <c r="J199" s="8"/>
    </row>
    <row r="200">
      <c r="C200" s="8"/>
      <c r="I200" s="8"/>
      <c r="J200" s="8"/>
    </row>
    <row r="201">
      <c r="C201" s="8"/>
      <c r="I201" s="8"/>
      <c r="J201" s="8"/>
    </row>
    <row r="202">
      <c r="C202" s="8"/>
      <c r="I202" s="8"/>
      <c r="J202" s="8"/>
    </row>
    <row r="203">
      <c r="C203" s="8"/>
      <c r="I203" s="8"/>
      <c r="J203" s="8"/>
    </row>
    <row r="204">
      <c r="C204" s="8"/>
      <c r="I204" s="8"/>
      <c r="J204" s="8"/>
    </row>
    <row r="205">
      <c r="C205" s="8"/>
      <c r="I205" s="8"/>
      <c r="J205" s="8"/>
    </row>
    <row r="206">
      <c r="C206" s="8"/>
      <c r="I206" s="8"/>
      <c r="J206" s="8"/>
    </row>
    <row r="207">
      <c r="C207" s="8"/>
      <c r="I207" s="8"/>
      <c r="J207" s="8"/>
    </row>
    <row r="208">
      <c r="C208" s="8"/>
      <c r="I208" s="8"/>
      <c r="J208" s="8"/>
    </row>
    <row r="209">
      <c r="C209" s="8"/>
      <c r="I209" s="8"/>
      <c r="J209" s="8"/>
    </row>
    <row r="210">
      <c r="C210" s="8"/>
      <c r="I210" s="8"/>
      <c r="J210" s="8"/>
    </row>
    <row r="211">
      <c r="C211" s="8"/>
      <c r="I211" s="8"/>
      <c r="J211" s="8"/>
    </row>
    <row r="212">
      <c r="C212" s="8"/>
      <c r="I212" s="8"/>
      <c r="J212" s="8"/>
    </row>
    <row r="213">
      <c r="C213" s="8"/>
      <c r="I213" s="8"/>
      <c r="J213" s="8"/>
    </row>
    <row r="214">
      <c r="C214" s="8"/>
      <c r="I214" s="8"/>
      <c r="J214" s="8"/>
    </row>
    <row r="215">
      <c r="C215" s="8"/>
      <c r="I215" s="8"/>
      <c r="J215" s="8"/>
    </row>
    <row r="216">
      <c r="C216" s="8"/>
      <c r="I216" s="8"/>
      <c r="J216" s="8"/>
    </row>
    <row r="217">
      <c r="C217" s="8"/>
      <c r="I217" s="8"/>
      <c r="J217" s="8"/>
    </row>
    <row r="218">
      <c r="C218" s="8"/>
      <c r="I218" s="8"/>
      <c r="J218" s="8"/>
    </row>
    <row r="219">
      <c r="C219" s="8"/>
      <c r="I219" s="8"/>
      <c r="J219" s="8"/>
    </row>
    <row r="220">
      <c r="C220" s="8"/>
      <c r="I220" s="8"/>
      <c r="J220" s="8"/>
    </row>
    <row r="221">
      <c r="C221" s="8"/>
      <c r="I221" s="8"/>
      <c r="J221" s="8"/>
    </row>
    <row r="222">
      <c r="C222" s="8"/>
      <c r="I222" s="8"/>
      <c r="J222" s="8"/>
    </row>
    <row r="223">
      <c r="C223" s="8"/>
      <c r="I223" s="8"/>
      <c r="J223" s="8"/>
    </row>
    <row r="224">
      <c r="C224" s="8"/>
      <c r="I224" s="8"/>
      <c r="J224" s="8"/>
    </row>
    <row r="225">
      <c r="C225" s="8"/>
      <c r="I225" s="8"/>
      <c r="J225" s="8"/>
    </row>
    <row r="226">
      <c r="C226" s="8"/>
      <c r="I226" s="8"/>
      <c r="J226" s="8"/>
    </row>
    <row r="227">
      <c r="C227" s="8"/>
      <c r="I227" s="8"/>
      <c r="J227" s="8"/>
    </row>
    <row r="228">
      <c r="C228" s="8"/>
      <c r="I228" s="8"/>
      <c r="J228" s="8"/>
    </row>
    <row r="229">
      <c r="C229" s="8"/>
      <c r="I229" s="8"/>
      <c r="J229" s="8"/>
    </row>
    <row r="230">
      <c r="C230" s="8"/>
      <c r="I230" s="8"/>
      <c r="J230" s="8"/>
    </row>
    <row r="231">
      <c r="C231" s="8"/>
      <c r="I231" s="8"/>
      <c r="J231" s="8"/>
    </row>
    <row r="232">
      <c r="C232" s="8"/>
      <c r="I232" s="8"/>
      <c r="J232" s="8"/>
    </row>
    <row r="233">
      <c r="C233" s="8"/>
      <c r="I233" s="8"/>
      <c r="J233" s="8"/>
    </row>
    <row r="234">
      <c r="C234" s="8"/>
      <c r="I234" s="8"/>
      <c r="J234" s="8"/>
    </row>
    <row r="235">
      <c r="C235" s="8"/>
      <c r="I235" s="8"/>
      <c r="J235" s="8"/>
    </row>
    <row r="236">
      <c r="C236" s="8"/>
      <c r="I236" s="8"/>
      <c r="J236" s="8"/>
    </row>
    <row r="237">
      <c r="C237" s="8"/>
      <c r="I237" s="8"/>
      <c r="J237" s="8"/>
    </row>
    <row r="238">
      <c r="C238" s="8"/>
      <c r="I238" s="8"/>
      <c r="J238" s="8"/>
    </row>
    <row r="239">
      <c r="C239" s="8"/>
      <c r="I239" s="8"/>
      <c r="J239" s="8"/>
    </row>
    <row r="240">
      <c r="C240" s="8"/>
      <c r="I240" s="8"/>
      <c r="J240" s="8"/>
    </row>
    <row r="241">
      <c r="C241" s="8"/>
      <c r="I241" s="8"/>
      <c r="J241" s="8"/>
    </row>
    <row r="242">
      <c r="C242" s="8"/>
      <c r="I242" s="8"/>
      <c r="J242" s="8"/>
    </row>
    <row r="243">
      <c r="C243" s="8"/>
      <c r="I243" s="8"/>
      <c r="J243" s="8"/>
    </row>
    <row r="244">
      <c r="C244" s="8"/>
      <c r="I244" s="8"/>
      <c r="J244" s="8"/>
    </row>
    <row r="245">
      <c r="C245" s="8"/>
      <c r="I245" s="8"/>
      <c r="J245" s="8"/>
    </row>
    <row r="246">
      <c r="C246" s="8"/>
      <c r="I246" s="8"/>
      <c r="J246" s="8"/>
    </row>
    <row r="247">
      <c r="C247" s="8"/>
      <c r="I247" s="8"/>
      <c r="J247" s="8"/>
    </row>
    <row r="248">
      <c r="C248" s="8"/>
      <c r="I248" s="8"/>
      <c r="J248" s="8"/>
    </row>
    <row r="249">
      <c r="C249" s="8"/>
      <c r="I249" s="8"/>
      <c r="J249" s="8"/>
    </row>
    <row r="250">
      <c r="C250" s="8"/>
      <c r="I250" s="8"/>
      <c r="J250" s="8"/>
    </row>
    <row r="251">
      <c r="C251" s="8"/>
      <c r="I251" s="8"/>
      <c r="J251" s="8"/>
    </row>
    <row r="252">
      <c r="C252" s="8"/>
      <c r="I252" s="8"/>
      <c r="J252" s="8"/>
    </row>
    <row r="253">
      <c r="C253" s="8"/>
      <c r="I253" s="8"/>
      <c r="J253" s="8"/>
    </row>
    <row r="254">
      <c r="C254" s="8"/>
      <c r="I254" s="8"/>
      <c r="J254" s="8"/>
    </row>
    <row r="255">
      <c r="C255" s="8"/>
      <c r="I255" s="8"/>
      <c r="J255" s="8"/>
    </row>
    <row r="256">
      <c r="C256" s="8"/>
      <c r="I256" s="8"/>
      <c r="J256" s="8"/>
    </row>
    <row r="257">
      <c r="C257" s="8"/>
      <c r="I257" s="8"/>
      <c r="J257" s="8"/>
    </row>
    <row r="258">
      <c r="C258" s="8"/>
      <c r="I258" s="8"/>
      <c r="J258" s="8"/>
    </row>
    <row r="259">
      <c r="C259" s="8"/>
      <c r="I259" s="8"/>
      <c r="J259" s="8"/>
    </row>
    <row r="260">
      <c r="C260" s="8"/>
      <c r="I260" s="8"/>
      <c r="J260" s="8"/>
    </row>
    <row r="261">
      <c r="C261" s="8"/>
      <c r="I261" s="8"/>
      <c r="J261" s="8"/>
    </row>
    <row r="262">
      <c r="C262" s="8"/>
      <c r="I262" s="8"/>
      <c r="J262" s="8"/>
    </row>
    <row r="263">
      <c r="C263" s="8"/>
      <c r="I263" s="8"/>
      <c r="J263" s="8"/>
    </row>
    <row r="264">
      <c r="C264" s="8"/>
      <c r="I264" s="8"/>
      <c r="J264" s="8"/>
    </row>
    <row r="265">
      <c r="C265" s="8"/>
      <c r="I265" s="8"/>
      <c r="J265" s="8"/>
    </row>
    <row r="266">
      <c r="C266" s="8"/>
      <c r="I266" s="8"/>
      <c r="J266" s="8"/>
    </row>
    <row r="267">
      <c r="C267" s="8"/>
      <c r="I267" s="8"/>
      <c r="J267" s="8"/>
    </row>
    <row r="268">
      <c r="C268" s="8"/>
      <c r="I268" s="8"/>
      <c r="J268" s="8"/>
    </row>
    <row r="269">
      <c r="C269" s="8"/>
      <c r="I269" s="8"/>
      <c r="J269" s="8"/>
    </row>
    <row r="270">
      <c r="C270" s="8"/>
      <c r="I270" s="8"/>
      <c r="J270" s="8"/>
    </row>
    <row r="271">
      <c r="C271" s="8"/>
      <c r="I271" s="8"/>
      <c r="J271" s="8"/>
    </row>
    <row r="272">
      <c r="C272" s="8"/>
      <c r="I272" s="8"/>
      <c r="J272" s="8"/>
    </row>
    <row r="273">
      <c r="C273" s="8"/>
      <c r="I273" s="8"/>
      <c r="J273" s="8"/>
    </row>
    <row r="274">
      <c r="C274" s="8"/>
      <c r="I274" s="8"/>
      <c r="J274" s="8"/>
    </row>
    <row r="275">
      <c r="C275" s="8"/>
      <c r="I275" s="8"/>
      <c r="J275" s="8"/>
    </row>
    <row r="276">
      <c r="C276" s="8"/>
      <c r="I276" s="8"/>
      <c r="J276" s="8"/>
    </row>
    <row r="277">
      <c r="C277" s="8"/>
      <c r="I277" s="8"/>
      <c r="J277" s="8"/>
    </row>
    <row r="278">
      <c r="C278" s="8"/>
      <c r="I278" s="8"/>
      <c r="J278" s="8"/>
    </row>
    <row r="279">
      <c r="C279" s="8"/>
      <c r="I279" s="8"/>
      <c r="J279" s="8"/>
    </row>
    <row r="280">
      <c r="C280" s="8"/>
      <c r="I280" s="8"/>
      <c r="J280" s="8"/>
    </row>
    <row r="281">
      <c r="C281" s="8"/>
      <c r="I281" s="8"/>
      <c r="J281" s="8"/>
    </row>
    <row r="282">
      <c r="C282" s="8"/>
      <c r="I282" s="8"/>
      <c r="J282" s="8"/>
    </row>
    <row r="283">
      <c r="C283" s="8"/>
      <c r="I283" s="8"/>
      <c r="J283" s="8"/>
    </row>
    <row r="284">
      <c r="C284" s="8"/>
      <c r="I284" s="8"/>
      <c r="J284" s="8"/>
    </row>
    <row r="285">
      <c r="C285" s="8"/>
      <c r="I285" s="8"/>
      <c r="J285" s="8"/>
    </row>
    <row r="286">
      <c r="C286" s="8"/>
      <c r="I286" s="8"/>
      <c r="J286" s="8"/>
    </row>
    <row r="287">
      <c r="C287" s="8"/>
      <c r="I287" s="8"/>
      <c r="J287" s="8"/>
    </row>
    <row r="288">
      <c r="C288" s="8"/>
      <c r="I288" s="8"/>
      <c r="J288" s="8"/>
    </row>
    <row r="289">
      <c r="C289" s="8"/>
      <c r="I289" s="8"/>
      <c r="J289" s="8"/>
    </row>
    <row r="290">
      <c r="C290" s="8"/>
      <c r="I290" s="8"/>
      <c r="J290" s="8"/>
    </row>
    <row r="291">
      <c r="C291" s="8"/>
      <c r="I291" s="8"/>
      <c r="J291" s="8"/>
    </row>
    <row r="292">
      <c r="C292" s="8"/>
      <c r="I292" s="8"/>
      <c r="J292" s="8"/>
    </row>
    <row r="293">
      <c r="C293" s="8"/>
      <c r="I293" s="8"/>
      <c r="J293" s="8"/>
    </row>
    <row r="294">
      <c r="C294" s="8"/>
      <c r="I294" s="8"/>
      <c r="J294" s="8"/>
    </row>
    <row r="295">
      <c r="C295" s="8"/>
      <c r="I295" s="8"/>
      <c r="J295" s="8"/>
    </row>
    <row r="296">
      <c r="C296" s="8"/>
      <c r="I296" s="8"/>
      <c r="J296" s="8"/>
    </row>
    <row r="297">
      <c r="C297" s="8"/>
      <c r="I297" s="8"/>
      <c r="J297" s="8"/>
    </row>
    <row r="298">
      <c r="C298" s="8"/>
      <c r="I298" s="8"/>
      <c r="J298" s="8"/>
    </row>
    <row r="299">
      <c r="C299" s="8"/>
      <c r="I299" s="8"/>
      <c r="J299" s="8"/>
    </row>
    <row r="300">
      <c r="C300" s="8"/>
      <c r="I300" s="8"/>
      <c r="J300" s="8"/>
    </row>
    <row r="301">
      <c r="C301" s="8"/>
      <c r="I301" s="8"/>
      <c r="J301" s="8"/>
    </row>
    <row r="302">
      <c r="C302" s="8"/>
      <c r="I302" s="8"/>
      <c r="J302" s="8"/>
    </row>
    <row r="303">
      <c r="C303" s="8"/>
      <c r="I303" s="8"/>
      <c r="J303" s="8"/>
    </row>
    <row r="304">
      <c r="C304" s="8"/>
      <c r="I304" s="8"/>
      <c r="J304" s="8"/>
    </row>
    <row r="305">
      <c r="C305" s="8"/>
      <c r="I305" s="8"/>
      <c r="J305" s="8"/>
    </row>
    <row r="306">
      <c r="C306" s="8"/>
      <c r="I306" s="8"/>
      <c r="J306" s="8"/>
    </row>
    <row r="307">
      <c r="C307" s="8"/>
      <c r="I307" s="8"/>
      <c r="J307" s="8"/>
    </row>
    <row r="308">
      <c r="C308" s="8"/>
      <c r="I308" s="8"/>
      <c r="J308" s="8"/>
    </row>
    <row r="309">
      <c r="C309" s="8"/>
      <c r="I309" s="8"/>
      <c r="J309" s="8"/>
    </row>
    <row r="310">
      <c r="C310" s="8"/>
      <c r="I310" s="8"/>
      <c r="J310" s="8"/>
    </row>
    <row r="311">
      <c r="C311" s="8"/>
      <c r="I311" s="8"/>
      <c r="J311" s="8"/>
    </row>
    <row r="312">
      <c r="C312" s="8"/>
      <c r="I312" s="8"/>
      <c r="J312" s="8"/>
    </row>
    <row r="313">
      <c r="C313" s="8"/>
      <c r="I313" s="8"/>
      <c r="J313" s="8"/>
    </row>
    <row r="314">
      <c r="C314" s="8"/>
      <c r="I314" s="8"/>
      <c r="J314" s="8"/>
    </row>
    <row r="315">
      <c r="C315" s="8"/>
      <c r="I315" s="8"/>
      <c r="J315" s="8"/>
    </row>
    <row r="316">
      <c r="C316" s="8"/>
      <c r="I316" s="8"/>
      <c r="J316" s="8"/>
    </row>
    <row r="317">
      <c r="C317" s="8"/>
      <c r="I317" s="8"/>
      <c r="J317" s="8"/>
    </row>
    <row r="318">
      <c r="C318" s="8"/>
      <c r="I318" s="8"/>
      <c r="J318" s="8"/>
    </row>
    <row r="319">
      <c r="C319" s="8"/>
      <c r="I319" s="8"/>
      <c r="J319" s="8"/>
    </row>
    <row r="320">
      <c r="C320" s="8"/>
      <c r="I320" s="8"/>
      <c r="J320" s="8"/>
    </row>
    <row r="321">
      <c r="C321" s="8"/>
      <c r="I321" s="8"/>
      <c r="J321" s="8"/>
    </row>
    <row r="322">
      <c r="C322" s="8"/>
      <c r="I322" s="8"/>
      <c r="J322" s="8"/>
    </row>
    <row r="323">
      <c r="C323" s="8"/>
      <c r="I323" s="8"/>
      <c r="J323" s="8"/>
    </row>
    <row r="324">
      <c r="C324" s="8"/>
      <c r="I324" s="8"/>
      <c r="J324" s="8"/>
    </row>
    <row r="325">
      <c r="C325" s="8"/>
      <c r="I325" s="8"/>
      <c r="J325" s="8"/>
    </row>
    <row r="326">
      <c r="C326" s="8"/>
      <c r="I326" s="8"/>
      <c r="J326" s="8"/>
    </row>
    <row r="327">
      <c r="C327" s="8"/>
      <c r="I327" s="8"/>
      <c r="J327" s="8"/>
    </row>
    <row r="328">
      <c r="C328" s="8"/>
      <c r="I328" s="8"/>
      <c r="J328" s="8"/>
    </row>
    <row r="329">
      <c r="C329" s="8"/>
      <c r="I329" s="8"/>
      <c r="J329" s="8"/>
    </row>
    <row r="330">
      <c r="C330" s="8"/>
      <c r="I330" s="8"/>
      <c r="J330" s="8"/>
    </row>
    <row r="331">
      <c r="C331" s="8"/>
      <c r="I331" s="8"/>
      <c r="J331" s="8"/>
    </row>
    <row r="332">
      <c r="C332" s="8"/>
      <c r="I332" s="8"/>
      <c r="J332" s="8"/>
    </row>
    <row r="333">
      <c r="C333" s="8"/>
      <c r="I333" s="8"/>
      <c r="J333" s="8"/>
    </row>
    <row r="334">
      <c r="C334" s="8"/>
      <c r="I334" s="8"/>
      <c r="J334" s="8"/>
    </row>
    <row r="335">
      <c r="C335" s="8"/>
      <c r="I335" s="8"/>
      <c r="J335" s="8"/>
    </row>
    <row r="336">
      <c r="C336" s="8"/>
      <c r="I336" s="8"/>
      <c r="J336" s="8"/>
    </row>
    <row r="337">
      <c r="C337" s="8"/>
      <c r="I337" s="8"/>
      <c r="J337" s="8"/>
    </row>
    <row r="338">
      <c r="C338" s="8"/>
      <c r="I338" s="8"/>
      <c r="J338" s="8"/>
    </row>
    <row r="339">
      <c r="C339" s="8"/>
      <c r="I339" s="8"/>
      <c r="J339" s="8"/>
    </row>
    <row r="340">
      <c r="C340" s="8"/>
      <c r="I340" s="8"/>
      <c r="J340" s="8"/>
    </row>
    <row r="341">
      <c r="C341" s="8"/>
      <c r="I341" s="8"/>
      <c r="J341" s="8"/>
    </row>
    <row r="342">
      <c r="C342" s="8"/>
      <c r="I342" s="8"/>
      <c r="J342" s="8"/>
    </row>
    <row r="343">
      <c r="C343" s="8"/>
      <c r="I343" s="8"/>
      <c r="J343" s="8"/>
    </row>
    <row r="344">
      <c r="C344" s="8"/>
      <c r="I344" s="8"/>
      <c r="J344" s="8"/>
    </row>
    <row r="345">
      <c r="C345" s="8"/>
      <c r="I345" s="8"/>
      <c r="J345" s="8"/>
    </row>
    <row r="346">
      <c r="C346" s="8"/>
      <c r="I346" s="8"/>
      <c r="J346" s="8"/>
    </row>
    <row r="347">
      <c r="C347" s="8"/>
      <c r="I347" s="8"/>
      <c r="J347" s="8"/>
    </row>
    <row r="348">
      <c r="C348" s="8"/>
      <c r="I348" s="8"/>
      <c r="J348" s="8"/>
    </row>
    <row r="349">
      <c r="C349" s="8"/>
      <c r="I349" s="8"/>
      <c r="J349" s="8"/>
    </row>
    <row r="350">
      <c r="C350" s="8"/>
      <c r="I350" s="8"/>
      <c r="J350" s="8"/>
    </row>
    <row r="351">
      <c r="C351" s="8"/>
      <c r="I351" s="8"/>
      <c r="J351" s="8"/>
    </row>
    <row r="352">
      <c r="C352" s="8"/>
      <c r="I352" s="8"/>
      <c r="J352" s="8"/>
    </row>
    <row r="353">
      <c r="C353" s="8"/>
      <c r="I353" s="8"/>
      <c r="J353" s="8"/>
    </row>
    <row r="354">
      <c r="C354" s="8"/>
      <c r="I354" s="8"/>
      <c r="J354" s="8"/>
    </row>
    <row r="355">
      <c r="C355" s="8"/>
      <c r="I355" s="8"/>
      <c r="J355" s="8"/>
    </row>
    <row r="356">
      <c r="C356" s="8"/>
      <c r="I356" s="8"/>
      <c r="J356" s="8"/>
    </row>
    <row r="357">
      <c r="C357" s="8"/>
      <c r="I357" s="8"/>
      <c r="J357" s="8"/>
    </row>
    <row r="358">
      <c r="C358" s="8"/>
      <c r="I358" s="8"/>
      <c r="J358" s="8"/>
    </row>
    <row r="359">
      <c r="C359" s="8"/>
      <c r="I359" s="8"/>
      <c r="J359" s="8"/>
    </row>
    <row r="360">
      <c r="C360" s="8"/>
      <c r="I360" s="8"/>
      <c r="J360" s="8"/>
    </row>
    <row r="361">
      <c r="C361" s="8"/>
      <c r="I361" s="8"/>
      <c r="J361" s="8"/>
    </row>
    <row r="362">
      <c r="C362" s="8"/>
      <c r="I362" s="8"/>
      <c r="J362" s="8"/>
    </row>
    <row r="363">
      <c r="C363" s="8"/>
      <c r="I363" s="8"/>
      <c r="J363" s="8"/>
    </row>
    <row r="364">
      <c r="C364" s="8"/>
      <c r="I364" s="8"/>
      <c r="J364" s="8"/>
    </row>
    <row r="365">
      <c r="C365" s="8"/>
      <c r="I365" s="8"/>
      <c r="J365" s="8"/>
    </row>
    <row r="366">
      <c r="C366" s="8"/>
      <c r="I366" s="8"/>
      <c r="J366" s="8"/>
    </row>
    <row r="367">
      <c r="C367" s="8"/>
      <c r="I367" s="8"/>
      <c r="J367" s="8"/>
    </row>
    <row r="368">
      <c r="C368" s="8"/>
      <c r="I368" s="8"/>
      <c r="J368" s="8"/>
    </row>
    <row r="369">
      <c r="C369" s="8"/>
      <c r="I369" s="8"/>
      <c r="J369" s="8"/>
    </row>
    <row r="370">
      <c r="C370" s="8"/>
      <c r="I370" s="8"/>
      <c r="J370" s="8"/>
    </row>
    <row r="371">
      <c r="C371" s="8"/>
      <c r="I371" s="8"/>
      <c r="J371" s="8"/>
    </row>
    <row r="372">
      <c r="C372" s="8"/>
      <c r="I372" s="8"/>
      <c r="J372" s="8"/>
    </row>
    <row r="373">
      <c r="C373" s="8"/>
      <c r="I373" s="8"/>
      <c r="J373" s="8"/>
    </row>
    <row r="374">
      <c r="C374" s="8"/>
      <c r="I374" s="8"/>
      <c r="J374" s="8"/>
    </row>
    <row r="375">
      <c r="C375" s="8"/>
      <c r="I375" s="8"/>
      <c r="J375" s="8"/>
    </row>
    <row r="376">
      <c r="C376" s="8"/>
      <c r="I376" s="8"/>
      <c r="J376" s="8"/>
    </row>
    <row r="377">
      <c r="C377" s="8"/>
      <c r="I377" s="8"/>
      <c r="J377" s="8"/>
    </row>
    <row r="378">
      <c r="C378" s="8"/>
      <c r="I378" s="8"/>
      <c r="J378" s="8"/>
    </row>
    <row r="379">
      <c r="C379" s="8"/>
      <c r="I379" s="8"/>
      <c r="J379" s="8"/>
    </row>
    <row r="380">
      <c r="C380" s="8"/>
      <c r="I380" s="8"/>
      <c r="J380" s="8"/>
    </row>
    <row r="381">
      <c r="C381" s="8"/>
      <c r="I381" s="8"/>
      <c r="J381" s="8"/>
    </row>
    <row r="382">
      <c r="C382" s="8"/>
      <c r="I382" s="8"/>
      <c r="J382" s="8"/>
    </row>
    <row r="383">
      <c r="C383" s="8"/>
      <c r="I383" s="8"/>
      <c r="J383" s="8"/>
    </row>
    <row r="384">
      <c r="C384" s="8"/>
      <c r="I384" s="8"/>
      <c r="J384" s="8"/>
    </row>
    <row r="385">
      <c r="C385" s="8"/>
      <c r="I385" s="8"/>
      <c r="J385" s="8"/>
    </row>
    <row r="386">
      <c r="C386" s="8"/>
      <c r="I386" s="8"/>
      <c r="J386" s="8"/>
    </row>
    <row r="387">
      <c r="C387" s="8"/>
      <c r="I387" s="8"/>
      <c r="J387" s="8"/>
    </row>
    <row r="388">
      <c r="C388" s="8"/>
      <c r="I388" s="8"/>
      <c r="J388" s="8"/>
    </row>
    <row r="389">
      <c r="C389" s="8"/>
      <c r="I389" s="8"/>
      <c r="J389" s="8"/>
    </row>
    <row r="390">
      <c r="C390" s="8"/>
      <c r="I390" s="8"/>
      <c r="J390" s="8"/>
    </row>
    <row r="391">
      <c r="C391" s="8"/>
      <c r="I391" s="8"/>
      <c r="J391" s="8"/>
    </row>
    <row r="392">
      <c r="C392" s="8"/>
      <c r="I392" s="8"/>
      <c r="J392" s="8"/>
    </row>
    <row r="393">
      <c r="C393" s="8"/>
      <c r="I393" s="8"/>
      <c r="J393" s="8"/>
    </row>
    <row r="394">
      <c r="C394" s="8"/>
      <c r="I394" s="8"/>
      <c r="J394" s="8"/>
    </row>
    <row r="395">
      <c r="C395" s="8"/>
      <c r="I395" s="8"/>
      <c r="J395" s="8"/>
    </row>
    <row r="396">
      <c r="C396" s="8"/>
      <c r="I396" s="8"/>
      <c r="J396" s="8"/>
    </row>
    <row r="397">
      <c r="C397" s="8"/>
      <c r="I397" s="8"/>
      <c r="J397" s="8"/>
    </row>
    <row r="398">
      <c r="C398" s="8"/>
      <c r="I398" s="8"/>
      <c r="J398" s="8"/>
    </row>
    <row r="399">
      <c r="C399" s="8"/>
      <c r="I399" s="8"/>
      <c r="J399" s="8"/>
    </row>
    <row r="400">
      <c r="C400" s="8"/>
      <c r="I400" s="8"/>
      <c r="J400" s="8"/>
    </row>
    <row r="401">
      <c r="C401" s="8"/>
      <c r="I401" s="8"/>
      <c r="J401" s="8"/>
    </row>
    <row r="402">
      <c r="C402" s="8"/>
      <c r="I402" s="8"/>
      <c r="J402" s="8"/>
    </row>
    <row r="403">
      <c r="C403" s="8"/>
      <c r="I403" s="8"/>
      <c r="J403" s="8"/>
    </row>
    <row r="404">
      <c r="C404" s="8"/>
      <c r="I404" s="8"/>
      <c r="J404" s="8"/>
    </row>
    <row r="405">
      <c r="C405" s="8"/>
      <c r="I405" s="8"/>
      <c r="J405" s="8"/>
    </row>
    <row r="406">
      <c r="C406" s="8"/>
      <c r="I406" s="8"/>
      <c r="J406" s="8"/>
    </row>
    <row r="407">
      <c r="C407" s="8"/>
      <c r="I407" s="8"/>
      <c r="J407" s="8"/>
    </row>
    <row r="408">
      <c r="C408" s="8"/>
      <c r="I408" s="8"/>
      <c r="J408" s="8"/>
    </row>
    <row r="409">
      <c r="C409" s="8"/>
      <c r="I409" s="8"/>
      <c r="J409" s="8"/>
    </row>
    <row r="410">
      <c r="C410" s="8"/>
      <c r="I410" s="8"/>
      <c r="J410" s="8"/>
    </row>
    <row r="411">
      <c r="C411" s="8"/>
      <c r="I411" s="8"/>
      <c r="J411" s="8"/>
    </row>
    <row r="412">
      <c r="C412" s="8"/>
      <c r="I412" s="8"/>
      <c r="J412" s="8"/>
    </row>
    <row r="413">
      <c r="C413" s="8"/>
      <c r="I413" s="8"/>
      <c r="J413" s="8"/>
    </row>
    <row r="414">
      <c r="C414" s="8"/>
      <c r="I414" s="8"/>
      <c r="J414" s="8"/>
    </row>
    <row r="415">
      <c r="C415" s="8"/>
      <c r="I415" s="8"/>
      <c r="J415" s="8"/>
    </row>
    <row r="416">
      <c r="C416" s="8"/>
      <c r="I416" s="8"/>
      <c r="J416" s="8"/>
    </row>
    <row r="417">
      <c r="C417" s="8"/>
      <c r="I417" s="8"/>
      <c r="J417" s="8"/>
    </row>
    <row r="418">
      <c r="C418" s="8"/>
      <c r="I418" s="8"/>
      <c r="J418" s="8"/>
    </row>
    <row r="419">
      <c r="C419" s="8"/>
      <c r="I419" s="8"/>
      <c r="J419" s="8"/>
    </row>
    <row r="420">
      <c r="C420" s="8"/>
      <c r="I420" s="8"/>
      <c r="J420" s="8"/>
    </row>
    <row r="421">
      <c r="C421" s="8"/>
      <c r="I421" s="8"/>
      <c r="J421" s="8"/>
    </row>
    <row r="422">
      <c r="C422" s="8"/>
      <c r="I422" s="8"/>
      <c r="J422" s="8"/>
    </row>
    <row r="423">
      <c r="C423" s="8"/>
      <c r="I423" s="8"/>
      <c r="J423" s="8"/>
    </row>
    <row r="424">
      <c r="C424" s="8"/>
      <c r="I424" s="8"/>
      <c r="J424" s="8"/>
    </row>
    <row r="425">
      <c r="C425" s="8"/>
      <c r="I425" s="8"/>
      <c r="J425" s="8"/>
    </row>
    <row r="426">
      <c r="C426" s="8"/>
      <c r="I426" s="8"/>
      <c r="J426" s="8"/>
    </row>
    <row r="427">
      <c r="C427" s="8"/>
      <c r="I427" s="8"/>
      <c r="J427" s="8"/>
    </row>
    <row r="428">
      <c r="C428" s="8"/>
      <c r="I428" s="8"/>
      <c r="J428" s="8"/>
    </row>
    <row r="429">
      <c r="C429" s="8"/>
      <c r="I429" s="8"/>
      <c r="J429" s="8"/>
    </row>
    <row r="430">
      <c r="C430" s="8"/>
      <c r="I430" s="8"/>
      <c r="J430" s="8"/>
    </row>
    <row r="431">
      <c r="C431" s="8"/>
      <c r="I431" s="8"/>
      <c r="J431" s="8"/>
    </row>
    <row r="432">
      <c r="C432" s="8"/>
      <c r="I432" s="8"/>
      <c r="J432" s="8"/>
    </row>
    <row r="433">
      <c r="C433" s="8"/>
      <c r="I433" s="8"/>
      <c r="J433" s="8"/>
    </row>
    <row r="434">
      <c r="C434" s="8"/>
      <c r="I434" s="8"/>
      <c r="J434" s="8"/>
    </row>
    <row r="435">
      <c r="C435" s="8"/>
      <c r="I435" s="8"/>
      <c r="J435" s="8"/>
    </row>
    <row r="436">
      <c r="C436" s="8"/>
      <c r="I436" s="8"/>
      <c r="J436" s="8"/>
    </row>
    <row r="437">
      <c r="C437" s="8"/>
      <c r="I437" s="8"/>
      <c r="J437" s="8"/>
    </row>
    <row r="438">
      <c r="C438" s="8"/>
      <c r="I438" s="8"/>
      <c r="J438" s="8"/>
    </row>
    <row r="439">
      <c r="C439" s="8"/>
      <c r="I439" s="8"/>
      <c r="J439" s="8"/>
    </row>
    <row r="440">
      <c r="C440" s="8"/>
      <c r="I440" s="8"/>
      <c r="J440" s="8"/>
    </row>
    <row r="441">
      <c r="C441" s="8"/>
      <c r="I441" s="8"/>
      <c r="J441" s="8"/>
    </row>
    <row r="442">
      <c r="C442" s="8"/>
      <c r="I442" s="8"/>
      <c r="J442" s="8"/>
    </row>
    <row r="443">
      <c r="C443" s="8"/>
      <c r="I443" s="8"/>
      <c r="J443" s="8"/>
    </row>
    <row r="444">
      <c r="C444" s="8"/>
      <c r="I444" s="8"/>
      <c r="J444" s="8"/>
    </row>
    <row r="445">
      <c r="C445" s="8"/>
      <c r="I445" s="8"/>
      <c r="J445" s="8"/>
    </row>
    <row r="446">
      <c r="C446" s="8"/>
      <c r="I446" s="8"/>
      <c r="J446" s="8"/>
    </row>
    <row r="447">
      <c r="C447" s="8"/>
      <c r="I447" s="8"/>
      <c r="J447" s="8"/>
    </row>
    <row r="448">
      <c r="C448" s="8"/>
      <c r="I448" s="8"/>
      <c r="J448" s="8"/>
    </row>
    <row r="449">
      <c r="C449" s="8"/>
      <c r="I449" s="8"/>
      <c r="J449" s="8"/>
    </row>
    <row r="450">
      <c r="C450" s="8"/>
      <c r="I450" s="8"/>
      <c r="J450" s="8"/>
    </row>
    <row r="451">
      <c r="C451" s="8"/>
      <c r="I451" s="8"/>
      <c r="J451" s="8"/>
    </row>
    <row r="452">
      <c r="C452" s="8"/>
      <c r="I452" s="8"/>
      <c r="J452" s="8"/>
    </row>
    <row r="453">
      <c r="C453" s="8"/>
      <c r="I453" s="8"/>
      <c r="J453" s="8"/>
    </row>
    <row r="454">
      <c r="C454" s="8"/>
      <c r="I454" s="8"/>
      <c r="J454" s="8"/>
    </row>
    <row r="455">
      <c r="C455" s="8"/>
      <c r="I455" s="8"/>
      <c r="J455" s="8"/>
    </row>
    <row r="456">
      <c r="C456" s="8"/>
      <c r="I456" s="8"/>
      <c r="J456" s="8"/>
    </row>
    <row r="457">
      <c r="C457" s="8"/>
      <c r="I457" s="8"/>
      <c r="J457" s="8"/>
    </row>
    <row r="458">
      <c r="C458" s="8"/>
      <c r="I458" s="8"/>
      <c r="J458" s="8"/>
    </row>
    <row r="459">
      <c r="C459" s="8"/>
      <c r="I459" s="8"/>
      <c r="J459" s="8"/>
    </row>
    <row r="460">
      <c r="C460" s="8"/>
      <c r="I460" s="8"/>
      <c r="J460" s="8"/>
    </row>
    <row r="461">
      <c r="C461" s="8"/>
      <c r="I461" s="8"/>
      <c r="J461" s="8"/>
    </row>
    <row r="462">
      <c r="C462" s="8"/>
      <c r="I462" s="8"/>
      <c r="J462" s="8"/>
    </row>
    <row r="463">
      <c r="C463" s="8"/>
      <c r="I463" s="8"/>
      <c r="J463" s="8"/>
    </row>
    <row r="464">
      <c r="C464" s="8"/>
      <c r="I464" s="8"/>
      <c r="J464" s="8"/>
    </row>
    <row r="465">
      <c r="C465" s="8"/>
      <c r="I465" s="8"/>
      <c r="J465" s="8"/>
    </row>
    <row r="466">
      <c r="C466" s="8"/>
      <c r="I466" s="8"/>
      <c r="J466" s="8"/>
    </row>
    <row r="467">
      <c r="C467" s="8"/>
      <c r="I467" s="8"/>
      <c r="J467" s="8"/>
    </row>
    <row r="468">
      <c r="C468" s="8"/>
      <c r="I468" s="8"/>
      <c r="J468" s="8"/>
    </row>
    <row r="469">
      <c r="C469" s="8"/>
      <c r="I469" s="8"/>
      <c r="J469" s="8"/>
    </row>
    <row r="470">
      <c r="C470" s="8"/>
      <c r="I470" s="8"/>
      <c r="J470" s="8"/>
    </row>
    <row r="471">
      <c r="C471" s="8"/>
      <c r="I471" s="8"/>
      <c r="J471" s="8"/>
    </row>
    <row r="472">
      <c r="C472" s="8"/>
      <c r="I472" s="8"/>
      <c r="J472" s="8"/>
    </row>
    <row r="473">
      <c r="C473" s="8"/>
      <c r="I473" s="8"/>
      <c r="J473" s="8"/>
    </row>
    <row r="474">
      <c r="C474" s="8"/>
      <c r="I474" s="8"/>
      <c r="J474" s="8"/>
    </row>
    <row r="475">
      <c r="C475" s="8"/>
      <c r="I475" s="8"/>
      <c r="J475" s="8"/>
    </row>
    <row r="476">
      <c r="C476" s="8"/>
      <c r="I476" s="8"/>
      <c r="J476" s="8"/>
    </row>
    <row r="477">
      <c r="C477" s="8"/>
      <c r="I477" s="8"/>
      <c r="J477" s="8"/>
    </row>
    <row r="478">
      <c r="C478" s="8"/>
      <c r="I478" s="8"/>
      <c r="J478" s="8"/>
    </row>
    <row r="479">
      <c r="C479" s="8"/>
      <c r="I479" s="8"/>
      <c r="J479" s="8"/>
    </row>
    <row r="480">
      <c r="C480" s="8"/>
      <c r="I480" s="8"/>
      <c r="J480" s="8"/>
    </row>
    <row r="481">
      <c r="C481" s="8"/>
      <c r="I481" s="8"/>
      <c r="J481" s="8"/>
    </row>
    <row r="482">
      <c r="C482" s="8"/>
      <c r="I482" s="8"/>
      <c r="J482" s="8"/>
    </row>
    <row r="483">
      <c r="C483" s="8"/>
      <c r="I483" s="8"/>
      <c r="J483" s="8"/>
    </row>
    <row r="484">
      <c r="C484" s="8"/>
      <c r="I484" s="8"/>
      <c r="J484" s="8"/>
    </row>
    <row r="485">
      <c r="C485" s="8"/>
      <c r="I485" s="8"/>
      <c r="J485" s="8"/>
    </row>
    <row r="486">
      <c r="C486" s="8"/>
      <c r="I486" s="8"/>
      <c r="J486" s="8"/>
    </row>
    <row r="487">
      <c r="C487" s="8"/>
      <c r="I487" s="8"/>
      <c r="J487" s="8"/>
    </row>
    <row r="488">
      <c r="C488" s="8"/>
      <c r="I488" s="8"/>
      <c r="J488" s="8"/>
    </row>
    <row r="489">
      <c r="C489" s="8"/>
      <c r="I489" s="8"/>
      <c r="J489" s="8"/>
    </row>
    <row r="490">
      <c r="C490" s="8"/>
      <c r="I490" s="8"/>
      <c r="J490" s="8"/>
    </row>
    <row r="491">
      <c r="C491" s="8"/>
      <c r="I491" s="8"/>
      <c r="J491" s="8"/>
    </row>
    <row r="492">
      <c r="C492" s="8"/>
      <c r="I492" s="8"/>
      <c r="J492" s="8"/>
    </row>
    <row r="493">
      <c r="C493" s="8"/>
      <c r="I493" s="8"/>
      <c r="J493" s="8"/>
    </row>
    <row r="494">
      <c r="C494" s="8"/>
      <c r="I494" s="8"/>
      <c r="J494" s="8"/>
    </row>
    <row r="495">
      <c r="C495" s="8"/>
      <c r="I495" s="8"/>
      <c r="J495" s="8"/>
    </row>
    <row r="496">
      <c r="C496" s="8"/>
      <c r="I496" s="8"/>
      <c r="J496" s="8"/>
    </row>
    <row r="497">
      <c r="C497" s="8"/>
      <c r="I497" s="8"/>
      <c r="J497" s="8"/>
    </row>
    <row r="498">
      <c r="C498" s="8"/>
      <c r="I498" s="8"/>
      <c r="J498" s="8"/>
    </row>
    <row r="499">
      <c r="C499" s="8"/>
      <c r="I499" s="8"/>
      <c r="J499" s="8"/>
    </row>
    <row r="500">
      <c r="C500" s="8"/>
      <c r="I500" s="8"/>
      <c r="J500" s="8"/>
    </row>
    <row r="501">
      <c r="C501" s="8"/>
      <c r="I501" s="8"/>
      <c r="J501" s="8"/>
    </row>
    <row r="502">
      <c r="C502" s="8"/>
      <c r="I502" s="8"/>
      <c r="J502" s="8"/>
    </row>
    <row r="503">
      <c r="C503" s="8"/>
      <c r="I503" s="8"/>
      <c r="J503" s="8"/>
    </row>
    <row r="504">
      <c r="C504" s="8"/>
      <c r="I504" s="8"/>
      <c r="J504" s="8"/>
    </row>
    <row r="505">
      <c r="C505" s="8"/>
      <c r="I505" s="8"/>
      <c r="J505" s="8"/>
    </row>
    <row r="506">
      <c r="C506" s="8"/>
      <c r="I506" s="8"/>
      <c r="J506" s="8"/>
    </row>
    <row r="507">
      <c r="C507" s="8"/>
      <c r="I507" s="8"/>
      <c r="J507" s="8"/>
    </row>
    <row r="508">
      <c r="C508" s="8"/>
      <c r="I508" s="8"/>
      <c r="J508" s="8"/>
    </row>
    <row r="509">
      <c r="C509" s="8"/>
      <c r="I509" s="8"/>
      <c r="J509" s="8"/>
    </row>
    <row r="510">
      <c r="C510" s="8"/>
      <c r="I510" s="8"/>
      <c r="J510" s="8"/>
    </row>
    <row r="511">
      <c r="C511" s="8"/>
      <c r="I511" s="8"/>
      <c r="J511" s="8"/>
    </row>
    <row r="512">
      <c r="C512" s="8"/>
      <c r="I512" s="8"/>
      <c r="J512" s="8"/>
    </row>
    <row r="513">
      <c r="C513" s="8"/>
      <c r="I513" s="8"/>
      <c r="J513" s="8"/>
    </row>
    <row r="514">
      <c r="C514" s="8"/>
      <c r="I514" s="8"/>
      <c r="J514" s="8"/>
    </row>
    <row r="515">
      <c r="C515" s="8"/>
      <c r="I515" s="8"/>
      <c r="J515" s="8"/>
    </row>
    <row r="516">
      <c r="C516" s="8"/>
      <c r="I516" s="8"/>
      <c r="J516" s="8"/>
    </row>
    <row r="517">
      <c r="C517" s="8"/>
      <c r="I517" s="8"/>
      <c r="J517" s="8"/>
    </row>
    <row r="518">
      <c r="C518" s="8"/>
      <c r="I518" s="8"/>
      <c r="J518" s="8"/>
    </row>
    <row r="519">
      <c r="C519" s="8"/>
      <c r="I519" s="8"/>
      <c r="J519" s="8"/>
    </row>
    <row r="520">
      <c r="C520" s="8"/>
      <c r="I520" s="8"/>
      <c r="J520" s="8"/>
    </row>
    <row r="521">
      <c r="C521" s="8"/>
      <c r="I521" s="8"/>
      <c r="J521" s="8"/>
    </row>
    <row r="522">
      <c r="C522" s="8"/>
      <c r="I522" s="8"/>
      <c r="J522" s="8"/>
    </row>
    <row r="523">
      <c r="C523" s="8"/>
      <c r="I523" s="8"/>
      <c r="J523" s="8"/>
    </row>
    <row r="524">
      <c r="C524" s="8"/>
      <c r="I524" s="8"/>
      <c r="J524" s="8"/>
    </row>
    <row r="525">
      <c r="C525" s="8"/>
      <c r="I525" s="8"/>
      <c r="J525" s="8"/>
    </row>
    <row r="526">
      <c r="C526" s="8"/>
      <c r="I526" s="8"/>
      <c r="J526" s="8"/>
    </row>
    <row r="527">
      <c r="C527" s="8"/>
      <c r="I527" s="8"/>
      <c r="J527" s="8"/>
    </row>
    <row r="528">
      <c r="C528" s="8"/>
      <c r="I528" s="8"/>
      <c r="J528" s="8"/>
    </row>
    <row r="529">
      <c r="C529" s="8"/>
      <c r="I529" s="8"/>
      <c r="J529" s="8"/>
    </row>
    <row r="530">
      <c r="C530" s="8"/>
      <c r="I530" s="8"/>
      <c r="J530" s="8"/>
    </row>
    <row r="531">
      <c r="C531" s="8"/>
      <c r="I531" s="8"/>
      <c r="J531" s="8"/>
    </row>
    <row r="532">
      <c r="C532" s="8"/>
      <c r="I532" s="8"/>
      <c r="J532" s="8"/>
    </row>
    <row r="533">
      <c r="C533" s="8"/>
      <c r="I533" s="8"/>
      <c r="J533" s="8"/>
    </row>
    <row r="534">
      <c r="C534" s="8"/>
      <c r="I534" s="8"/>
      <c r="J534" s="8"/>
    </row>
    <row r="535">
      <c r="C535" s="8"/>
      <c r="I535" s="8"/>
      <c r="J535" s="8"/>
    </row>
    <row r="536">
      <c r="C536" s="8"/>
      <c r="I536" s="8"/>
      <c r="J536" s="8"/>
    </row>
    <row r="537">
      <c r="C537" s="8"/>
      <c r="I537" s="8"/>
      <c r="J537" s="8"/>
    </row>
    <row r="538">
      <c r="C538" s="8"/>
      <c r="I538" s="8"/>
      <c r="J538" s="8"/>
    </row>
    <row r="539">
      <c r="C539" s="8"/>
      <c r="I539" s="8"/>
      <c r="J539" s="8"/>
    </row>
    <row r="540">
      <c r="C540" s="8"/>
      <c r="I540" s="8"/>
      <c r="J540" s="8"/>
    </row>
    <row r="541">
      <c r="C541" s="8"/>
      <c r="I541" s="8"/>
      <c r="J541" s="8"/>
    </row>
    <row r="542">
      <c r="C542" s="8"/>
      <c r="I542" s="8"/>
      <c r="J542" s="8"/>
    </row>
    <row r="543">
      <c r="C543" s="8"/>
      <c r="I543" s="8"/>
      <c r="J543" s="8"/>
    </row>
    <row r="544">
      <c r="C544" s="8"/>
      <c r="I544" s="8"/>
      <c r="J544" s="8"/>
    </row>
    <row r="545">
      <c r="C545" s="8"/>
      <c r="I545" s="8"/>
      <c r="J545" s="8"/>
    </row>
    <row r="546">
      <c r="C546" s="8"/>
      <c r="I546" s="8"/>
      <c r="J546" s="8"/>
    </row>
    <row r="547">
      <c r="C547" s="8"/>
      <c r="I547" s="8"/>
      <c r="J547" s="8"/>
    </row>
    <row r="548">
      <c r="C548" s="8"/>
      <c r="I548" s="8"/>
      <c r="J548" s="8"/>
    </row>
    <row r="549">
      <c r="C549" s="8"/>
      <c r="I549" s="8"/>
      <c r="J549" s="8"/>
    </row>
    <row r="550">
      <c r="C550" s="8"/>
      <c r="I550" s="8"/>
      <c r="J550" s="8"/>
    </row>
    <row r="551">
      <c r="C551" s="8"/>
      <c r="I551" s="8"/>
      <c r="J551" s="8"/>
    </row>
    <row r="552">
      <c r="C552" s="8"/>
      <c r="I552" s="8"/>
      <c r="J552" s="8"/>
    </row>
    <row r="553">
      <c r="C553" s="8"/>
      <c r="I553" s="8"/>
      <c r="J553" s="8"/>
    </row>
    <row r="554">
      <c r="C554" s="8"/>
      <c r="I554" s="8"/>
      <c r="J554" s="8"/>
    </row>
    <row r="555">
      <c r="C555" s="8"/>
      <c r="I555" s="8"/>
      <c r="J555" s="8"/>
    </row>
    <row r="556">
      <c r="C556" s="8"/>
      <c r="I556" s="8"/>
      <c r="J556" s="8"/>
    </row>
    <row r="557">
      <c r="C557" s="8"/>
      <c r="I557" s="8"/>
      <c r="J557" s="8"/>
    </row>
    <row r="558">
      <c r="C558" s="8"/>
      <c r="I558" s="8"/>
      <c r="J558" s="8"/>
    </row>
    <row r="559">
      <c r="C559" s="8"/>
      <c r="I559" s="8"/>
      <c r="J559" s="8"/>
    </row>
    <row r="560">
      <c r="C560" s="8"/>
      <c r="I560" s="8"/>
      <c r="J560" s="8"/>
    </row>
    <row r="561">
      <c r="C561" s="8"/>
      <c r="I561" s="8"/>
      <c r="J561" s="8"/>
    </row>
    <row r="562">
      <c r="C562" s="8"/>
      <c r="I562" s="8"/>
      <c r="J562" s="8"/>
    </row>
    <row r="563">
      <c r="C563" s="8"/>
      <c r="I563" s="8"/>
      <c r="J563" s="8"/>
    </row>
    <row r="564">
      <c r="C564" s="8"/>
      <c r="I564" s="8"/>
      <c r="J564" s="8"/>
    </row>
    <row r="565">
      <c r="C565" s="8"/>
      <c r="I565" s="8"/>
      <c r="J565" s="8"/>
    </row>
    <row r="566">
      <c r="C566" s="8"/>
      <c r="I566" s="8"/>
      <c r="J566" s="8"/>
    </row>
    <row r="567">
      <c r="C567" s="8"/>
      <c r="I567" s="8"/>
      <c r="J567" s="8"/>
    </row>
    <row r="568">
      <c r="C568" s="8"/>
      <c r="I568" s="8"/>
      <c r="J568" s="8"/>
    </row>
    <row r="569">
      <c r="C569" s="8"/>
      <c r="I569" s="8"/>
      <c r="J569" s="8"/>
    </row>
    <row r="570">
      <c r="C570" s="8"/>
      <c r="I570" s="8"/>
      <c r="J570" s="8"/>
    </row>
    <row r="571">
      <c r="C571" s="8"/>
      <c r="I571" s="8"/>
      <c r="J571" s="8"/>
    </row>
    <row r="572">
      <c r="C572" s="8"/>
      <c r="I572" s="8"/>
      <c r="J572" s="8"/>
    </row>
    <row r="573">
      <c r="C573" s="8"/>
      <c r="I573" s="8"/>
      <c r="J573" s="8"/>
    </row>
    <row r="574">
      <c r="C574" s="8"/>
      <c r="I574" s="8"/>
      <c r="J574" s="8"/>
    </row>
    <row r="575">
      <c r="C575" s="8"/>
      <c r="I575" s="8"/>
      <c r="J575" s="8"/>
    </row>
    <row r="576">
      <c r="C576" s="8"/>
      <c r="I576" s="8"/>
      <c r="J576" s="8"/>
    </row>
    <row r="577">
      <c r="C577" s="8"/>
      <c r="I577" s="8"/>
      <c r="J577" s="8"/>
    </row>
    <row r="578">
      <c r="C578" s="8"/>
      <c r="I578" s="8"/>
      <c r="J578" s="8"/>
    </row>
    <row r="579">
      <c r="C579" s="8"/>
      <c r="I579" s="8"/>
      <c r="J579" s="8"/>
    </row>
    <row r="580">
      <c r="C580" s="8"/>
      <c r="I580" s="8"/>
      <c r="J580" s="8"/>
    </row>
    <row r="581">
      <c r="C581" s="8"/>
      <c r="I581" s="8"/>
      <c r="J581" s="8"/>
    </row>
    <row r="582">
      <c r="C582" s="8"/>
      <c r="I582" s="8"/>
      <c r="J582" s="8"/>
    </row>
    <row r="583">
      <c r="C583" s="8"/>
      <c r="I583" s="8"/>
      <c r="J583" s="8"/>
    </row>
    <row r="584">
      <c r="C584" s="8"/>
      <c r="I584" s="8"/>
      <c r="J584" s="8"/>
    </row>
    <row r="585">
      <c r="C585" s="8"/>
      <c r="I585" s="8"/>
      <c r="J585" s="8"/>
    </row>
    <row r="586">
      <c r="C586" s="8"/>
      <c r="I586" s="8"/>
      <c r="J586" s="8"/>
    </row>
    <row r="587">
      <c r="C587" s="8"/>
      <c r="I587" s="8"/>
      <c r="J587" s="8"/>
    </row>
    <row r="588">
      <c r="C588" s="8"/>
      <c r="I588" s="8"/>
      <c r="J588" s="8"/>
    </row>
    <row r="589">
      <c r="C589" s="8"/>
      <c r="I589" s="8"/>
      <c r="J589" s="8"/>
    </row>
    <row r="590">
      <c r="C590" s="8"/>
      <c r="I590" s="8"/>
      <c r="J590" s="8"/>
    </row>
    <row r="591">
      <c r="C591" s="8"/>
      <c r="I591" s="8"/>
      <c r="J591" s="8"/>
    </row>
    <row r="592">
      <c r="C592" s="8"/>
      <c r="I592" s="8"/>
      <c r="J592" s="8"/>
    </row>
    <row r="593">
      <c r="C593" s="8"/>
      <c r="I593" s="8"/>
      <c r="J593" s="8"/>
    </row>
    <row r="594">
      <c r="C594" s="8"/>
      <c r="I594" s="8"/>
      <c r="J594" s="8"/>
    </row>
    <row r="595">
      <c r="C595" s="8"/>
      <c r="I595" s="8"/>
      <c r="J595" s="8"/>
    </row>
    <row r="596">
      <c r="C596" s="8"/>
      <c r="I596" s="8"/>
      <c r="J596" s="8"/>
    </row>
    <row r="597">
      <c r="C597" s="8"/>
      <c r="I597" s="8"/>
      <c r="J597" s="8"/>
    </row>
    <row r="598">
      <c r="C598" s="8"/>
      <c r="I598" s="8"/>
      <c r="J598" s="8"/>
    </row>
    <row r="599">
      <c r="C599" s="8"/>
      <c r="I599" s="8"/>
      <c r="J599" s="8"/>
    </row>
    <row r="600">
      <c r="C600" s="8"/>
      <c r="I600" s="8"/>
      <c r="J600" s="8"/>
    </row>
    <row r="601">
      <c r="C601" s="8"/>
      <c r="I601" s="8"/>
      <c r="J601" s="8"/>
    </row>
    <row r="602">
      <c r="C602" s="8"/>
      <c r="I602" s="8"/>
      <c r="J602" s="8"/>
    </row>
    <row r="603">
      <c r="C603" s="8"/>
      <c r="I603" s="8"/>
      <c r="J603" s="8"/>
    </row>
    <row r="604">
      <c r="C604" s="8"/>
      <c r="I604" s="8"/>
      <c r="J604" s="8"/>
    </row>
    <row r="605">
      <c r="C605" s="8"/>
      <c r="I605" s="8"/>
      <c r="J605" s="8"/>
    </row>
    <row r="606">
      <c r="C606" s="8"/>
      <c r="I606" s="8"/>
      <c r="J606" s="8"/>
    </row>
    <row r="607">
      <c r="C607" s="8"/>
      <c r="I607" s="8"/>
      <c r="J607" s="8"/>
    </row>
    <row r="608">
      <c r="C608" s="8"/>
      <c r="I608" s="8"/>
      <c r="J608" s="8"/>
    </row>
    <row r="609">
      <c r="C609" s="8"/>
      <c r="I609" s="8"/>
      <c r="J609" s="8"/>
    </row>
    <row r="610">
      <c r="C610" s="8"/>
      <c r="I610" s="8"/>
      <c r="J610" s="8"/>
    </row>
    <row r="611">
      <c r="C611" s="8"/>
      <c r="I611" s="8"/>
      <c r="J611" s="8"/>
    </row>
    <row r="612">
      <c r="C612" s="8"/>
      <c r="I612" s="8"/>
      <c r="J612" s="8"/>
    </row>
    <row r="613">
      <c r="C613" s="8"/>
      <c r="I613" s="8"/>
      <c r="J613" s="8"/>
    </row>
    <row r="614">
      <c r="C614" s="8"/>
      <c r="I614" s="8"/>
      <c r="J614" s="8"/>
    </row>
    <row r="615">
      <c r="C615" s="8"/>
      <c r="I615" s="8"/>
      <c r="J615" s="8"/>
    </row>
    <row r="616">
      <c r="C616" s="8"/>
      <c r="I616" s="8"/>
      <c r="J616" s="8"/>
    </row>
    <row r="617">
      <c r="C617" s="8"/>
      <c r="I617" s="8"/>
      <c r="J617" s="8"/>
    </row>
    <row r="618">
      <c r="C618" s="8"/>
      <c r="I618" s="8"/>
      <c r="J618" s="8"/>
    </row>
    <row r="619">
      <c r="C619" s="8"/>
      <c r="I619" s="8"/>
      <c r="J619" s="8"/>
    </row>
    <row r="620">
      <c r="C620" s="8"/>
      <c r="I620" s="8"/>
      <c r="J620" s="8"/>
    </row>
    <row r="621">
      <c r="C621" s="8"/>
      <c r="I621" s="8"/>
      <c r="J621" s="8"/>
    </row>
    <row r="622">
      <c r="C622" s="8"/>
      <c r="I622" s="8"/>
      <c r="J622" s="8"/>
    </row>
    <row r="623">
      <c r="C623" s="8"/>
      <c r="I623" s="8"/>
      <c r="J623" s="8"/>
    </row>
    <row r="624">
      <c r="C624" s="8"/>
      <c r="I624" s="8"/>
      <c r="J624" s="8"/>
    </row>
    <row r="625">
      <c r="C625" s="8"/>
      <c r="I625" s="8"/>
      <c r="J625" s="8"/>
    </row>
    <row r="626">
      <c r="C626" s="8"/>
      <c r="I626" s="8"/>
      <c r="J626" s="8"/>
    </row>
    <row r="627">
      <c r="C627" s="8"/>
      <c r="I627" s="8"/>
      <c r="J627" s="8"/>
    </row>
    <row r="628">
      <c r="C628" s="8"/>
      <c r="I628" s="8"/>
      <c r="J628" s="8"/>
    </row>
    <row r="629">
      <c r="C629" s="8"/>
      <c r="I629" s="8"/>
      <c r="J629" s="8"/>
    </row>
    <row r="630">
      <c r="C630" s="8"/>
      <c r="I630" s="8"/>
      <c r="J630" s="8"/>
    </row>
    <row r="631">
      <c r="C631" s="8"/>
      <c r="I631" s="8"/>
      <c r="J631" s="8"/>
    </row>
    <row r="632">
      <c r="C632" s="8"/>
      <c r="I632" s="8"/>
      <c r="J632" s="8"/>
    </row>
    <row r="633">
      <c r="C633" s="8"/>
      <c r="I633" s="8"/>
      <c r="J633" s="8"/>
    </row>
    <row r="634">
      <c r="C634" s="8"/>
      <c r="I634" s="8"/>
      <c r="J634" s="8"/>
    </row>
    <row r="635">
      <c r="C635" s="8"/>
      <c r="I635" s="8"/>
      <c r="J635" s="8"/>
    </row>
    <row r="636">
      <c r="C636" s="8"/>
      <c r="I636" s="8"/>
      <c r="J636" s="8"/>
    </row>
    <row r="637">
      <c r="C637" s="8"/>
      <c r="I637" s="8"/>
      <c r="J637" s="8"/>
    </row>
    <row r="638">
      <c r="C638" s="8"/>
      <c r="I638" s="8"/>
      <c r="J638" s="8"/>
    </row>
    <row r="639">
      <c r="C639" s="8"/>
      <c r="I639" s="8"/>
      <c r="J639" s="8"/>
    </row>
    <row r="640">
      <c r="C640" s="8"/>
      <c r="I640" s="8"/>
      <c r="J640" s="8"/>
    </row>
    <row r="641">
      <c r="C641" s="8"/>
      <c r="I641" s="8"/>
      <c r="J641" s="8"/>
    </row>
    <row r="642">
      <c r="C642" s="8"/>
      <c r="I642" s="8"/>
      <c r="J642" s="8"/>
    </row>
    <row r="643">
      <c r="C643" s="8"/>
      <c r="I643" s="8"/>
      <c r="J643" s="8"/>
    </row>
    <row r="644">
      <c r="C644" s="8"/>
      <c r="I644" s="8"/>
      <c r="J644" s="8"/>
    </row>
    <row r="645">
      <c r="C645" s="8"/>
      <c r="I645" s="8"/>
      <c r="J645" s="8"/>
    </row>
    <row r="646">
      <c r="C646" s="8"/>
      <c r="I646" s="8"/>
      <c r="J646" s="8"/>
    </row>
    <row r="647">
      <c r="C647" s="8"/>
      <c r="I647" s="8"/>
      <c r="J647" s="8"/>
    </row>
    <row r="648">
      <c r="C648" s="8"/>
      <c r="I648" s="8"/>
      <c r="J648" s="8"/>
    </row>
    <row r="649">
      <c r="C649" s="8"/>
      <c r="I649" s="8"/>
      <c r="J649" s="8"/>
    </row>
    <row r="650">
      <c r="C650" s="8"/>
      <c r="I650" s="8"/>
      <c r="J650" s="8"/>
    </row>
    <row r="651">
      <c r="C651" s="8"/>
      <c r="I651" s="8"/>
      <c r="J651" s="8"/>
    </row>
    <row r="652">
      <c r="C652" s="8"/>
      <c r="I652" s="8"/>
      <c r="J652" s="8"/>
    </row>
    <row r="653">
      <c r="C653" s="8"/>
      <c r="I653" s="8"/>
      <c r="J653" s="8"/>
    </row>
    <row r="654">
      <c r="C654" s="8"/>
      <c r="I654" s="8"/>
      <c r="J654" s="8"/>
    </row>
    <row r="655">
      <c r="C655" s="8"/>
      <c r="I655" s="8"/>
      <c r="J655" s="8"/>
    </row>
    <row r="656">
      <c r="C656" s="8"/>
      <c r="I656" s="8"/>
      <c r="J656" s="8"/>
    </row>
    <row r="657">
      <c r="C657" s="8"/>
      <c r="I657" s="8"/>
      <c r="J657" s="8"/>
    </row>
    <row r="658">
      <c r="C658" s="8"/>
      <c r="I658" s="8"/>
      <c r="J658" s="8"/>
    </row>
    <row r="659">
      <c r="C659" s="8"/>
      <c r="I659" s="8"/>
      <c r="J659" s="8"/>
    </row>
    <row r="660">
      <c r="C660" s="8"/>
      <c r="I660" s="8"/>
      <c r="J660" s="8"/>
    </row>
    <row r="661">
      <c r="C661" s="8"/>
      <c r="I661" s="8"/>
      <c r="J661" s="8"/>
    </row>
    <row r="662">
      <c r="C662" s="8"/>
      <c r="I662" s="8"/>
      <c r="J662" s="8"/>
    </row>
    <row r="663">
      <c r="C663" s="8"/>
      <c r="I663" s="8"/>
      <c r="J663" s="8"/>
    </row>
    <row r="664">
      <c r="C664" s="8"/>
      <c r="I664" s="8"/>
      <c r="J664" s="8"/>
    </row>
    <row r="665">
      <c r="C665" s="8"/>
      <c r="I665" s="8"/>
      <c r="J665" s="8"/>
    </row>
    <row r="666">
      <c r="C666" s="8"/>
      <c r="I666" s="8"/>
      <c r="J666" s="8"/>
    </row>
    <row r="667">
      <c r="C667" s="8"/>
      <c r="I667" s="8"/>
      <c r="J667" s="8"/>
    </row>
    <row r="668">
      <c r="C668" s="8"/>
      <c r="I668" s="8"/>
      <c r="J668" s="8"/>
    </row>
    <row r="669">
      <c r="C669" s="8"/>
      <c r="I669" s="8"/>
      <c r="J669" s="8"/>
    </row>
    <row r="670">
      <c r="C670" s="8"/>
      <c r="I670" s="8"/>
      <c r="J670" s="8"/>
    </row>
    <row r="671">
      <c r="C671" s="8"/>
      <c r="I671" s="8"/>
      <c r="J671" s="8"/>
    </row>
    <row r="672">
      <c r="C672" s="8"/>
      <c r="I672" s="8"/>
      <c r="J672" s="8"/>
    </row>
    <row r="673">
      <c r="C673" s="8"/>
      <c r="I673" s="8"/>
      <c r="J673" s="8"/>
    </row>
    <row r="674">
      <c r="C674" s="8"/>
      <c r="I674" s="8"/>
      <c r="J674" s="8"/>
    </row>
    <row r="675">
      <c r="C675" s="8"/>
      <c r="I675" s="8"/>
      <c r="J675" s="8"/>
    </row>
    <row r="676">
      <c r="C676" s="8"/>
      <c r="I676" s="8"/>
      <c r="J676" s="8"/>
    </row>
    <row r="677">
      <c r="C677" s="8"/>
      <c r="I677" s="8"/>
      <c r="J677" s="8"/>
    </row>
    <row r="678">
      <c r="C678" s="8"/>
      <c r="I678" s="8"/>
      <c r="J678" s="8"/>
    </row>
    <row r="679">
      <c r="C679" s="8"/>
      <c r="I679" s="8"/>
      <c r="J679" s="8"/>
    </row>
    <row r="680">
      <c r="C680" s="8"/>
      <c r="I680" s="8"/>
      <c r="J680" s="8"/>
    </row>
    <row r="681">
      <c r="C681" s="8"/>
      <c r="I681" s="8"/>
      <c r="J681" s="8"/>
    </row>
    <row r="682">
      <c r="C682" s="8"/>
      <c r="I682" s="8"/>
      <c r="J682" s="8"/>
    </row>
    <row r="683">
      <c r="C683" s="8"/>
      <c r="I683" s="8"/>
      <c r="J683" s="8"/>
    </row>
    <row r="684">
      <c r="C684" s="8"/>
      <c r="I684" s="8"/>
      <c r="J684" s="8"/>
    </row>
    <row r="685">
      <c r="C685" s="8"/>
      <c r="I685" s="8"/>
      <c r="J685" s="8"/>
    </row>
    <row r="686">
      <c r="C686" s="8"/>
      <c r="I686" s="8"/>
      <c r="J686" s="8"/>
    </row>
    <row r="687">
      <c r="C687" s="8"/>
      <c r="I687" s="8"/>
      <c r="J687" s="8"/>
    </row>
    <row r="688">
      <c r="C688" s="8"/>
      <c r="I688" s="8"/>
      <c r="J688" s="8"/>
    </row>
    <row r="689">
      <c r="C689" s="8"/>
      <c r="I689" s="8"/>
      <c r="J689" s="8"/>
    </row>
    <row r="690">
      <c r="C690" s="8"/>
      <c r="I690" s="8"/>
      <c r="J690" s="8"/>
    </row>
    <row r="691">
      <c r="C691" s="8"/>
      <c r="I691" s="8"/>
      <c r="J691" s="8"/>
    </row>
    <row r="692">
      <c r="C692" s="8"/>
      <c r="I692" s="8"/>
      <c r="J692" s="8"/>
    </row>
    <row r="693">
      <c r="C693" s="8"/>
      <c r="I693" s="8"/>
      <c r="J693" s="8"/>
    </row>
    <row r="694">
      <c r="C694" s="8"/>
      <c r="I694" s="8"/>
      <c r="J694" s="8"/>
    </row>
    <row r="695">
      <c r="C695" s="8"/>
      <c r="I695" s="8"/>
      <c r="J695" s="8"/>
    </row>
    <row r="696">
      <c r="C696" s="8"/>
      <c r="I696" s="8"/>
      <c r="J696" s="8"/>
    </row>
    <row r="697">
      <c r="C697" s="8"/>
      <c r="I697" s="8"/>
      <c r="J697" s="8"/>
    </row>
    <row r="698">
      <c r="C698" s="8"/>
      <c r="I698" s="8"/>
      <c r="J698" s="8"/>
    </row>
    <row r="699">
      <c r="C699" s="8"/>
      <c r="I699" s="8"/>
      <c r="J699" s="8"/>
    </row>
    <row r="700">
      <c r="C700" s="8"/>
      <c r="I700" s="8"/>
      <c r="J700" s="8"/>
    </row>
    <row r="701">
      <c r="C701" s="8"/>
      <c r="I701" s="8"/>
      <c r="J701" s="8"/>
    </row>
    <row r="702">
      <c r="C702" s="8"/>
      <c r="I702" s="8"/>
      <c r="J702" s="8"/>
    </row>
    <row r="703">
      <c r="C703" s="8"/>
      <c r="I703" s="8"/>
      <c r="J703" s="8"/>
    </row>
    <row r="704">
      <c r="C704" s="8"/>
      <c r="I704" s="8"/>
      <c r="J704" s="8"/>
    </row>
    <row r="705">
      <c r="C705" s="8"/>
      <c r="I705" s="8"/>
      <c r="J705" s="8"/>
    </row>
    <row r="706">
      <c r="C706" s="8"/>
      <c r="I706" s="8"/>
      <c r="J706" s="8"/>
    </row>
    <row r="707">
      <c r="C707" s="8"/>
      <c r="I707" s="8"/>
      <c r="J707" s="8"/>
    </row>
    <row r="708">
      <c r="C708" s="8"/>
      <c r="I708" s="8"/>
      <c r="J708" s="8"/>
    </row>
    <row r="709">
      <c r="C709" s="8"/>
      <c r="I709" s="8"/>
      <c r="J709" s="8"/>
    </row>
    <row r="710">
      <c r="C710" s="8"/>
      <c r="I710" s="8"/>
      <c r="J710" s="8"/>
    </row>
    <row r="711">
      <c r="C711" s="8"/>
      <c r="I711" s="8"/>
      <c r="J711" s="8"/>
    </row>
    <row r="712">
      <c r="C712" s="8"/>
      <c r="I712" s="8"/>
      <c r="J712" s="8"/>
    </row>
    <row r="713">
      <c r="C713" s="8"/>
      <c r="I713" s="8"/>
      <c r="J713" s="8"/>
    </row>
    <row r="714">
      <c r="C714" s="8"/>
      <c r="I714" s="8"/>
      <c r="J714" s="8"/>
    </row>
    <row r="715">
      <c r="C715" s="8"/>
      <c r="I715" s="8"/>
      <c r="J715" s="8"/>
    </row>
    <row r="716">
      <c r="C716" s="8"/>
      <c r="I716" s="8"/>
      <c r="J716" s="8"/>
    </row>
    <row r="717">
      <c r="C717" s="8"/>
      <c r="I717" s="8"/>
      <c r="J717" s="8"/>
    </row>
    <row r="718">
      <c r="C718" s="8"/>
      <c r="I718" s="8"/>
      <c r="J718" s="8"/>
    </row>
    <row r="719">
      <c r="C719" s="8"/>
      <c r="I719" s="8"/>
      <c r="J719" s="8"/>
    </row>
    <row r="720">
      <c r="C720" s="8"/>
      <c r="I720" s="8"/>
      <c r="J720" s="8"/>
    </row>
    <row r="721">
      <c r="C721" s="8"/>
      <c r="I721" s="8"/>
      <c r="J721" s="8"/>
    </row>
    <row r="722">
      <c r="C722" s="8"/>
      <c r="I722" s="8"/>
      <c r="J722" s="8"/>
    </row>
    <row r="723">
      <c r="C723" s="8"/>
      <c r="I723" s="8"/>
      <c r="J723" s="8"/>
    </row>
    <row r="724">
      <c r="C724" s="8"/>
      <c r="I724" s="8"/>
      <c r="J724" s="8"/>
    </row>
    <row r="725">
      <c r="C725" s="8"/>
      <c r="I725" s="8"/>
      <c r="J725" s="8"/>
    </row>
    <row r="726">
      <c r="C726" s="8"/>
      <c r="I726" s="8"/>
      <c r="J726" s="8"/>
    </row>
    <row r="727">
      <c r="C727" s="8"/>
      <c r="I727" s="8"/>
      <c r="J727" s="8"/>
    </row>
    <row r="728">
      <c r="C728" s="8"/>
      <c r="I728" s="8"/>
      <c r="J728" s="8"/>
    </row>
    <row r="729">
      <c r="C729" s="8"/>
      <c r="I729" s="8"/>
      <c r="J729" s="8"/>
    </row>
    <row r="730">
      <c r="C730" s="8"/>
      <c r="I730" s="8"/>
      <c r="J730" s="8"/>
    </row>
    <row r="731">
      <c r="C731" s="8"/>
      <c r="I731" s="8"/>
      <c r="J731" s="8"/>
    </row>
    <row r="732">
      <c r="C732" s="8"/>
      <c r="I732" s="8"/>
      <c r="J732" s="8"/>
    </row>
    <row r="733">
      <c r="C733" s="8"/>
      <c r="I733" s="8"/>
      <c r="J733" s="8"/>
    </row>
    <row r="734">
      <c r="C734" s="8"/>
      <c r="I734" s="8"/>
      <c r="J734" s="8"/>
    </row>
    <row r="735">
      <c r="C735" s="8"/>
      <c r="I735" s="8"/>
      <c r="J735" s="8"/>
    </row>
    <row r="736">
      <c r="C736" s="8"/>
      <c r="I736" s="8"/>
      <c r="J736" s="8"/>
    </row>
    <row r="737">
      <c r="C737" s="8"/>
      <c r="I737" s="8"/>
      <c r="J737" s="8"/>
    </row>
    <row r="738">
      <c r="C738" s="8"/>
      <c r="I738" s="8"/>
      <c r="J738" s="8"/>
    </row>
    <row r="739">
      <c r="C739" s="8"/>
      <c r="I739" s="8"/>
      <c r="J739" s="8"/>
    </row>
    <row r="740">
      <c r="C740" s="8"/>
      <c r="I740" s="8"/>
      <c r="J740" s="8"/>
    </row>
    <row r="741">
      <c r="C741" s="8"/>
      <c r="I741" s="8"/>
      <c r="J741" s="8"/>
    </row>
    <row r="742">
      <c r="C742" s="8"/>
      <c r="I742" s="8"/>
      <c r="J742" s="8"/>
    </row>
    <row r="743">
      <c r="C743" s="8"/>
      <c r="I743" s="8"/>
      <c r="J743" s="8"/>
    </row>
    <row r="744">
      <c r="C744" s="8"/>
      <c r="I744" s="8"/>
      <c r="J744" s="8"/>
    </row>
    <row r="745">
      <c r="C745" s="8"/>
      <c r="I745" s="8"/>
      <c r="J745" s="8"/>
    </row>
    <row r="746">
      <c r="C746" s="8"/>
      <c r="I746" s="8"/>
      <c r="J746" s="8"/>
    </row>
    <row r="747">
      <c r="C747" s="8"/>
      <c r="I747" s="8"/>
      <c r="J747" s="8"/>
    </row>
    <row r="748">
      <c r="C748" s="8"/>
      <c r="I748" s="8"/>
      <c r="J748" s="8"/>
    </row>
    <row r="749">
      <c r="C749" s="8"/>
      <c r="I749" s="8"/>
      <c r="J749" s="8"/>
    </row>
    <row r="750">
      <c r="C750" s="8"/>
      <c r="I750" s="8"/>
      <c r="J750" s="8"/>
    </row>
    <row r="751">
      <c r="C751" s="8"/>
      <c r="I751" s="8"/>
      <c r="J751" s="8"/>
    </row>
    <row r="752">
      <c r="C752" s="8"/>
      <c r="I752" s="8"/>
      <c r="J752" s="8"/>
    </row>
    <row r="753">
      <c r="C753" s="8"/>
      <c r="I753" s="8"/>
      <c r="J753" s="8"/>
    </row>
    <row r="754">
      <c r="C754" s="8"/>
      <c r="I754" s="8"/>
      <c r="J754" s="8"/>
    </row>
    <row r="755">
      <c r="C755" s="8"/>
      <c r="I755" s="8"/>
      <c r="J755" s="8"/>
    </row>
    <row r="756">
      <c r="C756" s="8"/>
      <c r="I756" s="8"/>
      <c r="J756" s="8"/>
    </row>
    <row r="757">
      <c r="C757" s="8"/>
      <c r="I757" s="8"/>
      <c r="J757" s="8"/>
    </row>
    <row r="758">
      <c r="C758" s="8"/>
      <c r="I758" s="8"/>
      <c r="J758" s="8"/>
    </row>
    <row r="759">
      <c r="C759" s="8"/>
      <c r="I759" s="8"/>
      <c r="J759" s="8"/>
    </row>
    <row r="760">
      <c r="C760" s="8"/>
      <c r="I760" s="8"/>
      <c r="J760" s="8"/>
    </row>
    <row r="761">
      <c r="C761" s="8"/>
      <c r="I761" s="8"/>
      <c r="J761" s="8"/>
    </row>
    <row r="762">
      <c r="C762" s="8"/>
      <c r="I762" s="8"/>
      <c r="J762" s="8"/>
    </row>
    <row r="763">
      <c r="C763" s="8"/>
      <c r="I763" s="8"/>
      <c r="J763" s="8"/>
    </row>
    <row r="764">
      <c r="C764" s="8"/>
      <c r="I764" s="8"/>
      <c r="J764" s="8"/>
    </row>
    <row r="765">
      <c r="C765" s="8"/>
      <c r="I765" s="8"/>
      <c r="J765" s="8"/>
    </row>
    <row r="766">
      <c r="C766" s="8"/>
      <c r="I766" s="8"/>
      <c r="J766" s="8"/>
    </row>
    <row r="767">
      <c r="C767" s="8"/>
      <c r="I767" s="8"/>
      <c r="J767" s="8"/>
    </row>
    <row r="768">
      <c r="C768" s="8"/>
      <c r="I768" s="8"/>
      <c r="J768" s="8"/>
    </row>
    <row r="769">
      <c r="C769" s="8"/>
      <c r="I769" s="8"/>
      <c r="J769" s="8"/>
    </row>
    <row r="770">
      <c r="C770" s="8"/>
      <c r="I770" s="8"/>
      <c r="J770" s="8"/>
    </row>
    <row r="771">
      <c r="C771" s="8"/>
      <c r="I771" s="8"/>
      <c r="J771" s="8"/>
    </row>
    <row r="772">
      <c r="C772" s="8"/>
      <c r="I772" s="8"/>
      <c r="J772" s="8"/>
    </row>
    <row r="773">
      <c r="C773" s="8"/>
      <c r="I773" s="8"/>
      <c r="J773" s="8"/>
    </row>
    <row r="774">
      <c r="C774" s="8"/>
      <c r="I774" s="8"/>
      <c r="J774" s="8"/>
    </row>
    <row r="775">
      <c r="C775" s="8"/>
      <c r="I775" s="8"/>
      <c r="J775" s="8"/>
    </row>
    <row r="776">
      <c r="C776" s="8"/>
      <c r="I776" s="8"/>
      <c r="J776" s="8"/>
    </row>
    <row r="777">
      <c r="C777" s="8"/>
      <c r="I777" s="8"/>
      <c r="J777" s="8"/>
    </row>
    <row r="778">
      <c r="C778" s="8"/>
      <c r="I778" s="8"/>
      <c r="J778" s="8"/>
    </row>
    <row r="779">
      <c r="C779" s="8"/>
      <c r="I779" s="8"/>
      <c r="J779" s="8"/>
    </row>
    <row r="780">
      <c r="C780" s="8"/>
      <c r="I780" s="8"/>
      <c r="J780" s="8"/>
    </row>
    <row r="781">
      <c r="C781" s="8"/>
      <c r="I781" s="8"/>
      <c r="J781" s="8"/>
    </row>
    <row r="782">
      <c r="C782" s="8"/>
      <c r="I782" s="8"/>
      <c r="J782" s="8"/>
    </row>
    <row r="783">
      <c r="C783" s="8"/>
      <c r="I783" s="8"/>
      <c r="J783" s="8"/>
    </row>
    <row r="784">
      <c r="C784" s="8"/>
      <c r="I784" s="8"/>
      <c r="J784" s="8"/>
    </row>
    <row r="785">
      <c r="C785" s="8"/>
      <c r="I785" s="8"/>
      <c r="J785" s="8"/>
    </row>
    <row r="786">
      <c r="C786" s="8"/>
      <c r="I786" s="8"/>
      <c r="J786" s="8"/>
    </row>
    <row r="787">
      <c r="C787" s="8"/>
      <c r="I787" s="8"/>
      <c r="J787" s="8"/>
    </row>
    <row r="788">
      <c r="C788" s="8"/>
      <c r="I788" s="8"/>
      <c r="J788" s="8"/>
    </row>
    <row r="789">
      <c r="C789" s="8"/>
      <c r="I789" s="8"/>
      <c r="J789" s="8"/>
    </row>
    <row r="790">
      <c r="C790" s="8"/>
      <c r="I790" s="8"/>
      <c r="J790" s="8"/>
    </row>
    <row r="791">
      <c r="C791" s="8"/>
      <c r="I791" s="8"/>
      <c r="J791" s="8"/>
    </row>
    <row r="792">
      <c r="C792" s="8"/>
      <c r="I792" s="8"/>
      <c r="J792" s="8"/>
    </row>
    <row r="793">
      <c r="C793" s="8"/>
      <c r="I793" s="8"/>
      <c r="J793" s="8"/>
    </row>
    <row r="794">
      <c r="C794" s="8"/>
      <c r="I794" s="8"/>
      <c r="J794" s="8"/>
    </row>
    <row r="795">
      <c r="C795" s="8"/>
      <c r="I795" s="8"/>
      <c r="J795" s="8"/>
    </row>
    <row r="796">
      <c r="C796" s="8"/>
      <c r="I796" s="8"/>
      <c r="J796" s="8"/>
    </row>
    <row r="797">
      <c r="C797" s="8"/>
      <c r="I797" s="8"/>
      <c r="J797" s="8"/>
    </row>
    <row r="798">
      <c r="C798" s="8"/>
      <c r="I798" s="8"/>
      <c r="J798" s="8"/>
    </row>
    <row r="799">
      <c r="C799" s="8"/>
      <c r="I799" s="8"/>
      <c r="J799" s="8"/>
    </row>
    <row r="800">
      <c r="C800" s="8"/>
      <c r="I800" s="8"/>
      <c r="J800" s="8"/>
    </row>
    <row r="801">
      <c r="C801" s="8"/>
      <c r="I801" s="8"/>
      <c r="J801" s="8"/>
    </row>
    <row r="802">
      <c r="C802" s="8"/>
      <c r="I802" s="8"/>
      <c r="J802" s="8"/>
    </row>
    <row r="803">
      <c r="C803" s="8"/>
      <c r="I803" s="8"/>
      <c r="J803" s="8"/>
    </row>
    <row r="804">
      <c r="C804" s="8"/>
      <c r="I804" s="8"/>
      <c r="J804" s="8"/>
    </row>
    <row r="805">
      <c r="C805" s="8"/>
      <c r="I805" s="8"/>
      <c r="J805" s="8"/>
    </row>
    <row r="806">
      <c r="C806" s="8"/>
      <c r="I806" s="8"/>
      <c r="J806" s="8"/>
    </row>
    <row r="807">
      <c r="C807" s="8"/>
      <c r="I807" s="8"/>
      <c r="J807" s="8"/>
    </row>
    <row r="808">
      <c r="C808" s="8"/>
      <c r="I808" s="8"/>
      <c r="J808" s="8"/>
    </row>
    <row r="809">
      <c r="C809" s="8"/>
      <c r="I809" s="8"/>
      <c r="J809" s="8"/>
    </row>
    <row r="810">
      <c r="C810" s="8"/>
      <c r="I810" s="8"/>
      <c r="J810" s="8"/>
    </row>
    <row r="811">
      <c r="C811" s="8"/>
      <c r="I811" s="8"/>
      <c r="J811" s="8"/>
    </row>
    <row r="812">
      <c r="C812" s="8"/>
      <c r="I812" s="8"/>
      <c r="J812" s="8"/>
    </row>
    <row r="813">
      <c r="C813" s="8"/>
      <c r="I813" s="8"/>
      <c r="J813" s="8"/>
    </row>
    <row r="814">
      <c r="C814" s="8"/>
      <c r="I814" s="8"/>
      <c r="J814" s="8"/>
    </row>
    <row r="815">
      <c r="C815" s="8"/>
      <c r="I815" s="8"/>
      <c r="J815" s="8"/>
    </row>
    <row r="816">
      <c r="C816" s="8"/>
      <c r="I816" s="8"/>
      <c r="J816" s="8"/>
    </row>
    <row r="817">
      <c r="C817" s="8"/>
      <c r="I817" s="8"/>
      <c r="J817" s="8"/>
    </row>
    <row r="818">
      <c r="C818" s="8"/>
      <c r="I818" s="8"/>
      <c r="J818" s="8"/>
    </row>
    <row r="819">
      <c r="C819" s="8"/>
      <c r="I819" s="8"/>
      <c r="J819" s="8"/>
    </row>
    <row r="820">
      <c r="C820" s="8"/>
      <c r="I820" s="8"/>
      <c r="J820" s="8"/>
    </row>
    <row r="821">
      <c r="C821" s="8"/>
      <c r="I821" s="8"/>
      <c r="J821" s="8"/>
    </row>
    <row r="822">
      <c r="C822" s="8"/>
      <c r="I822" s="8"/>
      <c r="J822" s="8"/>
    </row>
    <row r="823">
      <c r="C823" s="8"/>
      <c r="I823" s="8"/>
      <c r="J823" s="8"/>
    </row>
    <row r="824">
      <c r="C824" s="8"/>
      <c r="I824" s="8"/>
      <c r="J824" s="8"/>
    </row>
    <row r="825">
      <c r="C825" s="8"/>
      <c r="I825" s="8"/>
      <c r="J825" s="8"/>
    </row>
    <row r="826">
      <c r="C826" s="8"/>
      <c r="I826" s="8"/>
      <c r="J826" s="8"/>
    </row>
    <row r="827">
      <c r="C827" s="8"/>
      <c r="I827" s="8"/>
      <c r="J827" s="8"/>
    </row>
    <row r="828">
      <c r="C828" s="8"/>
      <c r="I828" s="8"/>
      <c r="J828" s="8"/>
    </row>
    <row r="829">
      <c r="C829" s="8"/>
      <c r="I829" s="8"/>
      <c r="J829" s="8"/>
    </row>
    <row r="830">
      <c r="C830" s="8"/>
      <c r="I830" s="8"/>
      <c r="J830" s="8"/>
    </row>
    <row r="831">
      <c r="C831" s="8"/>
      <c r="I831" s="8"/>
      <c r="J831" s="8"/>
    </row>
    <row r="832">
      <c r="C832" s="8"/>
      <c r="I832" s="8"/>
      <c r="J832" s="8"/>
    </row>
    <row r="833">
      <c r="C833" s="8"/>
      <c r="I833" s="8"/>
      <c r="J833" s="8"/>
    </row>
    <row r="834">
      <c r="C834" s="8"/>
      <c r="I834" s="8"/>
      <c r="J834" s="8"/>
    </row>
    <row r="835">
      <c r="C835" s="8"/>
      <c r="I835" s="8"/>
      <c r="J835" s="8"/>
    </row>
    <row r="836">
      <c r="C836" s="8"/>
      <c r="I836" s="8"/>
      <c r="J836" s="8"/>
    </row>
    <row r="837">
      <c r="C837" s="8"/>
      <c r="I837" s="8"/>
      <c r="J837" s="8"/>
    </row>
    <row r="838">
      <c r="C838" s="8"/>
      <c r="I838" s="8"/>
      <c r="J838" s="8"/>
    </row>
    <row r="839">
      <c r="C839" s="8"/>
      <c r="I839" s="8"/>
      <c r="J839" s="8"/>
    </row>
    <row r="840">
      <c r="C840" s="8"/>
      <c r="I840" s="8"/>
      <c r="J840" s="8"/>
    </row>
    <row r="841">
      <c r="C841" s="8"/>
      <c r="I841" s="8"/>
      <c r="J841" s="8"/>
    </row>
    <row r="842">
      <c r="C842" s="8"/>
      <c r="I842" s="8"/>
      <c r="J842" s="8"/>
    </row>
    <row r="843">
      <c r="C843" s="8"/>
      <c r="I843" s="8"/>
      <c r="J843" s="8"/>
    </row>
    <row r="844">
      <c r="C844" s="8"/>
      <c r="I844" s="8"/>
      <c r="J844" s="8"/>
    </row>
    <row r="845">
      <c r="C845" s="8"/>
      <c r="I845" s="8"/>
      <c r="J845" s="8"/>
    </row>
    <row r="846">
      <c r="C846" s="8"/>
      <c r="I846" s="8"/>
      <c r="J846" s="8"/>
    </row>
    <row r="847">
      <c r="C847" s="8"/>
      <c r="I847" s="8"/>
      <c r="J847" s="8"/>
    </row>
    <row r="848">
      <c r="C848" s="8"/>
      <c r="I848" s="8"/>
      <c r="J848" s="8"/>
    </row>
    <row r="849">
      <c r="C849" s="8"/>
      <c r="I849" s="8"/>
      <c r="J849" s="8"/>
    </row>
    <row r="850">
      <c r="C850" s="8"/>
      <c r="I850" s="8"/>
      <c r="J850" s="8"/>
    </row>
    <row r="851">
      <c r="C851" s="8"/>
      <c r="I851" s="8"/>
      <c r="J851" s="8"/>
    </row>
    <row r="852">
      <c r="C852" s="8"/>
      <c r="I852" s="8"/>
      <c r="J852" s="8"/>
    </row>
    <row r="853">
      <c r="C853" s="8"/>
      <c r="I853" s="8"/>
      <c r="J853" s="8"/>
    </row>
    <row r="854">
      <c r="C854" s="8"/>
      <c r="I854" s="8"/>
      <c r="J854" s="8"/>
    </row>
    <row r="855">
      <c r="C855" s="8"/>
      <c r="I855" s="8"/>
      <c r="J855" s="8"/>
    </row>
    <row r="856">
      <c r="C856" s="8"/>
      <c r="I856" s="8"/>
      <c r="J856" s="8"/>
    </row>
    <row r="857">
      <c r="C857" s="8"/>
      <c r="I857" s="8"/>
      <c r="J857" s="8"/>
    </row>
    <row r="858">
      <c r="C858" s="8"/>
      <c r="I858" s="8"/>
      <c r="J858" s="8"/>
    </row>
    <row r="859">
      <c r="C859" s="8"/>
      <c r="I859" s="8"/>
      <c r="J859" s="8"/>
    </row>
    <row r="860">
      <c r="C860" s="8"/>
      <c r="I860" s="8"/>
      <c r="J860" s="8"/>
    </row>
    <row r="861">
      <c r="C861" s="8"/>
      <c r="I861" s="8"/>
      <c r="J861" s="8"/>
    </row>
    <row r="862">
      <c r="C862" s="8"/>
      <c r="I862" s="8"/>
      <c r="J862" s="8"/>
    </row>
    <row r="863">
      <c r="C863" s="8"/>
      <c r="I863" s="8"/>
      <c r="J863" s="8"/>
    </row>
    <row r="864">
      <c r="C864" s="8"/>
      <c r="I864" s="8"/>
      <c r="J864" s="8"/>
    </row>
    <row r="865">
      <c r="C865" s="8"/>
      <c r="I865" s="8"/>
      <c r="J865" s="8"/>
    </row>
    <row r="866">
      <c r="C866" s="8"/>
      <c r="I866" s="8"/>
      <c r="J866" s="8"/>
    </row>
    <row r="867">
      <c r="C867" s="8"/>
      <c r="I867" s="8"/>
      <c r="J867" s="8"/>
    </row>
    <row r="868">
      <c r="C868" s="8"/>
      <c r="I868" s="8"/>
      <c r="J868" s="8"/>
    </row>
    <row r="869">
      <c r="C869" s="8"/>
      <c r="I869" s="8"/>
      <c r="J869" s="8"/>
    </row>
    <row r="870">
      <c r="C870" s="8"/>
      <c r="I870" s="8"/>
      <c r="J870" s="8"/>
    </row>
    <row r="871">
      <c r="C871" s="8"/>
      <c r="I871" s="8"/>
      <c r="J871" s="8"/>
    </row>
    <row r="872">
      <c r="C872" s="8"/>
      <c r="I872" s="8"/>
      <c r="J872" s="8"/>
    </row>
    <row r="873">
      <c r="C873" s="8"/>
      <c r="I873" s="8"/>
      <c r="J873" s="8"/>
    </row>
    <row r="874">
      <c r="C874" s="8"/>
      <c r="I874" s="8"/>
      <c r="J874" s="8"/>
    </row>
    <row r="875">
      <c r="C875" s="8"/>
      <c r="I875" s="8"/>
      <c r="J875" s="8"/>
    </row>
    <row r="876">
      <c r="C876" s="8"/>
      <c r="I876" s="8"/>
      <c r="J876" s="8"/>
    </row>
    <row r="877">
      <c r="C877" s="8"/>
      <c r="I877" s="8"/>
      <c r="J877" s="8"/>
    </row>
    <row r="878">
      <c r="C878" s="8"/>
      <c r="I878" s="8"/>
      <c r="J878" s="8"/>
    </row>
    <row r="879">
      <c r="C879" s="8"/>
      <c r="I879" s="8"/>
      <c r="J879" s="8"/>
    </row>
    <row r="880">
      <c r="C880" s="8"/>
      <c r="I880" s="8"/>
      <c r="J880" s="8"/>
    </row>
    <row r="881">
      <c r="C881" s="8"/>
      <c r="I881" s="8"/>
      <c r="J881" s="8"/>
    </row>
    <row r="882">
      <c r="C882" s="8"/>
      <c r="I882" s="8"/>
      <c r="J882" s="8"/>
    </row>
    <row r="883">
      <c r="C883" s="8"/>
      <c r="I883" s="8"/>
      <c r="J883" s="8"/>
    </row>
    <row r="884">
      <c r="C884" s="8"/>
      <c r="I884" s="8"/>
      <c r="J884" s="8"/>
    </row>
    <row r="885">
      <c r="C885" s="8"/>
      <c r="I885" s="8"/>
      <c r="J885" s="8"/>
    </row>
    <row r="886">
      <c r="C886" s="8"/>
      <c r="I886" s="8"/>
      <c r="J886" s="8"/>
    </row>
    <row r="887">
      <c r="C887" s="8"/>
      <c r="I887" s="8"/>
      <c r="J887" s="8"/>
    </row>
    <row r="888">
      <c r="C888" s="8"/>
      <c r="I888" s="8"/>
      <c r="J888" s="8"/>
    </row>
    <row r="889">
      <c r="C889" s="8"/>
      <c r="I889" s="8"/>
      <c r="J889" s="8"/>
    </row>
    <row r="890">
      <c r="C890" s="8"/>
      <c r="I890" s="8"/>
      <c r="J890" s="8"/>
    </row>
    <row r="891">
      <c r="C891" s="8"/>
      <c r="I891" s="8"/>
      <c r="J891" s="8"/>
    </row>
    <row r="892">
      <c r="C892" s="8"/>
      <c r="I892" s="8"/>
      <c r="J892" s="8"/>
    </row>
    <row r="893">
      <c r="C893" s="8"/>
      <c r="I893" s="8"/>
      <c r="J893" s="8"/>
    </row>
    <row r="894">
      <c r="C894" s="8"/>
      <c r="I894" s="8"/>
      <c r="J894" s="8"/>
    </row>
    <row r="895">
      <c r="C895" s="8"/>
      <c r="I895" s="8"/>
      <c r="J895" s="8"/>
    </row>
    <row r="896">
      <c r="C896" s="8"/>
      <c r="I896" s="8"/>
      <c r="J896" s="8"/>
    </row>
    <row r="897">
      <c r="C897" s="8"/>
      <c r="I897" s="8"/>
      <c r="J897" s="8"/>
    </row>
    <row r="898">
      <c r="C898" s="8"/>
      <c r="I898" s="8"/>
      <c r="J898" s="8"/>
    </row>
    <row r="899">
      <c r="C899" s="8"/>
      <c r="I899" s="8"/>
      <c r="J899" s="8"/>
    </row>
    <row r="900">
      <c r="C900" s="8"/>
      <c r="I900" s="8"/>
      <c r="J900" s="8"/>
    </row>
    <row r="901">
      <c r="C901" s="8"/>
      <c r="I901" s="8"/>
      <c r="J901" s="8"/>
    </row>
    <row r="902">
      <c r="C902" s="8"/>
      <c r="I902" s="8"/>
      <c r="J902" s="8"/>
    </row>
    <row r="903">
      <c r="C903" s="8"/>
      <c r="I903" s="8"/>
      <c r="J903" s="8"/>
    </row>
    <row r="904">
      <c r="C904" s="8"/>
      <c r="I904" s="8"/>
      <c r="J904" s="8"/>
    </row>
    <row r="905">
      <c r="C905" s="8"/>
      <c r="I905" s="8"/>
      <c r="J905" s="8"/>
    </row>
    <row r="906">
      <c r="C906" s="8"/>
      <c r="I906" s="8"/>
      <c r="J906" s="8"/>
    </row>
    <row r="907">
      <c r="C907" s="8"/>
      <c r="I907" s="8"/>
      <c r="J907" s="8"/>
    </row>
    <row r="908">
      <c r="C908" s="8"/>
      <c r="I908" s="8"/>
      <c r="J908" s="8"/>
    </row>
    <row r="909">
      <c r="C909" s="8"/>
      <c r="I909" s="8"/>
      <c r="J909" s="8"/>
    </row>
    <row r="910">
      <c r="C910" s="8"/>
      <c r="I910" s="8"/>
      <c r="J910" s="8"/>
    </row>
    <row r="911">
      <c r="C911" s="8"/>
      <c r="I911" s="8"/>
      <c r="J911" s="8"/>
    </row>
    <row r="912">
      <c r="C912" s="8"/>
      <c r="I912" s="8"/>
      <c r="J912" s="8"/>
    </row>
    <row r="913">
      <c r="C913" s="8"/>
      <c r="I913" s="8"/>
      <c r="J913" s="8"/>
    </row>
    <row r="914">
      <c r="C914" s="8"/>
      <c r="I914" s="8"/>
      <c r="J914" s="8"/>
    </row>
    <row r="915">
      <c r="C915" s="8"/>
      <c r="I915" s="8"/>
      <c r="J915" s="8"/>
    </row>
    <row r="916">
      <c r="C916" s="8"/>
      <c r="I916" s="8"/>
      <c r="J916" s="8"/>
    </row>
    <row r="917">
      <c r="C917" s="8"/>
      <c r="I917" s="8"/>
      <c r="J917" s="8"/>
    </row>
    <row r="918">
      <c r="C918" s="8"/>
      <c r="I918" s="8"/>
      <c r="J918" s="8"/>
    </row>
    <row r="919">
      <c r="C919" s="8"/>
      <c r="I919" s="8"/>
      <c r="J919" s="8"/>
    </row>
    <row r="920">
      <c r="C920" s="8"/>
      <c r="I920" s="8"/>
      <c r="J920" s="8"/>
    </row>
    <row r="921">
      <c r="C921" s="8"/>
      <c r="I921" s="8"/>
      <c r="J921" s="8"/>
    </row>
    <row r="922">
      <c r="C922" s="8"/>
      <c r="I922" s="8"/>
      <c r="J922" s="8"/>
    </row>
    <row r="923">
      <c r="C923" s="8"/>
      <c r="I923" s="8"/>
      <c r="J923" s="8"/>
    </row>
    <row r="924">
      <c r="C924" s="8"/>
      <c r="I924" s="8"/>
      <c r="J924" s="8"/>
    </row>
    <row r="925">
      <c r="C925" s="8"/>
      <c r="I925" s="8"/>
      <c r="J925" s="8"/>
    </row>
    <row r="926">
      <c r="C926" s="8"/>
      <c r="I926" s="8"/>
      <c r="J926" s="8"/>
    </row>
    <row r="927">
      <c r="C927" s="8"/>
      <c r="I927" s="8"/>
      <c r="J927" s="8"/>
    </row>
    <row r="928">
      <c r="C928" s="8"/>
      <c r="I928" s="8"/>
      <c r="J928" s="8"/>
    </row>
    <row r="929">
      <c r="C929" s="8"/>
      <c r="I929" s="8"/>
      <c r="J929" s="8"/>
    </row>
    <row r="930">
      <c r="C930" s="8"/>
      <c r="I930" s="8"/>
      <c r="J930" s="8"/>
    </row>
    <row r="931">
      <c r="C931" s="8"/>
      <c r="I931" s="8"/>
      <c r="J931" s="8"/>
    </row>
    <row r="932">
      <c r="C932" s="8"/>
      <c r="I932" s="8"/>
      <c r="J932" s="8"/>
    </row>
    <row r="933">
      <c r="C933" s="8"/>
      <c r="I933" s="8"/>
      <c r="J933" s="8"/>
    </row>
    <row r="934">
      <c r="C934" s="8"/>
      <c r="I934" s="8"/>
      <c r="J934" s="8"/>
    </row>
    <row r="935">
      <c r="C935" s="8"/>
      <c r="I935" s="8"/>
      <c r="J935" s="8"/>
    </row>
    <row r="936">
      <c r="C936" s="8"/>
      <c r="I936" s="8"/>
      <c r="J936" s="8"/>
    </row>
    <row r="937">
      <c r="C937" s="8"/>
      <c r="I937" s="8"/>
      <c r="J937" s="8"/>
    </row>
    <row r="938">
      <c r="C938" s="8"/>
      <c r="I938" s="8"/>
      <c r="J938" s="8"/>
    </row>
    <row r="939">
      <c r="C939" s="8"/>
      <c r="I939" s="8"/>
      <c r="J939" s="8"/>
    </row>
    <row r="940">
      <c r="C940" s="8"/>
      <c r="I940" s="8"/>
      <c r="J940" s="8"/>
    </row>
    <row r="941">
      <c r="C941" s="8"/>
      <c r="I941" s="8"/>
      <c r="J941" s="8"/>
    </row>
    <row r="942">
      <c r="C942" s="8"/>
      <c r="I942" s="8"/>
      <c r="J942" s="8"/>
    </row>
    <row r="943">
      <c r="C943" s="8"/>
      <c r="I943" s="8"/>
      <c r="J943" s="8"/>
    </row>
    <row r="944">
      <c r="C944" s="8"/>
      <c r="I944" s="8"/>
      <c r="J944" s="8"/>
    </row>
    <row r="945">
      <c r="C945" s="8"/>
      <c r="I945" s="8"/>
      <c r="J945" s="8"/>
    </row>
    <row r="946">
      <c r="C946" s="8"/>
      <c r="I946" s="8"/>
      <c r="J946" s="8"/>
    </row>
    <row r="947">
      <c r="C947" s="8"/>
      <c r="I947" s="8"/>
      <c r="J947" s="8"/>
    </row>
    <row r="948">
      <c r="C948" s="8"/>
      <c r="I948" s="8"/>
      <c r="J948" s="8"/>
    </row>
    <row r="949">
      <c r="C949" s="8"/>
      <c r="I949" s="8"/>
      <c r="J949" s="8"/>
    </row>
    <row r="950">
      <c r="C950" s="8"/>
      <c r="I950" s="8"/>
      <c r="J950" s="8"/>
    </row>
    <row r="951">
      <c r="C951" s="8"/>
      <c r="I951" s="8"/>
      <c r="J951" s="8"/>
    </row>
    <row r="952">
      <c r="C952" s="8"/>
      <c r="I952" s="8"/>
      <c r="J952" s="8"/>
    </row>
    <row r="953">
      <c r="C953" s="8"/>
      <c r="I953" s="8"/>
      <c r="J953" s="8"/>
    </row>
    <row r="954">
      <c r="C954" s="8"/>
      <c r="I954" s="8"/>
      <c r="J954" s="8"/>
    </row>
    <row r="955">
      <c r="C955" s="8"/>
      <c r="I955" s="8"/>
      <c r="J955" s="8"/>
    </row>
    <row r="956">
      <c r="C956" s="8"/>
      <c r="I956" s="8"/>
      <c r="J956" s="8"/>
    </row>
    <row r="957">
      <c r="C957" s="8"/>
      <c r="I957" s="8"/>
      <c r="J957" s="8"/>
    </row>
    <row r="958">
      <c r="C958" s="8"/>
      <c r="I958" s="8"/>
      <c r="J958" s="8"/>
    </row>
    <row r="959">
      <c r="C959" s="8"/>
      <c r="I959" s="8"/>
      <c r="J959" s="8"/>
    </row>
    <row r="960">
      <c r="C960" s="8"/>
      <c r="I960" s="8"/>
      <c r="J960" s="8"/>
    </row>
    <row r="961">
      <c r="C961" s="8"/>
      <c r="I961" s="8"/>
      <c r="J961" s="8"/>
    </row>
    <row r="962">
      <c r="C962" s="8"/>
      <c r="I962" s="8"/>
      <c r="J962" s="8"/>
    </row>
    <row r="963">
      <c r="C963" s="8"/>
      <c r="I963" s="8"/>
      <c r="J963" s="8"/>
    </row>
    <row r="964">
      <c r="C964" s="8"/>
      <c r="I964" s="8"/>
      <c r="J964" s="8"/>
    </row>
    <row r="965">
      <c r="C965" s="8"/>
      <c r="I965" s="8"/>
      <c r="J965" s="8"/>
    </row>
    <row r="966">
      <c r="C966" s="8"/>
      <c r="I966" s="8"/>
      <c r="J966" s="8"/>
    </row>
    <row r="967">
      <c r="C967" s="8"/>
      <c r="I967" s="8"/>
      <c r="J967" s="8"/>
    </row>
    <row r="968">
      <c r="C968" s="8"/>
      <c r="I968" s="8"/>
      <c r="J968" s="8"/>
    </row>
    <row r="969">
      <c r="C969" s="8"/>
      <c r="I969" s="8"/>
      <c r="J969" s="8"/>
    </row>
    <row r="970">
      <c r="C970" s="8"/>
      <c r="I970" s="8"/>
      <c r="J970" s="8"/>
    </row>
    <row r="971">
      <c r="C971" s="8"/>
      <c r="I971" s="8"/>
      <c r="J971" s="8"/>
    </row>
    <row r="972">
      <c r="C972" s="8"/>
      <c r="I972" s="8"/>
      <c r="J972" s="8"/>
    </row>
    <row r="973">
      <c r="C973" s="8"/>
      <c r="I973" s="8"/>
      <c r="J973" s="8"/>
    </row>
    <row r="974">
      <c r="C974" s="8"/>
      <c r="I974" s="8"/>
      <c r="J974" s="8"/>
    </row>
    <row r="975">
      <c r="C975" s="8"/>
      <c r="I975" s="8"/>
      <c r="J975" s="8"/>
    </row>
    <row r="976">
      <c r="C976" s="8"/>
      <c r="I976" s="8"/>
      <c r="J976" s="8"/>
    </row>
    <row r="977">
      <c r="C977" s="8"/>
      <c r="I977" s="8"/>
      <c r="J977" s="8"/>
    </row>
    <row r="978">
      <c r="C978" s="8"/>
      <c r="I978" s="8"/>
      <c r="J978" s="8"/>
    </row>
    <row r="979">
      <c r="C979" s="8"/>
      <c r="I979" s="8"/>
      <c r="J979" s="8"/>
    </row>
    <row r="980">
      <c r="C980" s="8"/>
      <c r="I980" s="8"/>
      <c r="J980" s="8"/>
    </row>
    <row r="981">
      <c r="C981" s="8"/>
      <c r="I981" s="8"/>
      <c r="J981" s="8"/>
    </row>
    <row r="982">
      <c r="C982" s="8"/>
      <c r="I982" s="8"/>
      <c r="J982" s="8"/>
    </row>
    <row r="983">
      <c r="C983" s="8"/>
      <c r="I983" s="8"/>
      <c r="J983" s="8"/>
    </row>
    <row r="984">
      <c r="C984" s="8"/>
      <c r="I984" s="8"/>
      <c r="J984" s="8"/>
    </row>
    <row r="985">
      <c r="C985" s="8"/>
      <c r="I985" s="8"/>
      <c r="J985" s="8"/>
    </row>
    <row r="986">
      <c r="C986" s="8"/>
      <c r="I986" s="8"/>
      <c r="J986" s="8"/>
    </row>
    <row r="987">
      <c r="C987" s="8"/>
      <c r="I987" s="8"/>
      <c r="J987" s="8"/>
    </row>
    <row r="988">
      <c r="C988" s="8"/>
      <c r="I988" s="8"/>
      <c r="J988" s="8"/>
    </row>
    <row r="989">
      <c r="C989" s="8"/>
      <c r="I989" s="8"/>
      <c r="J989" s="8"/>
    </row>
    <row r="990">
      <c r="C990" s="8"/>
      <c r="I990" s="8"/>
      <c r="J990" s="8"/>
    </row>
    <row r="991">
      <c r="C991" s="8"/>
      <c r="I991" s="8"/>
      <c r="J991" s="8"/>
    </row>
    <row r="992">
      <c r="C992" s="8"/>
      <c r="I992" s="8"/>
      <c r="J992" s="8"/>
    </row>
    <row r="993">
      <c r="C993" s="8"/>
      <c r="I993" s="8"/>
      <c r="J993" s="8"/>
    </row>
    <row r="994">
      <c r="C994" s="8"/>
      <c r="I994" s="8"/>
      <c r="J994" s="8"/>
    </row>
    <row r="995">
      <c r="C995" s="8"/>
      <c r="I995" s="8"/>
      <c r="J995" s="8"/>
    </row>
    <row r="996">
      <c r="C996" s="8"/>
      <c r="I996" s="8"/>
      <c r="J996" s="8"/>
    </row>
    <row r="997">
      <c r="C997" s="8"/>
      <c r="I997" s="8"/>
      <c r="J997" s="8"/>
    </row>
    <row r="998">
      <c r="C998" s="8"/>
      <c r="I998" s="8"/>
      <c r="J998" s="8"/>
    </row>
    <row r="999">
      <c r="C999" s="8"/>
      <c r="I999" s="8"/>
      <c r="J999" s="8"/>
    </row>
    <row r="1000">
      <c r="C1000" s="8"/>
      <c r="I1000" s="8"/>
      <c r="J1000" s="8"/>
    </row>
  </sheetData>
  <mergeCells count="1">
    <mergeCell ref="A1:O2"/>
  </mergeCells>
  <dataValidations>
    <dataValidation type="list" allowBlank="1" showErrorMessage="1" sqref="B3">
      <formula1>"Mout,Hop,Gist,Suiker,Fruit,Adjunct"</formula1>
    </dataValidation>
    <dataValidation type="list" allowBlank="1" showErrorMessage="1" sqref="J6:J1000">
      <formula1>Uitleg!$C$2:$C$5</formula1>
    </dataValidation>
    <dataValidation type="list" allowBlank="1" showErrorMessage="1" sqref="I6:I1000">
      <formula1>Uitleg!$B$2:$B$7</formula1>
    </dataValidation>
    <dataValidation type="list" allowBlank="1" showErrorMessage="1" sqref="C6:C1000">
      <formula1>Uitleg!$A$2:$A$3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63"/>
    <col customWidth="1" min="3" max="3" width="14.0"/>
    <col customWidth="1" min="7" max="11" width="13.5"/>
    <col customWidth="1" min="12" max="12" width="3.38"/>
    <col customWidth="1" min="15" max="15" width="13.88"/>
  </cols>
  <sheetData>
    <row r="1">
      <c r="A1" s="1" t="s">
        <v>572</v>
      </c>
    </row>
    <row r="3">
      <c r="A3" s="2" t="s">
        <v>559</v>
      </c>
      <c r="B3" s="2" t="s">
        <v>498</v>
      </c>
      <c r="M3" s="2" t="s">
        <v>560</v>
      </c>
      <c r="N3" s="8">
        <f>SUM(H6:H1000) - SUM(O6:O1000)</f>
        <v>1</v>
      </c>
      <c r="O3" s="2" t="s">
        <v>561</v>
      </c>
    </row>
    <row r="5">
      <c r="A5" s="22" t="s">
        <v>104</v>
      </c>
      <c r="B5" s="22" t="s">
        <v>105</v>
      </c>
      <c r="C5" s="22" t="s">
        <v>106</v>
      </c>
      <c r="D5" s="22" t="s">
        <v>107</v>
      </c>
      <c r="E5" s="22" t="s">
        <v>108</v>
      </c>
      <c r="F5" s="22" t="s">
        <v>111</v>
      </c>
      <c r="G5" s="22" t="s">
        <v>112</v>
      </c>
      <c r="H5" s="22" t="s">
        <v>113</v>
      </c>
      <c r="I5" s="22" t="s">
        <v>115</v>
      </c>
      <c r="J5" s="22" t="s">
        <v>116</v>
      </c>
      <c r="K5" s="22" t="s">
        <v>117</v>
      </c>
      <c r="M5" s="23" t="s">
        <v>118</v>
      </c>
      <c r="N5" s="23" t="s">
        <v>107</v>
      </c>
      <c r="O5" s="23" t="s">
        <v>113</v>
      </c>
      <c r="P5" s="23" t="s">
        <v>111</v>
      </c>
    </row>
    <row r="6">
      <c r="A6" s="2">
        <v>3.72012518E8</v>
      </c>
      <c r="B6" s="2">
        <v>202305.0</v>
      </c>
      <c r="C6" s="2" t="s">
        <v>130</v>
      </c>
      <c r="D6" s="24">
        <v>45013.0</v>
      </c>
      <c r="E6" s="2" t="s">
        <v>131</v>
      </c>
      <c r="F6" s="2" t="s">
        <v>147</v>
      </c>
      <c r="G6" s="27">
        <v>45452.0</v>
      </c>
      <c r="H6" s="2">
        <v>5.0</v>
      </c>
      <c r="I6" s="8"/>
      <c r="J6" s="8"/>
      <c r="K6" s="53"/>
      <c r="M6" s="2" t="s">
        <v>64</v>
      </c>
      <c r="N6" s="24">
        <v>45020.0</v>
      </c>
      <c r="O6" s="2">
        <v>5.0</v>
      </c>
      <c r="P6" s="2" t="s">
        <v>147</v>
      </c>
    </row>
    <row r="7">
      <c r="A7" s="2">
        <v>3.72012518E8</v>
      </c>
      <c r="B7" s="2">
        <v>202305.0</v>
      </c>
      <c r="C7" s="2" t="s">
        <v>130</v>
      </c>
      <c r="D7" s="24">
        <v>45013.0</v>
      </c>
      <c r="E7" s="2" t="s">
        <v>131</v>
      </c>
      <c r="F7" s="2" t="s">
        <v>148</v>
      </c>
      <c r="G7" s="29">
        <v>45545.0</v>
      </c>
      <c r="H7" s="2">
        <v>1.0</v>
      </c>
      <c r="I7" s="8"/>
      <c r="J7" s="8"/>
      <c r="N7" s="24"/>
    </row>
    <row r="8">
      <c r="C8" s="28"/>
      <c r="D8" s="28"/>
      <c r="E8" s="28"/>
      <c r="F8" s="28"/>
      <c r="I8" s="8"/>
      <c r="J8" s="8"/>
      <c r="N8" s="28"/>
    </row>
    <row r="9">
      <c r="C9" s="28"/>
      <c r="D9" s="28"/>
      <c r="E9" s="28"/>
      <c r="F9" s="28"/>
      <c r="I9" s="8"/>
      <c r="J9" s="8"/>
      <c r="N9" s="28"/>
    </row>
    <row r="10">
      <c r="C10" s="28"/>
      <c r="D10" s="28"/>
      <c r="E10" s="28"/>
      <c r="F10" s="28"/>
      <c r="I10" s="8"/>
      <c r="J10" s="8"/>
      <c r="N10" s="28"/>
    </row>
    <row r="11">
      <c r="C11" s="28"/>
      <c r="D11" s="28"/>
      <c r="E11" s="28"/>
      <c r="F11" s="28"/>
      <c r="I11" s="8"/>
      <c r="J11" s="8"/>
      <c r="N11" s="28"/>
    </row>
    <row r="12">
      <c r="C12" s="28"/>
      <c r="D12" s="28"/>
      <c r="E12" s="28"/>
      <c r="F12" s="28"/>
      <c r="I12" s="8"/>
      <c r="J12" s="8"/>
      <c r="N12" s="28"/>
    </row>
    <row r="13">
      <c r="C13" s="28"/>
      <c r="D13" s="28"/>
      <c r="E13" s="28"/>
      <c r="F13" s="28"/>
      <c r="I13" s="8"/>
      <c r="J13" s="8"/>
      <c r="N13" s="28"/>
    </row>
    <row r="14">
      <c r="C14" s="28"/>
      <c r="D14" s="28"/>
      <c r="E14" s="28"/>
      <c r="F14" s="28"/>
      <c r="I14" s="8"/>
      <c r="J14" s="8"/>
      <c r="N14" s="28"/>
    </row>
    <row r="15">
      <c r="C15" s="28"/>
      <c r="D15" s="28"/>
      <c r="E15" s="28"/>
      <c r="F15" s="28"/>
      <c r="I15" s="8"/>
      <c r="J15" s="8"/>
      <c r="N15" s="28"/>
    </row>
    <row r="16">
      <c r="C16" s="28"/>
      <c r="D16" s="28"/>
      <c r="E16" s="28"/>
      <c r="F16" s="28"/>
      <c r="I16" s="8"/>
      <c r="J16" s="8"/>
      <c r="N16" s="28"/>
    </row>
    <row r="17">
      <c r="C17" s="28"/>
      <c r="D17" s="28"/>
      <c r="E17" s="28"/>
      <c r="F17" s="28"/>
      <c r="I17" s="8"/>
      <c r="J17" s="8"/>
      <c r="N17" s="28"/>
    </row>
    <row r="18">
      <c r="C18" s="28"/>
      <c r="D18" s="28"/>
      <c r="E18" s="28"/>
      <c r="F18" s="28"/>
      <c r="I18" s="8"/>
      <c r="J18" s="8"/>
      <c r="N18" s="28"/>
    </row>
    <row r="19">
      <c r="C19" s="28"/>
      <c r="D19" s="28"/>
      <c r="E19" s="28"/>
      <c r="F19" s="28"/>
      <c r="I19" s="8"/>
      <c r="J19" s="8"/>
      <c r="N19" s="28"/>
    </row>
    <row r="20">
      <c r="C20" s="28"/>
      <c r="D20" s="28"/>
      <c r="E20" s="28"/>
      <c r="F20" s="28"/>
      <c r="I20" s="8"/>
      <c r="J20" s="8"/>
      <c r="N20" s="28"/>
    </row>
    <row r="21">
      <c r="C21" s="28"/>
      <c r="D21" s="28"/>
      <c r="E21" s="28"/>
      <c r="F21" s="28"/>
      <c r="I21" s="8"/>
      <c r="J21" s="8"/>
      <c r="N21" s="28"/>
    </row>
    <row r="22">
      <c r="C22" s="28"/>
      <c r="D22" s="28"/>
      <c r="E22" s="28"/>
      <c r="F22" s="28"/>
      <c r="I22" s="8"/>
      <c r="J22" s="8"/>
      <c r="N22" s="28"/>
    </row>
    <row r="23">
      <c r="C23" s="28"/>
      <c r="D23" s="28"/>
      <c r="E23" s="28"/>
      <c r="F23" s="28"/>
      <c r="I23" s="8"/>
      <c r="J23" s="8"/>
      <c r="N23" s="28"/>
    </row>
    <row r="24">
      <c r="C24" s="28"/>
      <c r="D24" s="28"/>
      <c r="E24" s="28"/>
      <c r="F24" s="28"/>
      <c r="I24" s="8"/>
      <c r="J24" s="8"/>
      <c r="N24" s="28"/>
    </row>
    <row r="25">
      <c r="C25" s="28"/>
      <c r="D25" s="28"/>
      <c r="E25" s="28"/>
      <c r="F25" s="28"/>
      <c r="I25" s="8"/>
      <c r="J25" s="8"/>
      <c r="N25" s="28"/>
    </row>
    <row r="26">
      <c r="C26" s="28"/>
      <c r="D26" s="28"/>
      <c r="E26" s="28"/>
      <c r="F26" s="28"/>
      <c r="I26" s="8"/>
      <c r="J26" s="8"/>
      <c r="N26" s="28"/>
    </row>
    <row r="27">
      <c r="C27" s="28"/>
      <c r="D27" s="28"/>
      <c r="E27" s="28"/>
      <c r="F27" s="28"/>
      <c r="I27" s="8"/>
      <c r="J27" s="8"/>
      <c r="N27" s="28"/>
    </row>
    <row r="28">
      <c r="C28" s="28"/>
      <c r="D28" s="28"/>
      <c r="E28" s="28"/>
      <c r="F28" s="28"/>
      <c r="I28" s="8"/>
      <c r="J28" s="8"/>
      <c r="N28" s="28"/>
    </row>
    <row r="29">
      <c r="C29" s="28"/>
      <c r="D29" s="28"/>
      <c r="E29" s="28"/>
      <c r="F29" s="28"/>
      <c r="I29" s="8"/>
      <c r="J29" s="8"/>
      <c r="N29" s="28"/>
    </row>
    <row r="30">
      <c r="C30" s="28"/>
      <c r="D30" s="28"/>
      <c r="E30" s="28"/>
      <c r="F30" s="28"/>
      <c r="I30" s="8"/>
      <c r="J30" s="8"/>
      <c r="N30" s="28"/>
    </row>
    <row r="31">
      <c r="C31" s="28"/>
      <c r="D31" s="28"/>
      <c r="E31" s="28"/>
      <c r="F31" s="28"/>
      <c r="I31" s="8"/>
      <c r="J31" s="8"/>
      <c r="N31" s="28"/>
    </row>
    <row r="32">
      <c r="C32" s="28"/>
      <c r="D32" s="28"/>
      <c r="E32" s="28"/>
      <c r="F32" s="28"/>
      <c r="I32" s="8"/>
      <c r="J32" s="8"/>
      <c r="N32" s="28"/>
    </row>
    <row r="33">
      <c r="C33" s="8"/>
      <c r="I33" s="8"/>
      <c r="J33" s="8"/>
      <c r="N33" s="28"/>
    </row>
    <row r="34">
      <c r="C34" s="8"/>
      <c r="I34" s="8"/>
      <c r="J34" s="8"/>
    </row>
    <row r="35">
      <c r="C35" s="8"/>
      <c r="I35" s="8"/>
      <c r="J35" s="8"/>
    </row>
    <row r="36">
      <c r="C36" s="8"/>
      <c r="I36" s="8"/>
      <c r="J36" s="8"/>
    </row>
    <row r="37">
      <c r="C37" s="8"/>
      <c r="I37" s="8"/>
      <c r="J37" s="8"/>
    </row>
    <row r="38">
      <c r="C38" s="8"/>
      <c r="I38" s="8"/>
      <c r="J38" s="8"/>
    </row>
    <row r="39">
      <c r="C39" s="8"/>
      <c r="I39" s="8"/>
      <c r="J39" s="8"/>
    </row>
    <row r="40">
      <c r="C40" s="8"/>
      <c r="I40" s="8"/>
      <c r="J40" s="8"/>
    </row>
    <row r="41">
      <c r="C41" s="8"/>
      <c r="I41" s="8"/>
      <c r="J41" s="8"/>
    </row>
    <row r="42">
      <c r="C42" s="8"/>
      <c r="I42" s="8"/>
      <c r="J42" s="8"/>
    </row>
    <row r="43">
      <c r="C43" s="8"/>
      <c r="I43" s="8"/>
      <c r="J43" s="8"/>
    </row>
    <row r="44">
      <c r="C44" s="8"/>
      <c r="I44" s="8"/>
      <c r="J44" s="8"/>
    </row>
    <row r="45">
      <c r="C45" s="8"/>
      <c r="I45" s="8"/>
      <c r="J45" s="8"/>
    </row>
    <row r="46">
      <c r="C46" s="8"/>
      <c r="I46" s="8"/>
      <c r="J46" s="8"/>
    </row>
    <row r="47">
      <c r="C47" s="8"/>
      <c r="I47" s="8"/>
      <c r="J47" s="8"/>
    </row>
    <row r="48">
      <c r="C48" s="8"/>
      <c r="I48" s="8"/>
      <c r="J48" s="8"/>
    </row>
    <row r="49">
      <c r="C49" s="8"/>
      <c r="I49" s="8"/>
      <c r="J49" s="8"/>
    </row>
    <row r="50">
      <c r="C50" s="8"/>
      <c r="I50" s="8"/>
      <c r="J50" s="8"/>
    </row>
    <row r="51">
      <c r="C51" s="8"/>
      <c r="I51" s="8"/>
      <c r="J51" s="8"/>
    </row>
    <row r="52">
      <c r="C52" s="8"/>
      <c r="I52" s="8"/>
      <c r="J52" s="8"/>
    </row>
    <row r="53">
      <c r="C53" s="8"/>
      <c r="I53" s="8"/>
      <c r="J53" s="8"/>
    </row>
    <row r="54">
      <c r="C54" s="8"/>
      <c r="I54" s="8"/>
      <c r="J54" s="8"/>
    </row>
    <row r="55">
      <c r="C55" s="8"/>
      <c r="I55" s="8"/>
      <c r="J55" s="8"/>
    </row>
    <row r="56">
      <c r="C56" s="8"/>
      <c r="I56" s="8"/>
      <c r="J56" s="8"/>
    </row>
    <row r="57">
      <c r="C57" s="8"/>
      <c r="I57" s="8"/>
      <c r="J57" s="8"/>
    </row>
    <row r="58">
      <c r="C58" s="8"/>
      <c r="I58" s="8"/>
      <c r="J58" s="8"/>
    </row>
    <row r="59">
      <c r="C59" s="8"/>
      <c r="I59" s="8"/>
      <c r="J59" s="8"/>
    </row>
    <row r="60">
      <c r="C60" s="8"/>
      <c r="I60" s="8"/>
      <c r="J60" s="8"/>
    </row>
    <row r="61">
      <c r="C61" s="8"/>
      <c r="I61" s="8"/>
      <c r="J61" s="8"/>
    </row>
    <row r="62">
      <c r="C62" s="8"/>
      <c r="I62" s="8"/>
      <c r="J62" s="8"/>
    </row>
    <row r="63">
      <c r="C63" s="8"/>
      <c r="I63" s="8"/>
      <c r="J63" s="8"/>
    </row>
    <row r="64">
      <c r="C64" s="8"/>
      <c r="I64" s="8"/>
      <c r="J64" s="8"/>
    </row>
    <row r="65">
      <c r="C65" s="8"/>
      <c r="I65" s="8"/>
      <c r="J65" s="8"/>
    </row>
    <row r="66">
      <c r="C66" s="8"/>
      <c r="I66" s="8"/>
      <c r="J66" s="8"/>
    </row>
    <row r="67">
      <c r="C67" s="8"/>
      <c r="I67" s="8"/>
      <c r="J67" s="8"/>
    </row>
    <row r="68">
      <c r="C68" s="8"/>
      <c r="I68" s="8"/>
      <c r="J68" s="8"/>
    </row>
    <row r="69">
      <c r="C69" s="8"/>
      <c r="I69" s="8"/>
      <c r="J69" s="8"/>
    </row>
    <row r="70">
      <c r="C70" s="8"/>
      <c r="I70" s="8"/>
      <c r="J70" s="8"/>
    </row>
    <row r="71">
      <c r="C71" s="8"/>
      <c r="I71" s="8"/>
      <c r="J71" s="8"/>
    </row>
    <row r="72">
      <c r="C72" s="8"/>
      <c r="I72" s="8"/>
      <c r="J72" s="8"/>
    </row>
    <row r="73">
      <c r="C73" s="8"/>
      <c r="I73" s="8"/>
      <c r="J73" s="8"/>
    </row>
    <row r="74">
      <c r="C74" s="8"/>
      <c r="I74" s="8"/>
      <c r="J74" s="8"/>
    </row>
    <row r="75">
      <c r="C75" s="8"/>
      <c r="I75" s="8"/>
      <c r="J75" s="8"/>
    </row>
    <row r="76">
      <c r="C76" s="8"/>
      <c r="I76" s="8"/>
      <c r="J76" s="8"/>
    </row>
    <row r="77">
      <c r="C77" s="8"/>
      <c r="I77" s="8"/>
      <c r="J77" s="8"/>
    </row>
    <row r="78">
      <c r="C78" s="8"/>
      <c r="I78" s="8"/>
      <c r="J78" s="8"/>
    </row>
    <row r="79">
      <c r="C79" s="8"/>
      <c r="I79" s="8"/>
      <c r="J79" s="8"/>
    </row>
    <row r="80">
      <c r="C80" s="8"/>
      <c r="I80" s="8"/>
      <c r="J80" s="8"/>
    </row>
    <row r="81">
      <c r="C81" s="8"/>
      <c r="I81" s="8"/>
      <c r="J81" s="8"/>
    </row>
    <row r="82">
      <c r="C82" s="8"/>
      <c r="I82" s="8"/>
      <c r="J82" s="8"/>
    </row>
    <row r="83">
      <c r="C83" s="8"/>
      <c r="I83" s="8"/>
      <c r="J83" s="8"/>
    </row>
    <row r="84">
      <c r="C84" s="8"/>
      <c r="I84" s="8"/>
      <c r="J84" s="8"/>
    </row>
    <row r="85">
      <c r="C85" s="8"/>
      <c r="I85" s="8"/>
      <c r="J85" s="8"/>
    </row>
    <row r="86">
      <c r="C86" s="8"/>
      <c r="I86" s="8"/>
      <c r="J86" s="8"/>
    </row>
    <row r="87">
      <c r="C87" s="8"/>
      <c r="I87" s="8"/>
      <c r="J87" s="8"/>
    </row>
    <row r="88">
      <c r="C88" s="8"/>
      <c r="I88" s="8"/>
      <c r="J88" s="8"/>
    </row>
    <row r="89">
      <c r="C89" s="8"/>
      <c r="I89" s="8"/>
      <c r="J89" s="8"/>
    </row>
    <row r="90">
      <c r="C90" s="8"/>
      <c r="I90" s="8"/>
      <c r="J90" s="8"/>
    </row>
    <row r="91">
      <c r="C91" s="8"/>
      <c r="I91" s="8"/>
      <c r="J91" s="8"/>
    </row>
    <row r="92">
      <c r="C92" s="8"/>
      <c r="I92" s="8"/>
      <c r="J92" s="8"/>
    </row>
    <row r="93">
      <c r="C93" s="8"/>
      <c r="I93" s="8"/>
      <c r="J93" s="8"/>
    </row>
    <row r="94">
      <c r="C94" s="8"/>
      <c r="I94" s="8"/>
      <c r="J94" s="8"/>
    </row>
    <row r="95">
      <c r="C95" s="8"/>
      <c r="I95" s="8"/>
      <c r="J95" s="8"/>
    </row>
    <row r="96">
      <c r="C96" s="8"/>
      <c r="I96" s="8"/>
      <c r="J96" s="8"/>
    </row>
    <row r="97">
      <c r="C97" s="8"/>
      <c r="I97" s="8"/>
      <c r="J97" s="8"/>
    </row>
    <row r="98">
      <c r="C98" s="8"/>
      <c r="I98" s="8"/>
      <c r="J98" s="8"/>
    </row>
    <row r="99">
      <c r="C99" s="8"/>
      <c r="I99" s="8"/>
      <c r="J99" s="8"/>
    </row>
    <row r="100">
      <c r="C100" s="8"/>
      <c r="I100" s="8"/>
      <c r="J100" s="8"/>
    </row>
    <row r="101">
      <c r="C101" s="8"/>
      <c r="I101" s="8"/>
      <c r="J101" s="8"/>
    </row>
    <row r="102">
      <c r="C102" s="8"/>
      <c r="I102" s="8"/>
      <c r="J102" s="8"/>
    </row>
    <row r="103">
      <c r="C103" s="8"/>
      <c r="I103" s="8"/>
      <c r="J103" s="8"/>
    </row>
    <row r="104">
      <c r="C104" s="8"/>
      <c r="I104" s="8"/>
      <c r="J104" s="8"/>
    </row>
    <row r="105">
      <c r="C105" s="8"/>
      <c r="I105" s="8"/>
      <c r="J105" s="8"/>
    </row>
    <row r="106">
      <c r="C106" s="8"/>
      <c r="I106" s="8"/>
      <c r="J106" s="8"/>
    </row>
    <row r="107">
      <c r="C107" s="8"/>
      <c r="I107" s="8"/>
      <c r="J107" s="8"/>
    </row>
    <row r="108">
      <c r="C108" s="8"/>
      <c r="I108" s="8"/>
      <c r="J108" s="8"/>
    </row>
    <row r="109">
      <c r="C109" s="8"/>
      <c r="I109" s="8"/>
      <c r="J109" s="8"/>
    </row>
    <row r="110">
      <c r="C110" s="8"/>
      <c r="I110" s="8"/>
      <c r="J110" s="8"/>
    </row>
    <row r="111">
      <c r="C111" s="8"/>
      <c r="I111" s="8"/>
      <c r="J111" s="8"/>
    </row>
    <row r="112">
      <c r="C112" s="8"/>
      <c r="I112" s="8"/>
      <c r="J112" s="8"/>
    </row>
    <row r="113">
      <c r="C113" s="8"/>
      <c r="I113" s="8"/>
      <c r="J113" s="8"/>
    </row>
    <row r="114">
      <c r="C114" s="8"/>
      <c r="I114" s="8"/>
      <c r="J114" s="8"/>
    </row>
    <row r="115">
      <c r="C115" s="8"/>
      <c r="I115" s="8"/>
      <c r="J115" s="8"/>
    </row>
    <row r="116">
      <c r="C116" s="8"/>
      <c r="I116" s="8"/>
      <c r="J116" s="8"/>
    </row>
    <row r="117">
      <c r="C117" s="8"/>
      <c r="I117" s="8"/>
      <c r="J117" s="8"/>
    </row>
    <row r="118">
      <c r="C118" s="8"/>
      <c r="I118" s="8"/>
      <c r="J118" s="8"/>
    </row>
    <row r="119">
      <c r="C119" s="8"/>
      <c r="I119" s="8"/>
      <c r="J119" s="8"/>
    </row>
    <row r="120">
      <c r="C120" s="8"/>
      <c r="I120" s="8"/>
      <c r="J120" s="8"/>
    </row>
    <row r="121">
      <c r="C121" s="8"/>
      <c r="I121" s="8"/>
      <c r="J121" s="8"/>
    </row>
    <row r="122">
      <c r="C122" s="8"/>
      <c r="I122" s="8"/>
      <c r="J122" s="8"/>
    </row>
    <row r="123">
      <c r="C123" s="8"/>
      <c r="I123" s="8"/>
      <c r="J123" s="8"/>
    </row>
    <row r="124">
      <c r="C124" s="8"/>
      <c r="I124" s="8"/>
      <c r="J124" s="8"/>
    </row>
    <row r="125">
      <c r="C125" s="8"/>
      <c r="I125" s="8"/>
      <c r="J125" s="8"/>
    </row>
    <row r="126">
      <c r="C126" s="8"/>
      <c r="I126" s="8"/>
      <c r="J126" s="8"/>
    </row>
    <row r="127">
      <c r="C127" s="8"/>
      <c r="I127" s="8"/>
      <c r="J127" s="8"/>
    </row>
    <row r="128">
      <c r="C128" s="8"/>
      <c r="I128" s="8"/>
      <c r="J128" s="8"/>
    </row>
    <row r="129">
      <c r="C129" s="8"/>
      <c r="I129" s="8"/>
      <c r="J129" s="8"/>
    </row>
    <row r="130">
      <c r="C130" s="8"/>
      <c r="I130" s="8"/>
      <c r="J130" s="8"/>
    </row>
    <row r="131">
      <c r="C131" s="8"/>
      <c r="I131" s="8"/>
      <c r="J131" s="8"/>
    </row>
    <row r="132">
      <c r="C132" s="8"/>
      <c r="I132" s="8"/>
      <c r="J132" s="8"/>
    </row>
    <row r="133">
      <c r="C133" s="8"/>
      <c r="I133" s="8"/>
      <c r="J133" s="8"/>
    </row>
    <row r="134">
      <c r="C134" s="8"/>
      <c r="I134" s="8"/>
      <c r="J134" s="8"/>
    </row>
    <row r="135">
      <c r="C135" s="8"/>
      <c r="I135" s="8"/>
      <c r="J135" s="8"/>
    </row>
    <row r="136">
      <c r="C136" s="8"/>
      <c r="I136" s="8"/>
      <c r="J136" s="8"/>
    </row>
    <row r="137">
      <c r="C137" s="8"/>
      <c r="I137" s="8"/>
      <c r="J137" s="8"/>
    </row>
    <row r="138">
      <c r="C138" s="8"/>
      <c r="I138" s="8"/>
      <c r="J138" s="8"/>
    </row>
    <row r="139">
      <c r="C139" s="8"/>
      <c r="I139" s="8"/>
      <c r="J139" s="8"/>
    </row>
    <row r="140">
      <c r="C140" s="8"/>
      <c r="I140" s="8"/>
      <c r="J140" s="8"/>
    </row>
    <row r="141">
      <c r="C141" s="8"/>
      <c r="I141" s="8"/>
      <c r="J141" s="8"/>
    </row>
    <row r="142">
      <c r="C142" s="8"/>
      <c r="I142" s="8"/>
      <c r="J142" s="8"/>
    </row>
    <row r="143">
      <c r="C143" s="8"/>
      <c r="I143" s="8"/>
      <c r="J143" s="8"/>
    </row>
    <row r="144">
      <c r="C144" s="8"/>
      <c r="I144" s="8"/>
      <c r="J144" s="8"/>
    </row>
    <row r="145">
      <c r="C145" s="8"/>
      <c r="I145" s="8"/>
      <c r="J145" s="8"/>
    </row>
    <row r="146">
      <c r="C146" s="8"/>
      <c r="I146" s="8"/>
      <c r="J146" s="8"/>
    </row>
    <row r="147">
      <c r="C147" s="8"/>
      <c r="I147" s="8"/>
      <c r="J147" s="8"/>
    </row>
    <row r="148">
      <c r="C148" s="8"/>
      <c r="I148" s="8"/>
      <c r="J148" s="8"/>
    </row>
    <row r="149">
      <c r="C149" s="8"/>
      <c r="I149" s="8"/>
      <c r="J149" s="8"/>
    </row>
    <row r="150">
      <c r="C150" s="8"/>
      <c r="I150" s="8"/>
      <c r="J150" s="8"/>
    </row>
    <row r="151">
      <c r="C151" s="8"/>
      <c r="I151" s="8"/>
      <c r="J151" s="8"/>
    </row>
    <row r="152">
      <c r="C152" s="8"/>
      <c r="I152" s="8"/>
      <c r="J152" s="8"/>
    </row>
    <row r="153">
      <c r="C153" s="8"/>
      <c r="I153" s="8"/>
      <c r="J153" s="8"/>
    </row>
    <row r="154">
      <c r="C154" s="8"/>
      <c r="I154" s="8"/>
      <c r="J154" s="8"/>
    </row>
    <row r="155">
      <c r="C155" s="8"/>
      <c r="I155" s="8"/>
      <c r="J155" s="8"/>
    </row>
    <row r="156">
      <c r="C156" s="8"/>
      <c r="I156" s="8"/>
      <c r="J156" s="8"/>
    </row>
    <row r="157">
      <c r="C157" s="8"/>
      <c r="I157" s="8"/>
      <c r="J157" s="8"/>
    </row>
    <row r="158">
      <c r="C158" s="8"/>
      <c r="I158" s="8"/>
      <c r="J158" s="8"/>
    </row>
    <row r="159">
      <c r="C159" s="8"/>
      <c r="I159" s="8"/>
      <c r="J159" s="8"/>
    </row>
    <row r="160">
      <c r="C160" s="8"/>
      <c r="I160" s="8"/>
      <c r="J160" s="8"/>
    </row>
    <row r="161">
      <c r="C161" s="8"/>
      <c r="I161" s="8"/>
      <c r="J161" s="8"/>
    </row>
    <row r="162">
      <c r="C162" s="8"/>
      <c r="I162" s="8"/>
      <c r="J162" s="8"/>
    </row>
    <row r="163">
      <c r="C163" s="8"/>
      <c r="I163" s="8"/>
      <c r="J163" s="8"/>
    </row>
    <row r="164">
      <c r="C164" s="8"/>
      <c r="I164" s="8"/>
      <c r="J164" s="8"/>
    </row>
    <row r="165">
      <c r="C165" s="8"/>
      <c r="I165" s="8"/>
      <c r="J165" s="8"/>
    </row>
    <row r="166">
      <c r="C166" s="8"/>
      <c r="I166" s="8"/>
      <c r="J166" s="8"/>
    </row>
    <row r="167">
      <c r="C167" s="8"/>
      <c r="I167" s="8"/>
      <c r="J167" s="8"/>
    </row>
    <row r="168">
      <c r="C168" s="8"/>
      <c r="I168" s="8"/>
      <c r="J168" s="8"/>
    </row>
    <row r="169">
      <c r="C169" s="8"/>
      <c r="I169" s="8"/>
      <c r="J169" s="8"/>
    </row>
    <row r="170">
      <c r="C170" s="8"/>
      <c r="I170" s="8"/>
      <c r="J170" s="8"/>
    </row>
    <row r="171">
      <c r="C171" s="8"/>
      <c r="I171" s="8"/>
      <c r="J171" s="8"/>
    </row>
    <row r="172">
      <c r="C172" s="8"/>
      <c r="I172" s="8"/>
      <c r="J172" s="8"/>
    </row>
    <row r="173">
      <c r="C173" s="8"/>
      <c r="I173" s="8"/>
      <c r="J173" s="8"/>
    </row>
    <row r="174">
      <c r="C174" s="8"/>
      <c r="I174" s="8"/>
      <c r="J174" s="8"/>
    </row>
    <row r="175">
      <c r="C175" s="8"/>
      <c r="I175" s="8"/>
      <c r="J175" s="8"/>
    </row>
    <row r="176">
      <c r="C176" s="8"/>
      <c r="I176" s="8"/>
      <c r="J176" s="8"/>
    </row>
    <row r="177">
      <c r="C177" s="8"/>
      <c r="I177" s="8"/>
      <c r="J177" s="8"/>
    </row>
    <row r="178">
      <c r="C178" s="8"/>
      <c r="I178" s="8"/>
      <c r="J178" s="8"/>
    </row>
    <row r="179">
      <c r="C179" s="8"/>
      <c r="I179" s="8"/>
      <c r="J179" s="8"/>
    </row>
    <row r="180">
      <c r="C180" s="8"/>
      <c r="I180" s="8"/>
      <c r="J180" s="8"/>
    </row>
    <row r="181">
      <c r="C181" s="8"/>
      <c r="I181" s="8"/>
      <c r="J181" s="8"/>
    </row>
    <row r="182">
      <c r="C182" s="8"/>
      <c r="I182" s="8"/>
      <c r="J182" s="8"/>
    </row>
    <row r="183">
      <c r="C183" s="8"/>
      <c r="I183" s="8"/>
      <c r="J183" s="8"/>
    </row>
    <row r="184">
      <c r="C184" s="8"/>
      <c r="I184" s="8"/>
      <c r="J184" s="8"/>
    </row>
    <row r="185">
      <c r="C185" s="8"/>
      <c r="I185" s="8"/>
      <c r="J185" s="8"/>
    </row>
    <row r="186">
      <c r="C186" s="8"/>
      <c r="I186" s="8"/>
      <c r="J186" s="8"/>
    </row>
    <row r="187">
      <c r="C187" s="8"/>
      <c r="I187" s="8"/>
      <c r="J187" s="8"/>
    </row>
    <row r="188">
      <c r="C188" s="8"/>
      <c r="I188" s="8"/>
      <c r="J188" s="8"/>
    </row>
    <row r="189">
      <c r="C189" s="8"/>
      <c r="I189" s="8"/>
      <c r="J189" s="8"/>
    </row>
    <row r="190">
      <c r="C190" s="8"/>
      <c r="I190" s="8"/>
      <c r="J190" s="8"/>
    </row>
    <row r="191">
      <c r="C191" s="8"/>
      <c r="I191" s="8"/>
      <c r="J191" s="8"/>
    </row>
    <row r="192">
      <c r="C192" s="8"/>
      <c r="I192" s="8"/>
      <c r="J192" s="8"/>
    </row>
    <row r="193">
      <c r="C193" s="8"/>
      <c r="I193" s="8"/>
      <c r="J193" s="8"/>
    </row>
    <row r="194">
      <c r="C194" s="8"/>
      <c r="I194" s="8"/>
      <c r="J194" s="8"/>
    </row>
    <row r="195">
      <c r="C195" s="8"/>
      <c r="I195" s="8"/>
      <c r="J195" s="8"/>
    </row>
    <row r="196">
      <c r="C196" s="8"/>
      <c r="I196" s="8"/>
      <c r="J196" s="8"/>
    </row>
    <row r="197">
      <c r="C197" s="8"/>
      <c r="I197" s="8"/>
      <c r="J197" s="8"/>
    </row>
    <row r="198">
      <c r="C198" s="8"/>
      <c r="I198" s="8"/>
      <c r="J198" s="8"/>
    </row>
    <row r="199">
      <c r="C199" s="8"/>
      <c r="I199" s="8"/>
      <c r="J199" s="8"/>
    </row>
    <row r="200">
      <c r="C200" s="8"/>
      <c r="I200" s="8"/>
      <c r="J200" s="8"/>
    </row>
    <row r="201">
      <c r="C201" s="8"/>
      <c r="I201" s="8"/>
      <c r="J201" s="8"/>
    </row>
    <row r="202">
      <c r="C202" s="8"/>
      <c r="I202" s="8"/>
      <c r="J202" s="8"/>
    </row>
    <row r="203">
      <c r="C203" s="8"/>
      <c r="I203" s="8"/>
      <c r="J203" s="8"/>
    </row>
    <row r="204">
      <c r="C204" s="8"/>
      <c r="I204" s="8"/>
      <c r="J204" s="8"/>
    </row>
    <row r="205">
      <c r="C205" s="8"/>
      <c r="I205" s="8"/>
      <c r="J205" s="8"/>
    </row>
    <row r="206">
      <c r="C206" s="8"/>
      <c r="I206" s="8"/>
      <c r="J206" s="8"/>
    </row>
    <row r="207">
      <c r="C207" s="8"/>
      <c r="I207" s="8"/>
      <c r="J207" s="8"/>
    </row>
    <row r="208">
      <c r="C208" s="8"/>
      <c r="I208" s="8"/>
      <c r="J208" s="8"/>
    </row>
    <row r="209">
      <c r="C209" s="8"/>
      <c r="I209" s="8"/>
      <c r="J209" s="8"/>
    </row>
    <row r="210">
      <c r="C210" s="8"/>
      <c r="I210" s="8"/>
      <c r="J210" s="8"/>
    </row>
    <row r="211">
      <c r="C211" s="8"/>
      <c r="I211" s="8"/>
      <c r="J211" s="8"/>
    </row>
    <row r="212">
      <c r="C212" s="8"/>
      <c r="I212" s="8"/>
      <c r="J212" s="8"/>
    </row>
    <row r="213">
      <c r="C213" s="8"/>
      <c r="I213" s="8"/>
      <c r="J213" s="8"/>
    </row>
    <row r="214">
      <c r="C214" s="8"/>
      <c r="I214" s="8"/>
      <c r="J214" s="8"/>
    </row>
    <row r="215">
      <c r="C215" s="8"/>
      <c r="I215" s="8"/>
      <c r="J215" s="8"/>
    </row>
    <row r="216">
      <c r="C216" s="8"/>
      <c r="I216" s="8"/>
      <c r="J216" s="8"/>
    </row>
    <row r="217">
      <c r="C217" s="8"/>
      <c r="I217" s="8"/>
      <c r="J217" s="8"/>
    </row>
    <row r="218">
      <c r="C218" s="8"/>
      <c r="I218" s="8"/>
      <c r="J218" s="8"/>
    </row>
    <row r="219">
      <c r="C219" s="8"/>
      <c r="I219" s="8"/>
      <c r="J219" s="8"/>
    </row>
    <row r="220">
      <c r="C220" s="8"/>
      <c r="I220" s="8"/>
      <c r="J220" s="8"/>
    </row>
    <row r="221">
      <c r="C221" s="8"/>
      <c r="I221" s="8"/>
      <c r="J221" s="8"/>
    </row>
    <row r="222">
      <c r="C222" s="8"/>
      <c r="I222" s="8"/>
      <c r="J222" s="8"/>
    </row>
    <row r="223">
      <c r="C223" s="8"/>
      <c r="I223" s="8"/>
      <c r="J223" s="8"/>
    </row>
    <row r="224">
      <c r="C224" s="8"/>
      <c r="I224" s="8"/>
      <c r="J224" s="8"/>
    </row>
    <row r="225">
      <c r="C225" s="8"/>
      <c r="I225" s="8"/>
      <c r="J225" s="8"/>
    </row>
    <row r="226">
      <c r="C226" s="8"/>
      <c r="I226" s="8"/>
      <c r="J226" s="8"/>
    </row>
    <row r="227">
      <c r="C227" s="8"/>
      <c r="I227" s="8"/>
      <c r="J227" s="8"/>
    </row>
    <row r="228">
      <c r="C228" s="8"/>
      <c r="I228" s="8"/>
      <c r="J228" s="8"/>
    </row>
    <row r="229">
      <c r="C229" s="8"/>
      <c r="I229" s="8"/>
      <c r="J229" s="8"/>
    </row>
    <row r="230">
      <c r="C230" s="8"/>
      <c r="I230" s="8"/>
      <c r="J230" s="8"/>
    </row>
    <row r="231">
      <c r="C231" s="8"/>
      <c r="I231" s="8"/>
      <c r="J231" s="8"/>
    </row>
    <row r="232">
      <c r="C232" s="8"/>
      <c r="I232" s="8"/>
      <c r="J232" s="8"/>
    </row>
    <row r="233">
      <c r="C233" s="8"/>
      <c r="I233" s="8"/>
      <c r="J233" s="8"/>
    </row>
    <row r="234">
      <c r="C234" s="8"/>
      <c r="I234" s="8"/>
      <c r="J234" s="8"/>
    </row>
    <row r="235">
      <c r="C235" s="8"/>
      <c r="I235" s="8"/>
      <c r="J235" s="8"/>
    </row>
    <row r="236">
      <c r="C236" s="8"/>
      <c r="I236" s="8"/>
      <c r="J236" s="8"/>
    </row>
    <row r="237">
      <c r="C237" s="8"/>
      <c r="I237" s="8"/>
      <c r="J237" s="8"/>
    </row>
    <row r="238">
      <c r="C238" s="8"/>
      <c r="I238" s="8"/>
      <c r="J238" s="8"/>
    </row>
    <row r="239">
      <c r="C239" s="8"/>
      <c r="I239" s="8"/>
      <c r="J239" s="8"/>
    </row>
    <row r="240">
      <c r="C240" s="8"/>
      <c r="I240" s="8"/>
      <c r="J240" s="8"/>
    </row>
    <row r="241">
      <c r="C241" s="8"/>
      <c r="I241" s="8"/>
      <c r="J241" s="8"/>
    </row>
    <row r="242">
      <c r="C242" s="8"/>
      <c r="I242" s="8"/>
      <c r="J242" s="8"/>
    </row>
    <row r="243">
      <c r="C243" s="8"/>
      <c r="I243" s="8"/>
      <c r="J243" s="8"/>
    </row>
    <row r="244">
      <c r="C244" s="8"/>
      <c r="I244" s="8"/>
      <c r="J244" s="8"/>
    </row>
    <row r="245">
      <c r="C245" s="8"/>
      <c r="I245" s="8"/>
      <c r="J245" s="8"/>
    </row>
    <row r="246">
      <c r="C246" s="8"/>
      <c r="I246" s="8"/>
      <c r="J246" s="8"/>
    </row>
    <row r="247">
      <c r="C247" s="8"/>
      <c r="I247" s="8"/>
      <c r="J247" s="8"/>
    </row>
    <row r="248">
      <c r="C248" s="8"/>
      <c r="I248" s="8"/>
      <c r="J248" s="8"/>
    </row>
    <row r="249">
      <c r="C249" s="8"/>
      <c r="I249" s="8"/>
      <c r="J249" s="8"/>
    </row>
    <row r="250">
      <c r="C250" s="8"/>
      <c r="I250" s="8"/>
      <c r="J250" s="8"/>
    </row>
    <row r="251">
      <c r="C251" s="8"/>
      <c r="I251" s="8"/>
      <c r="J251" s="8"/>
    </row>
    <row r="252">
      <c r="C252" s="8"/>
      <c r="I252" s="8"/>
      <c r="J252" s="8"/>
    </row>
    <row r="253">
      <c r="C253" s="8"/>
      <c r="I253" s="8"/>
      <c r="J253" s="8"/>
    </row>
    <row r="254">
      <c r="C254" s="8"/>
      <c r="I254" s="8"/>
      <c r="J254" s="8"/>
    </row>
    <row r="255">
      <c r="C255" s="8"/>
      <c r="I255" s="8"/>
      <c r="J255" s="8"/>
    </row>
    <row r="256">
      <c r="C256" s="8"/>
      <c r="I256" s="8"/>
      <c r="J256" s="8"/>
    </row>
    <row r="257">
      <c r="C257" s="8"/>
      <c r="I257" s="8"/>
      <c r="J257" s="8"/>
    </row>
    <row r="258">
      <c r="C258" s="8"/>
      <c r="I258" s="8"/>
      <c r="J258" s="8"/>
    </row>
    <row r="259">
      <c r="C259" s="8"/>
      <c r="I259" s="8"/>
      <c r="J259" s="8"/>
    </row>
    <row r="260">
      <c r="C260" s="8"/>
      <c r="I260" s="8"/>
      <c r="J260" s="8"/>
    </row>
    <row r="261">
      <c r="C261" s="8"/>
      <c r="I261" s="8"/>
      <c r="J261" s="8"/>
    </row>
    <row r="262">
      <c r="C262" s="8"/>
      <c r="I262" s="8"/>
      <c r="J262" s="8"/>
    </row>
    <row r="263">
      <c r="C263" s="8"/>
      <c r="I263" s="8"/>
      <c r="J263" s="8"/>
    </row>
    <row r="264">
      <c r="C264" s="8"/>
      <c r="I264" s="8"/>
      <c r="J264" s="8"/>
    </row>
    <row r="265">
      <c r="C265" s="8"/>
      <c r="I265" s="8"/>
      <c r="J265" s="8"/>
    </row>
    <row r="266">
      <c r="C266" s="8"/>
      <c r="I266" s="8"/>
      <c r="J266" s="8"/>
    </row>
    <row r="267">
      <c r="C267" s="8"/>
      <c r="I267" s="8"/>
      <c r="J267" s="8"/>
    </row>
    <row r="268">
      <c r="C268" s="8"/>
      <c r="I268" s="8"/>
      <c r="J268" s="8"/>
    </row>
    <row r="269">
      <c r="C269" s="8"/>
      <c r="I269" s="8"/>
      <c r="J269" s="8"/>
    </row>
    <row r="270">
      <c r="C270" s="8"/>
      <c r="I270" s="8"/>
      <c r="J270" s="8"/>
    </row>
    <row r="271">
      <c r="C271" s="8"/>
      <c r="I271" s="8"/>
      <c r="J271" s="8"/>
    </row>
    <row r="272">
      <c r="C272" s="8"/>
      <c r="I272" s="8"/>
      <c r="J272" s="8"/>
    </row>
    <row r="273">
      <c r="C273" s="8"/>
      <c r="I273" s="8"/>
      <c r="J273" s="8"/>
    </row>
    <row r="274">
      <c r="C274" s="8"/>
      <c r="I274" s="8"/>
      <c r="J274" s="8"/>
    </row>
    <row r="275">
      <c r="C275" s="8"/>
      <c r="I275" s="8"/>
      <c r="J275" s="8"/>
    </row>
    <row r="276">
      <c r="C276" s="8"/>
      <c r="I276" s="8"/>
      <c r="J276" s="8"/>
    </row>
    <row r="277">
      <c r="C277" s="8"/>
      <c r="I277" s="8"/>
      <c r="J277" s="8"/>
    </row>
    <row r="278">
      <c r="C278" s="8"/>
      <c r="I278" s="8"/>
      <c r="J278" s="8"/>
    </row>
    <row r="279">
      <c r="C279" s="8"/>
      <c r="I279" s="8"/>
      <c r="J279" s="8"/>
    </row>
    <row r="280">
      <c r="C280" s="8"/>
      <c r="I280" s="8"/>
      <c r="J280" s="8"/>
    </row>
    <row r="281">
      <c r="C281" s="8"/>
      <c r="I281" s="8"/>
      <c r="J281" s="8"/>
    </row>
    <row r="282">
      <c r="C282" s="8"/>
      <c r="I282" s="8"/>
      <c r="J282" s="8"/>
    </row>
    <row r="283">
      <c r="C283" s="8"/>
      <c r="I283" s="8"/>
      <c r="J283" s="8"/>
    </row>
    <row r="284">
      <c r="C284" s="8"/>
      <c r="I284" s="8"/>
      <c r="J284" s="8"/>
    </row>
    <row r="285">
      <c r="C285" s="8"/>
      <c r="I285" s="8"/>
      <c r="J285" s="8"/>
    </row>
    <row r="286">
      <c r="C286" s="8"/>
      <c r="I286" s="8"/>
      <c r="J286" s="8"/>
    </row>
    <row r="287">
      <c r="C287" s="8"/>
      <c r="I287" s="8"/>
      <c r="J287" s="8"/>
    </row>
    <row r="288">
      <c r="C288" s="8"/>
      <c r="I288" s="8"/>
      <c r="J288" s="8"/>
    </row>
    <row r="289">
      <c r="C289" s="8"/>
      <c r="I289" s="8"/>
      <c r="J289" s="8"/>
    </row>
    <row r="290">
      <c r="C290" s="8"/>
      <c r="I290" s="8"/>
      <c r="J290" s="8"/>
    </row>
    <row r="291">
      <c r="C291" s="8"/>
      <c r="I291" s="8"/>
      <c r="J291" s="8"/>
    </row>
    <row r="292">
      <c r="C292" s="8"/>
      <c r="I292" s="8"/>
      <c r="J292" s="8"/>
    </row>
    <row r="293">
      <c r="C293" s="8"/>
      <c r="I293" s="8"/>
      <c r="J293" s="8"/>
    </row>
    <row r="294">
      <c r="C294" s="8"/>
      <c r="I294" s="8"/>
      <c r="J294" s="8"/>
    </row>
    <row r="295">
      <c r="C295" s="8"/>
      <c r="I295" s="8"/>
      <c r="J295" s="8"/>
    </row>
    <row r="296">
      <c r="C296" s="8"/>
      <c r="I296" s="8"/>
      <c r="J296" s="8"/>
    </row>
    <row r="297">
      <c r="C297" s="8"/>
      <c r="I297" s="8"/>
      <c r="J297" s="8"/>
    </row>
    <row r="298">
      <c r="C298" s="8"/>
      <c r="I298" s="8"/>
      <c r="J298" s="8"/>
    </row>
    <row r="299">
      <c r="C299" s="8"/>
      <c r="I299" s="8"/>
      <c r="J299" s="8"/>
    </row>
    <row r="300">
      <c r="C300" s="8"/>
      <c r="I300" s="8"/>
      <c r="J300" s="8"/>
    </row>
    <row r="301">
      <c r="C301" s="8"/>
      <c r="I301" s="8"/>
      <c r="J301" s="8"/>
    </row>
    <row r="302">
      <c r="C302" s="8"/>
      <c r="I302" s="8"/>
      <c r="J302" s="8"/>
    </row>
    <row r="303">
      <c r="C303" s="8"/>
      <c r="I303" s="8"/>
      <c r="J303" s="8"/>
    </row>
    <row r="304">
      <c r="C304" s="8"/>
      <c r="I304" s="8"/>
      <c r="J304" s="8"/>
    </row>
    <row r="305">
      <c r="C305" s="8"/>
      <c r="I305" s="8"/>
      <c r="J305" s="8"/>
    </row>
    <row r="306">
      <c r="C306" s="8"/>
      <c r="I306" s="8"/>
      <c r="J306" s="8"/>
    </row>
    <row r="307">
      <c r="C307" s="8"/>
      <c r="I307" s="8"/>
      <c r="J307" s="8"/>
    </row>
    <row r="308">
      <c r="C308" s="8"/>
      <c r="I308" s="8"/>
      <c r="J308" s="8"/>
    </row>
    <row r="309">
      <c r="C309" s="8"/>
      <c r="I309" s="8"/>
      <c r="J309" s="8"/>
    </row>
    <row r="310">
      <c r="C310" s="8"/>
      <c r="I310" s="8"/>
      <c r="J310" s="8"/>
    </row>
    <row r="311">
      <c r="C311" s="8"/>
      <c r="I311" s="8"/>
      <c r="J311" s="8"/>
    </row>
    <row r="312">
      <c r="C312" s="8"/>
      <c r="I312" s="8"/>
      <c r="J312" s="8"/>
    </row>
    <row r="313">
      <c r="C313" s="8"/>
      <c r="I313" s="8"/>
      <c r="J313" s="8"/>
    </row>
    <row r="314">
      <c r="C314" s="8"/>
      <c r="I314" s="8"/>
      <c r="J314" s="8"/>
    </row>
    <row r="315">
      <c r="C315" s="8"/>
      <c r="I315" s="8"/>
      <c r="J315" s="8"/>
    </row>
    <row r="316">
      <c r="C316" s="8"/>
      <c r="I316" s="8"/>
      <c r="J316" s="8"/>
    </row>
    <row r="317">
      <c r="C317" s="8"/>
      <c r="I317" s="8"/>
      <c r="J317" s="8"/>
    </row>
    <row r="318">
      <c r="C318" s="8"/>
      <c r="I318" s="8"/>
      <c r="J318" s="8"/>
    </row>
    <row r="319">
      <c r="C319" s="8"/>
      <c r="I319" s="8"/>
      <c r="J319" s="8"/>
    </row>
    <row r="320">
      <c r="C320" s="8"/>
      <c r="I320" s="8"/>
      <c r="J320" s="8"/>
    </row>
    <row r="321">
      <c r="C321" s="8"/>
      <c r="I321" s="8"/>
      <c r="J321" s="8"/>
    </row>
    <row r="322">
      <c r="C322" s="8"/>
      <c r="I322" s="8"/>
      <c r="J322" s="8"/>
    </row>
    <row r="323">
      <c r="C323" s="8"/>
      <c r="I323" s="8"/>
      <c r="J323" s="8"/>
    </row>
    <row r="324">
      <c r="C324" s="8"/>
      <c r="I324" s="8"/>
      <c r="J324" s="8"/>
    </row>
    <row r="325">
      <c r="C325" s="8"/>
      <c r="I325" s="8"/>
      <c r="J325" s="8"/>
    </row>
    <row r="326">
      <c r="C326" s="8"/>
      <c r="I326" s="8"/>
      <c r="J326" s="8"/>
    </row>
    <row r="327">
      <c r="C327" s="8"/>
      <c r="I327" s="8"/>
      <c r="J327" s="8"/>
    </row>
    <row r="328">
      <c r="C328" s="8"/>
      <c r="I328" s="8"/>
      <c r="J328" s="8"/>
    </row>
    <row r="329">
      <c r="C329" s="8"/>
      <c r="I329" s="8"/>
      <c r="J329" s="8"/>
    </row>
    <row r="330">
      <c r="C330" s="8"/>
      <c r="I330" s="8"/>
      <c r="J330" s="8"/>
    </row>
    <row r="331">
      <c r="C331" s="8"/>
      <c r="I331" s="8"/>
      <c r="J331" s="8"/>
    </row>
    <row r="332">
      <c r="C332" s="8"/>
      <c r="I332" s="8"/>
      <c r="J332" s="8"/>
    </row>
    <row r="333">
      <c r="C333" s="8"/>
      <c r="I333" s="8"/>
      <c r="J333" s="8"/>
    </row>
    <row r="334">
      <c r="C334" s="8"/>
      <c r="I334" s="8"/>
      <c r="J334" s="8"/>
    </row>
    <row r="335">
      <c r="C335" s="8"/>
      <c r="I335" s="8"/>
      <c r="J335" s="8"/>
    </row>
    <row r="336">
      <c r="C336" s="8"/>
      <c r="I336" s="8"/>
      <c r="J336" s="8"/>
    </row>
    <row r="337">
      <c r="C337" s="8"/>
      <c r="I337" s="8"/>
      <c r="J337" s="8"/>
    </row>
    <row r="338">
      <c r="C338" s="8"/>
      <c r="I338" s="8"/>
      <c r="J338" s="8"/>
    </row>
    <row r="339">
      <c r="C339" s="8"/>
      <c r="I339" s="8"/>
      <c r="J339" s="8"/>
    </row>
    <row r="340">
      <c r="C340" s="8"/>
      <c r="I340" s="8"/>
      <c r="J340" s="8"/>
    </row>
    <row r="341">
      <c r="C341" s="8"/>
      <c r="I341" s="8"/>
      <c r="J341" s="8"/>
    </row>
    <row r="342">
      <c r="C342" s="8"/>
      <c r="I342" s="8"/>
      <c r="J342" s="8"/>
    </row>
    <row r="343">
      <c r="C343" s="8"/>
      <c r="I343" s="8"/>
      <c r="J343" s="8"/>
    </row>
    <row r="344">
      <c r="C344" s="8"/>
      <c r="I344" s="8"/>
      <c r="J344" s="8"/>
    </row>
    <row r="345">
      <c r="C345" s="8"/>
      <c r="I345" s="8"/>
      <c r="J345" s="8"/>
    </row>
    <row r="346">
      <c r="C346" s="8"/>
      <c r="I346" s="8"/>
      <c r="J346" s="8"/>
    </row>
    <row r="347">
      <c r="C347" s="8"/>
      <c r="I347" s="8"/>
      <c r="J347" s="8"/>
    </row>
    <row r="348">
      <c r="C348" s="8"/>
      <c r="I348" s="8"/>
      <c r="J348" s="8"/>
    </row>
    <row r="349">
      <c r="C349" s="8"/>
      <c r="I349" s="8"/>
      <c r="J349" s="8"/>
    </row>
    <row r="350">
      <c r="C350" s="8"/>
      <c r="I350" s="8"/>
      <c r="J350" s="8"/>
    </row>
    <row r="351">
      <c r="C351" s="8"/>
      <c r="I351" s="8"/>
      <c r="J351" s="8"/>
    </row>
    <row r="352">
      <c r="C352" s="8"/>
      <c r="I352" s="8"/>
      <c r="J352" s="8"/>
    </row>
    <row r="353">
      <c r="C353" s="8"/>
      <c r="I353" s="8"/>
      <c r="J353" s="8"/>
    </row>
    <row r="354">
      <c r="C354" s="8"/>
      <c r="I354" s="8"/>
      <c r="J354" s="8"/>
    </row>
    <row r="355">
      <c r="C355" s="8"/>
      <c r="I355" s="8"/>
      <c r="J355" s="8"/>
    </row>
    <row r="356">
      <c r="C356" s="8"/>
      <c r="I356" s="8"/>
      <c r="J356" s="8"/>
    </row>
    <row r="357">
      <c r="C357" s="8"/>
      <c r="I357" s="8"/>
      <c r="J357" s="8"/>
    </row>
    <row r="358">
      <c r="C358" s="8"/>
      <c r="I358" s="8"/>
      <c r="J358" s="8"/>
    </row>
    <row r="359">
      <c r="C359" s="8"/>
      <c r="I359" s="8"/>
      <c r="J359" s="8"/>
    </row>
    <row r="360">
      <c r="C360" s="8"/>
      <c r="I360" s="8"/>
      <c r="J360" s="8"/>
    </row>
    <row r="361">
      <c r="C361" s="8"/>
      <c r="I361" s="8"/>
      <c r="J361" s="8"/>
    </row>
    <row r="362">
      <c r="C362" s="8"/>
      <c r="I362" s="8"/>
      <c r="J362" s="8"/>
    </row>
    <row r="363">
      <c r="C363" s="8"/>
      <c r="I363" s="8"/>
      <c r="J363" s="8"/>
    </row>
    <row r="364">
      <c r="C364" s="8"/>
      <c r="I364" s="8"/>
      <c r="J364" s="8"/>
    </row>
    <row r="365">
      <c r="C365" s="8"/>
      <c r="I365" s="8"/>
      <c r="J365" s="8"/>
    </row>
    <row r="366">
      <c r="C366" s="8"/>
      <c r="I366" s="8"/>
      <c r="J366" s="8"/>
    </row>
    <row r="367">
      <c r="C367" s="8"/>
      <c r="I367" s="8"/>
      <c r="J367" s="8"/>
    </row>
    <row r="368">
      <c r="C368" s="8"/>
      <c r="I368" s="8"/>
      <c r="J368" s="8"/>
    </row>
    <row r="369">
      <c r="C369" s="8"/>
      <c r="I369" s="8"/>
      <c r="J369" s="8"/>
    </row>
    <row r="370">
      <c r="C370" s="8"/>
      <c r="I370" s="8"/>
      <c r="J370" s="8"/>
    </row>
    <row r="371">
      <c r="C371" s="8"/>
      <c r="I371" s="8"/>
      <c r="J371" s="8"/>
    </row>
    <row r="372">
      <c r="C372" s="8"/>
      <c r="I372" s="8"/>
      <c r="J372" s="8"/>
    </row>
    <row r="373">
      <c r="C373" s="8"/>
      <c r="I373" s="8"/>
      <c r="J373" s="8"/>
    </row>
    <row r="374">
      <c r="C374" s="8"/>
      <c r="I374" s="8"/>
      <c r="J374" s="8"/>
    </row>
    <row r="375">
      <c r="C375" s="8"/>
      <c r="I375" s="8"/>
      <c r="J375" s="8"/>
    </row>
    <row r="376">
      <c r="C376" s="8"/>
      <c r="I376" s="8"/>
      <c r="J376" s="8"/>
    </row>
    <row r="377">
      <c r="C377" s="8"/>
      <c r="I377" s="8"/>
      <c r="J377" s="8"/>
    </row>
    <row r="378">
      <c r="C378" s="8"/>
      <c r="I378" s="8"/>
      <c r="J378" s="8"/>
    </row>
    <row r="379">
      <c r="C379" s="8"/>
      <c r="I379" s="8"/>
      <c r="J379" s="8"/>
    </row>
    <row r="380">
      <c r="C380" s="8"/>
      <c r="I380" s="8"/>
      <c r="J380" s="8"/>
    </row>
    <row r="381">
      <c r="C381" s="8"/>
      <c r="I381" s="8"/>
      <c r="J381" s="8"/>
    </row>
    <row r="382">
      <c r="C382" s="8"/>
      <c r="I382" s="8"/>
      <c r="J382" s="8"/>
    </row>
    <row r="383">
      <c r="C383" s="8"/>
      <c r="I383" s="8"/>
      <c r="J383" s="8"/>
    </row>
    <row r="384">
      <c r="C384" s="8"/>
      <c r="I384" s="8"/>
      <c r="J384" s="8"/>
    </row>
    <row r="385">
      <c r="C385" s="8"/>
      <c r="I385" s="8"/>
      <c r="J385" s="8"/>
    </row>
    <row r="386">
      <c r="C386" s="8"/>
      <c r="I386" s="8"/>
      <c r="J386" s="8"/>
    </row>
    <row r="387">
      <c r="C387" s="8"/>
      <c r="I387" s="8"/>
      <c r="J387" s="8"/>
    </row>
    <row r="388">
      <c r="C388" s="8"/>
      <c r="I388" s="8"/>
      <c r="J388" s="8"/>
    </row>
    <row r="389">
      <c r="C389" s="8"/>
      <c r="I389" s="8"/>
      <c r="J389" s="8"/>
    </row>
    <row r="390">
      <c r="C390" s="8"/>
      <c r="I390" s="8"/>
      <c r="J390" s="8"/>
    </row>
    <row r="391">
      <c r="C391" s="8"/>
      <c r="I391" s="8"/>
      <c r="J391" s="8"/>
    </row>
    <row r="392">
      <c r="C392" s="8"/>
      <c r="I392" s="8"/>
      <c r="J392" s="8"/>
    </row>
    <row r="393">
      <c r="C393" s="8"/>
      <c r="I393" s="8"/>
      <c r="J393" s="8"/>
    </row>
    <row r="394">
      <c r="C394" s="8"/>
      <c r="I394" s="8"/>
      <c r="J394" s="8"/>
    </row>
    <row r="395">
      <c r="C395" s="8"/>
      <c r="I395" s="8"/>
      <c r="J395" s="8"/>
    </row>
    <row r="396">
      <c r="C396" s="8"/>
      <c r="I396" s="8"/>
      <c r="J396" s="8"/>
    </row>
    <row r="397">
      <c r="C397" s="8"/>
      <c r="I397" s="8"/>
      <c r="J397" s="8"/>
    </row>
    <row r="398">
      <c r="C398" s="8"/>
      <c r="I398" s="8"/>
      <c r="J398" s="8"/>
    </row>
    <row r="399">
      <c r="C399" s="8"/>
      <c r="I399" s="8"/>
      <c r="J399" s="8"/>
    </row>
    <row r="400">
      <c r="C400" s="8"/>
      <c r="I400" s="8"/>
      <c r="J400" s="8"/>
    </row>
    <row r="401">
      <c r="C401" s="8"/>
      <c r="I401" s="8"/>
      <c r="J401" s="8"/>
    </row>
    <row r="402">
      <c r="C402" s="8"/>
      <c r="I402" s="8"/>
      <c r="J402" s="8"/>
    </row>
    <row r="403">
      <c r="C403" s="8"/>
      <c r="I403" s="8"/>
      <c r="J403" s="8"/>
    </row>
    <row r="404">
      <c r="C404" s="8"/>
      <c r="I404" s="8"/>
      <c r="J404" s="8"/>
    </row>
    <row r="405">
      <c r="C405" s="8"/>
      <c r="I405" s="8"/>
      <c r="J405" s="8"/>
    </row>
    <row r="406">
      <c r="C406" s="8"/>
      <c r="I406" s="8"/>
      <c r="J406" s="8"/>
    </row>
    <row r="407">
      <c r="C407" s="8"/>
      <c r="I407" s="8"/>
      <c r="J407" s="8"/>
    </row>
    <row r="408">
      <c r="C408" s="8"/>
      <c r="I408" s="8"/>
      <c r="J408" s="8"/>
    </row>
    <row r="409">
      <c r="C409" s="8"/>
      <c r="I409" s="8"/>
      <c r="J409" s="8"/>
    </row>
    <row r="410">
      <c r="C410" s="8"/>
      <c r="I410" s="8"/>
      <c r="J410" s="8"/>
    </row>
    <row r="411">
      <c r="C411" s="8"/>
      <c r="I411" s="8"/>
      <c r="J411" s="8"/>
    </row>
    <row r="412">
      <c r="C412" s="8"/>
      <c r="I412" s="8"/>
      <c r="J412" s="8"/>
    </row>
    <row r="413">
      <c r="C413" s="8"/>
      <c r="I413" s="8"/>
      <c r="J413" s="8"/>
    </row>
    <row r="414">
      <c r="C414" s="8"/>
      <c r="I414" s="8"/>
      <c r="J414" s="8"/>
    </row>
    <row r="415">
      <c r="C415" s="8"/>
      <c r="I415" s="8"/>
      <c r="J415" s="8"/>
    </row>
    <row r="416">
      <c r="C416" s="8"/>
      <c r="I416" s="8"/>
      <c r="J416" s="8"/>
    </row>
    <row r="417">
      <c r="C417" s="8"/>
      <c r="I417" s="8"/>
      <c r="J417" s="8"/>
    </row>
    <row r="418">
      <c r="C418" s="8"/>
      <c r="I418" s="8"/>
      <c r="J418" s="8"/>
    </row>
    <row r="419">
      <c r="C419" s="8"/>
      <c r="I419" s="8"/>
      <c r="J419" s="8"/>
    </row>
    <row r="420">
      <c r="C420" s="8"/>
      <c r="I420" s="8"/>
      <c r="J420" s="8"/>
    </row>
    <row r="421">
      <c r="C421" s="8"/>
      <c r="I421" s="8"/>
      <c r="J421" s="8"/>
    </row>
    <row r="422">
      <c r="C422" s="8"/>
      <c r="I422" s="8"/>
      <c r="J422" s="8"/>
    </row>
    <row r="423">
      <c r="C423" s="8"/>
      <c r="I423" s="8"/>
      <c r="J423" s="8"/>
    </row>
    <row r="424">
      <c r="C424" s="8"/>
      <c r="I424" s="8"/>
      <c r="J424" s="8"/>
    </row>
    <row r="425">
      <c r="C425" s="8"/>
      <c r="I425" s="8"/>
      <c r="J425" s="8"/>
    </row>
    <row r="426">
      <c r="C426" s="8"/>
      <c r="I426" s="8"/>
      <c r="J426" s="8"/>
    </row>
    <row r="427">
      <c r="C427" s="8"/>
      <c r="I427" s="8"/>
      <c r="J427" s="8"/>
    </row>
    <row r="428">
      <c r="C428" s="8"/>
      <c r="I428" s="8"/>
      <c r="J428" s="8"/>
    </row>
    <row r="429">
      <c r="C429" s="8"/>
      <c r="I429" s="8"/>
      <c r="J429" s="8"/>
    </row>
    <row r="430">
      <c r="C430" s="8"/>
      <c r="I430" s="8"/>
      <c r="J430" s="8"/>
    </row>
    <row r="431">
      <c r="C431" s="8"/>
      <c r="I431" s="8"/>
      <c r="J431" s="8"/>
    </row>
    <row r="432">
      <c r="C432" s="8"/>
      <c r="I432" s="8"/>
      <c r="J432" s="8"/>
    </row>
    <row r="433">
      <c r="C433" s="8"/>
      <c r="I433" s="8"/>
      <c r="J433" s="8"/>
    </row>
    <row r="434">
      <c r="C434" s="8"/>
      <c r="I434" s="8"/>
      <c r="J434" s="8"/>
    </row>
    <row r="435">
      <c r="C435" s="8"/>
      <c r="I435" s="8"/>
      <c r="J435" s="8"/>
    </row>
    <row r="436">
      <c r="C436" s="8"/>
      <c r="I436" s="8"/>
      <c r="J436" s="8"/>
    </row>
    <row r="437">
      <c r="C437" s="8"/>
      <c r="I437" s="8"/>
      <c r="J437" s="8"/>
    </row>
    <row r="438">
      <c r="C438" s="8"/>
      <c r="I438" s="8"/>
      <c r="J438" s="8"/>
    </row>
    <row r="439">
      <c r="C439" s="8"/>
      <c r="I439" s="8"/>
      <c r="J439" s="8"/>
    </row>
    <row r="440">
      <c r="C440" s="8"/>
      <c r="I440" s="8"/>
      <c r="J440" s="8"/>
    </row>
    <row r="441">
      <c r="C441" s="8"/>
      <c r="I441" s="8"/>
      <c r="J441" s="8"/>
    </row>
    <row r="442">
      <c r="C442" s="8"/>
      <c r="I442" s="8"/>
      <c r="J442" s="8"/>
    </row>
    <row r="443">
      <c r="C443" s="8"/>
      <c r="I443" s="8"/>
      <c r="J443" s="8"/>
    </row>
    <row r="444">
      <c r="C444" s="8"/>
      <c r="I444" s="8"/>
      <c r="J444" s="8"/>
    </row>
    <row r="445">
      <c r="C445" s="8"/>
      <c r="I445" s="8"/>
      <c r="J445" s="8"/>
    </row>
    <row r="446">
      <c r="C446" s="8"/>
      <c r="I446" s="8"/>
      <c r="J446" s="8"/>
    </row>
    <row r="447">
      <c r="C447" s="8"/>
      <c r="I447" s="8"/>
      <c r="J447" s="8"/>
    </row>
    <row r="448">
      <c r="C448" s="8"/>
      <c r="I448" s="8"/>
      <c r="J448" s="8"/>
    </row>
    <row r="449">
      <c r="C449" s="8"/>
      <c r="I449" s="8"/>
      <c r="J449" s="8"/>
    </row>
    <row r="450">
      <c r="C450" s="8"/>
      <c r="I450" s="8"/>
      <c r="J450" s="8"/>
    </row>
    <row r="451">
      <c r="C451" s="8"/>
      <c r="I451" s="8"/>
      <c r="J451" s="8"/>
    </row>
    <row r="452">
      <c r="C452" s="8"/>
      <c r="I452" s="8"/>
      <c r="J452" s="8"/>
    </row>
    <row r="453">
      <c r="C453" s="8"/>
      <c r="I453" s="8"/>
      <c r="J453" s="8"/>
    </row>
    <row r="454">
      <c r="C454" s="8"/>
      <c r="I454" s="8"/>
      <c r="J454" s="8"/>
    </row>
    <row r="455">
      <c r="C455" s="8"/>
      <c r="I455" s="8"/>
      <c r="J455" s="8"/>
    </row>
    <row r="456">
      <c r="C456" s="8"/>
      <c r="I456" s="8"/>
      <c r="J456" s="8"/>
    </row>
    <row r="457">
      <c r="C457" s="8"/>
      <c r="I457" s="8"/>
      <c r="J457" s="8"/>
    </row>
    <row r="458">
      <c r="C458" s="8"/>
      <c r="I458" s="8"/>
      <c r="J458" s="8"/>
    </row>
    <row r="459">
      <c r="C459" s="8"/>
      <c r="I459" s="8"/>
      <c r="J459" s="8"/>
    </row>
    <row r="460">
      <c r="C460" s="8"/>
      <c r="I460" s="8"/>
      <c r="J460" s="8"/>
    </row>
    <row r="461">
      <c r="C461" s="8"/>
      <c r="I461" s="8"/>
      <c r="J461" s="8"/>
    </row>
    <row r="462">
      <c r="C462" s="8"/>
      <c r="I462" s="8"/>
      <c r="J462" s="8"/>
    </row>
    <row r="463">
      <c r="C463" s="8"/>
      <c r="I463" s="8"/>
      <c r="J463" s="8"/>
    </row>
    <row r="464">
      <c r="C464" s="8"/>
      <c r="I464" s="8"/>
      <c r="J464" s="8"/>
    </row>
    <row r="465">
      <c r="C465" s="8"/>
      <c r="I465" s="8"/>
      <c r="J465" s="8"/>
    </row>
    <row r="466">
      <c r="C466" s="8"/>
      <c r="I466" s="8"/>
      <c r="J466" s="8"/>
    </row>
    <row r="467">
      <c r="C467" s="8"/>
      <c r="I467" s="8"/>
      <c r="J467" s="8"/>
    </row>
    <row r="468">
      <c r="C468" s="8"/>
      <c r="I468" s="8"/>
      <c r="J468" s="8"/>
    </row>
    <row r="469">
      <c r="C469" s="8"/>
      <c r="I469" s="8"/>
      <c r="J469" s="8"/>
    </row>
    <row r="470">
      <c r="C470" s="8"/>
      <c r="I470" s="8"/>
      <c r="J470" s="8"/>
    </row>
    <row r="471">
      <c r="C471" s="8"/>
      <c r="I471" s="8"/>
      <c r="J471" s="8"/>
    </row>
    <row r="472">
      <c r="C472" s="8"/>
      <c r="I472" s="8"/>
      <c r="J472" s="8"/>
    </row>
    <row r="473">
      <c r="C473" s="8"/>
      <c r="I473" s="8"/>
      <c r="J473" s="8"/>
    </row>
    <row r="474">
      <c r="C474" s="8"/>
      <c r="I474" s="8"/>
      <c r="J474" s="8"/>
    </row>
    <row r="475">
      <c r="C475" s="8"/>
      <c r="I475" s="8"/>
      <c r="J475" s="8"/>
    </row>
    <row r="476">
      <c r="C476" s="8"/>
      <c r="I476" s="8"/>
      <c r="J476" s="8"/>
    </row>
    <row r="477">
      <c r="C477" s="8"/>
      <c r="I477" s="8"/>
      <c r="J477" s="8"/>
    </row>
    <row r="478">
      <c r="C478" s="8"/>
      <c r="I478" s="8"/>
      <c r="J478" s="8"/>
    </row>
    <row r="479">
      <c r="C479" s="8"/>
      <c r="I479" s="8"/>
      <c r="J479" s="8"/>
    </row>
    <row r="480">
      <c r="C480" s="8"/>
      <c r="I480" s="8"/>
      <c r="J480" s="8"/>
    </row>
    <row r="481">
      <c r="C481" s="8"/>
      <c r="I481" s="8"/>
      <c r="J481" s="8"/>
    </row>
    <row r="482">
      <c r="C482" s="8"/>
      <c r="I482" s="8"/>
      <c r="J482" s="8"/>
    </row>
    <row r="483">
      <c r="C483" s="8"/>
      <c r="I483" s="8"/>
      <c r="J483" s="8"/>
    </row>
    <row r="484">
      <c r="C484" s="8"/>
      <c r="I484" s="8"/>
      <c r="J484" s="8"/>
    </row>
    <row r="485">
      <c r="C485" s="8"/>
      <c r="I485" s="8"/>
      <c r="J485" s="8"/>
    </row>
    <row r="486">
      <c r="C486" s="8"/>
      <c r="I486" s="8"/>
      <c r="J486" s="8"/>
    </row>
    <row r="487">
      <c r="C487" s="8"/>
      <c r="I487" s="8"/>
      <c r="J487" s="8"/>
    </row>
    <row r="488">
      <c r="C488" s="8"/>
      <c r="I488" s="8"/>
      <c r="J488" s="8"/>
    </row>
    <row r="489">
      <c r="C489" s="8"/>
      <c r="I489" s="8"/>
      <c r="J489" s="8"/>
    </row>
    <row r="490">
      <c r="C490" s="8"/>
      <c r="I490" s="8"/>
      <c r="J490" s="8"/>
    </row>
    <row r="491">
      <c r="C491" s="8"/>
      <c r="I491" s="8"/>
      <c r="J491" s="8"/>
    </row>
    <row r="492">
      <c r="C492" s="8"/>
      <c r="I492" s="8"/>
      <c r="J492" s="8"/>
    </row>
    <row r="493">
      <c r="C493" s="8"/>
      <c r="I493" s="8"/>
      <c r="J493" s="8"/>
    </row>
    <row r="494">
      <c r="C494" s="8"/>
      <c r="I494" s="8"/>
      <c r="J494" s="8"/>
    </row>
    <row r="495">
      <c r="C495" s="8"/>
      <c r="I495" s="8"/>
      <c r="J495" s="8"/>
    </row>
    <row r="496">
      <c r="C496" s="8"/>
      <c r="I496" s="8"/>
      <c r="J496" s="8"/>
    </row>
    <row r="497">
      <c r="C497" s="8"/>
      <c r="I497" s="8"/>
      <c r="J497" s="8"/>
    </row>
    <row r="498">
      <c r="C498" s="8"/>
      <c r="I498" s="8"/>
      <c r="J498" s="8"/>
    </row>
    <row r="499">
      <c r="C499" s="8"/>
      <c r="I499" s="8"/>
      <c r="J499" s="8"/>
    </row>
    <row r="500">
      <c r="C500" s="8"/>
      <c r="I500" s="8"/>
      <c r="J500" s="8"/>
    </row>
    <row r="501">
      <c r="C501" s="8"/>
      <c r="I501" s="8"/>
      <c r="J501" s="8"/>
    </row>
    <row r="502">
      <c r="C502" s="8"/>
      <c r="I502" s="8"/>
      <c r="J502" s="8"/>
    </row>
    <row r="503">
      <c r="C503" s="8"/>
      <c r="I503" s="8"/>
      <c r="J503" s="8"/>
    </row>
    <row r="504">
      <c r="C504" s="8"/>
      <c r="I504" s="8"/>
      <c r="J504" s="8"/>
    </row>
    <row r="505">
      <c r="C505" s="8"/>
      <c r="I505" s="8"/>
      <c r="J505" s="8"/>
    </row>
    <row r="506">
      <c r="C506" s="8"/>
      <c r="I506" s="8"/>
      <c r="J506" s="8"/>
    </row>
    <row r="507">
      <c r="C507" s="8"/>
      <c r="I507" s="8"/>
      <c r="J507" s="8"/>
    </row>
    <row r="508">
      <c r="C508" s="8"/>
      <c r="I508" s="8"/>
      <c r="J508" s="8"/>
    </row>
    <row r="509">
      <c r="C509" s="8"/>
      <c r="I509" s="8"/>
      <c r="J509" s="8"/>
    </row>
    <row r="510">
      <c r="C510" s="8"/>
      <c r="I510" s="8"/>
      <c r="J510" s="8"/>
    </row>
    <row r="511">
      <c r="C511" s="8"/>
      <c r="I511" s="8"/>
      <c r="J511" s="8"/>
    </row>
    <row r="512">
      <c r="C512" s="8"/>
      <c r="I512" s="8"/>
      <c r="J512" s="8"/>
    </row>
    <row r="513">
      <c r="C513" s="8"/>
      <c r="I513" s="8"/>
      <c r="J513" s="8"/>
    </row>
    <row r="514">
      <c r="C514" s="8"/>
      <c r="I514" s="8"/>
      <c r="J514" s="8"/>
    </row>
    <row r="515">
      <c r="C515" s="8"/>
      <c r="I515" s="8"/>
      <c r="J515" s="8"/>
    </row>
    <row r="516">
      <c r="C516" s="8"/>
      <c r="I516" s="8"/>
      <c r="J516" s="8"/>
    </row>
    <row r="517">
      <c r="C517" s="8"/>
      <c r="I517" s="8"/>
      <c r="J517" s="8"/>
    </row>
    <row r="518">
      <c r="C518" s="8"/>
      <c r="I518" s="8"/>
      <c r="J518" s="8"/>
    </row>
    <row r="519">
      <c r="C519" s="8"/>
      <c r="I519" s="8"/>
      <c r="J519" s="8"/>
    </row>
    <row r="520">
      <c r="C520" s="8"/>
      <c r="I520" s="8"/>
      <c r="J520" s="8"/>
    </row>
    <row r="521">
      <c r="C521" s="8"/>
      <c r="I521" s="8"/>
      <c r="J521" s="8"/>
    </row>
    <row r="522">
      <c r="C522" s="8"/>
      <c r="I522" s="8"/>
      <c r="J522" s="8"/>
    </row>
    <row r="523">
      <c r="C523" s="8"/>
      <c r="I523" s="8"/>
      <c r="J523" s="8"/>
    </row>
    <row r="524">
      <c r="C524" s="8"/>
      <c r="I524" s="8"/>
      <c r="J524" s="8"/>
    </row>
    <row r="525">
      <c r="C525" s="8"/>
      <c r="I525" s="8"/>
      <c r="J525" s="8"/>
    </row>
    <row r="526">
      <c r="C526" s="8"/>
      <c r="I526" s="8"/>
      <c r="J526" s="8"/>
    </row>
    <row r="527">
      <c r="C527" s="8"/>
      <c r="I527" s="8"/>
      <c r="J527" s="8"/>
    </row>
    <row r="528">
      <c r="C528" s="8"/>
      <c r="I528" s="8"/>
      <c r="J528" s="8"/>
    </row>
    <row r="529">
      <c r="C529" s="8"/>
      <c r="I529" s="8"/>
      <c r="J529" s="8"/>
    </row>
    <row r="530">
      <c r="C530" s="8"/>
      <c r="I530" s="8"/>
      <c r="J530" s="8"/>
    </row>
    <row r="531">
      <c r="C531" s="8"/>
      <c r="I531" s="8"/>
      <c r="J531" s="8"/>
    </row>
    <row r="532">
      <c r="C532" s="8"/>
      <c r="I532" s="8"/>
      <c r="J532" s="8"/>
    </row>
    <row r="533">
      <c r="C533" s="8"/>
      <c r="I533" s="8"/>
      <c r="J533" s="8"/>
    </row>
    <row r="534">
      <c r="C534" s="8"/>
      <c r="I534" s="8"/>
      <c r="J534" s="8"/>
    </row>
    <row r="535">
      <c r="C535" s="8"/>
      <c r="I535" s="8"/>
      <c r="J535" s="8"/>
    </row>
    <row r="536">
      <c r="C536" s="8"/>
      <c r="I536" s="8"/>
      <c r="J536" s="8"/>
    </row>
    <row r="537">
      <c r="C537" s="8"/>
      <c r="I537" s="8"/>
      <c r="J537" s="8"/>
    </row>
    <row r="538">
      <c r="C538" s="8"/>
      <c r="I538" s="8"/>
      <c r="J538" s="8"/>
    </row>
    <row r="539">
      <c r="C539" s="8"/>
      <c r="I539" s="8"/>
      <c r="J539" s="8"/>
    </row>
    <row r="540">
      <c r="C540" s="8"/>
      <c r="I540" s="8"/>
      <c r="J540" s="8"/>
    </row>
    <row r="541">
      <c r="C541" s="8"/>
      <c r="I541" s="8"/>
      <c r="J541" s="8"/>
    </row>
    <row r="542">
      <c r="C542" s="8"/>
      <c r="I542" s="8"/>
      <c r="J542" s="8"/>
    </row>
    <row r="543">
      <c r="C543" s="8"/>
      <c r="I543" s="8"/>
      <c r="J543" s="8"/>
    </row>
    <row r="544">
      <c r="C544" s="8"/>
      <c r="I544" s="8"/>
      <c r="J544" s="8"/>
    </row>
    <row r="545">
      <c r="C545" s="8"/>
      <c r="I545" s="8"/>
      <c r="J545" s="8"/>
    </row>
    <row r="546">
      <c r="C546" s="8"/>
      <c r="I546" s="8"/>
      <c r="J546" s="8"/>
    </row>
    <row r="547">
      <c r="C547" s="8"/>
      <c r="I547" s="8"/>
      <c r="J547" s="8"/>
    </row>
    <row r="548">
      <c r="C548" s="8"/>
      <c r="I548" s="8"/>
      <c r="J548" s="8"/>
    </row>
    <row r="549">
      <c r="C549" s="8"/>
      <c r="I549" s="8"/>
      <c r="J549" s="8"/>
    </row>
    <row r="550">
      <c r="C550" s="8"/>
      <c r="I550" s="8"/>
      <c r="J550" s="8"/>
    </row>
    <row r="551">
      <c r="C551" s="8"/>
      <c r="I551" s="8"/>
      <c r="J551" s="8"/>
    </row>
    <row r="552">
      <c r="C552" s="8"/>
      <c r="I552" s="8"/>
      <c r="J552" s="8"/>
    </row>
    <row r="553">
      <c r="C553" s="8"/>
      <c r="I553" s="8"/>
      <c r="J553" s="8"/>
    </row>
    <row r="554">
      <c r="C554" s="8"/>
      <c r="I554" s="8"/>
      <c r="J554" s="8"/>
    </row>
    <row r="555">
      <c r="C555" s="8"/>
      <c r="I555" s="8"/>
      <c r="J555" s="8"/>
    </row>
    <row r="556">
      <c r="C556" s="8"/>
      <c r="I556" s="8"/>
      <c r="J556" s="8"/>
    </row>
    <row r="557">
      <c r="C557" s="8"/>
      <c r="I557" s="8"/>
      <c r="J557" s="8"/>
    </row>
    <row r="558">
      <c r="C558" s="8"/>
      <c r="I558" s="8"/>
      <c r="J558" s="8"/>
    </row>
    <row r="559">
      <c r="C559" s="8"/>
      <c r="I559" s="8"/>
      <c r="J559" s="8"/>
    </row>
    <row r="560">
      <c r="C560" s="8"/>
      <c r="I560" s="8"/>
      <c r="J560" s="8"/>
    </row>
    <row r="561">
      <c r="C561" s="8"/>
      <c r="I561" s="8"/>
      <c r="J561" s="8"/>
    </row>
    <row r="562">
      <c r="C562" s="8"/>
      <c r="I562" s="8"/>
      <c r="J562" s="8"/>
    </row>
    <row r="563">
      <c r="C563" s="8"/>
      <c r="I563" s="8"/>
      <c r="J563" s="8"/>
    </row>
    <row r="564">
      <c r="C564" s="8"/>
      <c r="I564" s="8"/>
      <c r="J564" s="8"/>
    </row>
    <row r="565">
      <c r="C565" s="8"/>
      <c r="I565" s="8"/>
      <c r="J565" s="8"/>
    </row>
    <row r="566">
      <c r="C566" s="8"/>
      <c r="I566" s="8"/>
      <c r="J566" s="8"/>
    </row>
    <row r="567">
      <c r="C567" s="8"/>
      <c r="I567" s="8"/>
      <c r="J567" s="8"/>
    </row>
    <row r="568">
      <c r="C568" s="8"/>
      <c r="I568" s="8"/>
      <c r="J568" s="8"/>
    </row>
    <row r="569">
      <c r="C569" s="8"/>
      <c r="I569" s="8"/>
      <c r="J569" s="8"/>
    </row>
    <row r="570">
      <c r="C570" s="8"/>
      <c r="I570" s="8"/>
      <c r="J570" s="8"/>
    </row>
    <row r="571">
      <c r="C571" s="8"/>
      <c r="I571" s="8"/>
      <c r="J571" s="8"/>
    </row>
    <row r="572">
      <c r="C572" s="8"/>
      <c r="I572" s="8"/>
      <c r="J572" s="8"/>
    </row>
    <row r="573">
      <c r="C573" s="8"/>
      <c r="I573" s="8"/>
      <c r="J573" s="8"/>
    </row>
    <row r="574">
      <c r="C574" s="8"/>
      <c r="I574" s="8"/>
      <c r="J574" s="8"/>
    </row>
    <row r="575">
      <c r="C575" s="8"/>
      <c r="I575" s="8"/>
      <c r="J575" s="8"/>
    </row>
    <row r="576">
      <c r="C576" s="8"/>
      <c r="I576" s="8"/>
      <c r="J576" s="8"/>
    </row>
    <row r="577">
      <c r="C577" s="8"/>
      <c r="I577" s="8"/>
      <c r="J577" s="8"/>
    </row>
    <row r="578">
      <c r="C578" s="8"/>
      <c r="I578" s="8"/>
      <c r="J578" s="8"/>
    </row>
    <row r="579">
      <c r="C579" s="8"/>
      <c r="I579" s="8"/>
      <c r="J579" s="8"/>
    </row>
    <row r="580">
      <c r="C580" s="8"/>
      <c r="I580" s="8"/>
      <c r="J580" s="8"/>
    </row>
    <row r="581">
      <c r="C581" s="8"/>
      <c r="I581" s="8"/>
      <c r="J581" s="8"/>
    </row>
    <row r="582">
      <c r="C582" s="8"/>
      <c r="I582" s="8"/>
      <c r="J582" s="8"/>
    </row>
    <row r="583">
      <c r="C583" s="8"/>
      <c r="I583" s="8"/>
      <c r="J583" s="8"/>
    </row>
    <row r="584">
      <c r="C584" s="8"/>
      <c r="I584" s="8"/>
      <c r="J584" s="8"/>
    </row>
    <row r="585">
      <c r="C585" s="8"/>
      <c r="I585" s="8"/>
      <c r="J585" s="8"/>
    </row>
    <row r="586">
      <c r="C586" s="8"/>
      <c r="I586" s="8"/>
      <c r="J586" s="8"/>
    </row>
    <row r="587">
      <c r="C587" s="8"/>
      <c r="I587" s="8"/>
      <c r="J587" s="8"/>
    </row>
    <row r="588">
      <c r="C588" s="8"/>
      <c r="I588" s="8"/>
      <c r="J588" s="8"/>
    </row>
    <row r="589">
      <c r="C589" s="8"/>
      <c r="I589" s="8"/>
      <c r="J589" s="8"/>
    </row>
    <row r="590">
      <c r="C590" s="8"/>
      <c r="I590" s="8"/>
      <c r="J590" s="8"/>
    </row>
    <row r="591">
      <c r="C591" s="8"/>
      <c r="I591" s="8"/>
      <c r="J591" s="8"/>
    </row>
    <row r="592">
      <c r="C592" s="8"/>
      <c r="I592" s="8"/>
      <c r="J592" s="8"/>
    </row>
    <row r="593">
      <c r="C593" s="8"/>
      <c r="I593" s="8"/>
      <c r="J593" s="8"/>
    </row>
    <row r="594">
      <c r="C594" s="8"/>
      <c r="I594" s="8"/>
      <c r="J594" s="8"/>
    </row>
    <row r="595">
      <c r="C595" s="8"/>
      <c r="I595" s="8"/>
      <c r="J595" s="8"/>
    </row>
    <row r="596">
      <c r="C596" s="8"/>
      <c r="I596" s="8"/>
      <c r="J596" s="8"/>
    </row>
    <row r="597">
      <c r="C597" s="8"/>
      <c r="I597" s="8"/>
      <c r="J597" s="8"/>
    </row>
    <row r="598">
      <c r="C598" s="8"/>
      <c r="I598" s="8"/>
      <c r="J598" s="8"/>
    </row>
    <row r="599">
      <c r="C599" s="8"/>
      <c r="I599" s="8"/>
      <c r="J599" s="8"/>
    </row>
    <row r="600">
      <c r="C600" s="8"/>
      <c r="I600" s="8"/>
      <c r="J600" s="8"/>
    </row>
    <row r="601">
      <c r="C601" s="8"/>
      <c r="I601" s="8"/>
      <c r="J601" s="8"/>
    </row>
    <row r="602">
      <c r="C602" s="8"/>
      <c r="I602" s="8"/>
      <c r="J602" s="8"/>
    </row>
    <row r="603">
      <c r="C603" s="8"/>
      <c r="I603" s="8"/>
      <c r="J603" s="8"/>
    </row>
    <row r="604">
      <c r="C604" s="8"/>
      <c r="I604" s="8"/>
      <c r="J604" s="8"/>
    </row>
    <row r="605">
      <c r="C605" s="8"/>
      <c r="I605" s="8"/>
      <c r="J605" s="8"/>
    </row>
    <row r="606">
      <c r="C606" s="8"/>
      <c r="I606" s="8"/>
      <c r="J606" s="8"/>
    </row>
    <row r="607">
      <c r="C607" s="8"/>
      <c r="I607" s="8"/>
      <c r="J607" s="8"/>
    </row>
    <row r="608">
      <c r="C608" s="8"/>
      <c r="I608" s="8"/>
      <c r="J608" s="8"/>
    </row>
    <row r="609">
      <c r="C609" s="8"/>
      <c r="I609" s="8"/>
      <c r="J609" s="8"/>
    </row>
    <row r="610">
      <c r="C610" s="8"/>
      <c r="I610" s="8"/>
      <c r="J610" s="8"/>
    </row>
    <row r="611">
      <c r="C611" s="8"/>
      <c r="I611" s="8"/>
      <c r="J611" s="8"/>
    </row>
    <row r="612">
      <c r="C612" s="8"/>
      <c r="I612" s="8"/>
      <c r="J612" s="8"/>
    </row>
    <row r="613">
      <c r="C613" s="8"/>
      <c r="I613" s="8"/>
      <c r="J613" s="8"/>
    </row>
    <row r="614">
      <c r="C614" s="8"/>
      <c r="I614" s="8"/>
      <c r="J614" s="8"/>
    </row>
    <row r="615">
      <c r="C615" s="8"/>
      <c r="I615" s="8"/>
      <c r="J615" s="8"/>
    </row>
    <row r="616">
      <c r="C616" s="8"/>
      <c r="I616" s="8"/>
      <c r="J616" s="8"/>
    </row>
    <row r="617">
      <c r="C617" s="8"/>
      <c r="I617" s="8"/>
      <c r="J617" s="8"/>
    </row>
    <row r="618">
      <c r="C618" s="8"/>
      <c r="I618" s="8"/>
      <c r="J618" s="8"/>
    </row>
    <row r="619">
      <c r="C619" s="8"/>
      <c r="I619" s="8"/>
      <c r="J619" s="8"/>
    </row>
    <row r="620">
      <c r="C620" s="8"/>
      <c r="I620" s="8"/>
      <c r="J620" s="8"/>
    </row>
    <row r="621">
      <c r="C621" s="8"/>
      <c r="I621" s="8"/>
      <c r="J621" s="8"/>
    </row>
    <row r="622">
      <c r="C622" s="8"/>
      <c r="I622" s="8"/>
      <c r="J622" s="8"/>
    </row>
    <row r="623">
      <c r="C623" s="8"/>
      <c r="I623" s="8"/>
      <c r="J623" s="8"/>
    </row>
    <row r="624">
      <c r="C624" s="8"/>
      <c r="I624" s="8"/>
      <c r="J624" s="8"/>
    </row>
    <row r="625">
      <c r="C625" s="8"/>
      <c r="I625" s="8"/>
      <c r="J625" s="8"/>
    </row>
    <row r="626">
      <c r="C626" s="8"/>
      <c r="I626" s="8"/>
      <c r="J626" s="8"/>
    </row>
    <row r="627">
      <c r="C627" s="8"/>
      <c r="I627" s="8"/>
      <c r="J627" s="8"/>
    </row>
    <row r="628">
      <c r="C628" s="8"/>
      <c r="I628" s="8"/>
      <c r="J628" s="8"/>
    </row>
    <row r="629">
      <c r="C629" s="8"/>
      <c r="I629" s="8"/>
      <c r="J629" s="8"/>
    </row>
    <row r="630">
      <c r="C630" s="8"/>
      <c r="I630" s="8"/>
      <c r="J630" s="8"/>
    </row>
    <row r="631">
      <c r="C631" s="8"/>
      <c r="I631" s="8"/>
      <c r="J631" s="8"/>
    </row>
    <row r="632">
      <c r="C632" s="8"/>
      <c r="I632" s="8"/>
      <c r="J632" s="8"/>
    </row>
    <row r="633">
      <c r="C633" s="8"/>
      <c r="I633" s="8"/>
      <c r="J633" s="8"/>
    </row>
    <row r="634">
      <c r="C634" s="8"/>
      <c r="I634" s="8"/>
      <c r="J634" s="8"/>
    </row>
    <row r="635">
      <c r="C635" s="8"/>
      <c r="I635" s="8"/>
      <c r="J635" s="8"/>
    </row>
    <row r="636">
      <c r="C636" s="8"/>
      <c r="I636" s="8"/>
      <c r="J636" s="8"/>
    </row>
    <row r="637">
      <c r="C637" s="8"/>
      <c r="I637" s="8"/>
      <c r="J637" s="8"/>
    </row>
    <row r="638">
      <c r="C638" s="8"/>
      <c r="I638" s="8"/>
      <c r="J638" s="8"/>
    </row>
    <row r="639">
      <c r="C639" s="8"/>
      <c r="I639" s="8"/>
      <c r="J639" s="8"/>
    </row>
    <row r="640">
      <c r="C640" s="8"/>
      <c r="I640" s="8"/>
      <c r="J640" s="8"/>
    </row>
    <row r="641">
      <c r="C641" s="8"/>
      <c r="I641" s="8"/>
      <c r="J641" s="8"/>
    </row>
    <row r="642">
      <c r="C642" s="8"/>
      <c r="I642" s="8"/>
      <c r="J642" s="8"/>
    </row>
    <row r="643">
      <c r="C643" s="8"/>
      <c r="I643" s="8"/>
      <c r="J643" s="8"/>
    </row>
    <row r="644">
      <c r="C644" s="8"/>
      <c r="I644" s="8"/>
      <c r="J644" s="8"/>
    </row>
    <row r="645">
      <c r="C645" s="8"/>
      <c r="I645" s="8"/>
      <c r="J645" s="8"/>
    </row>
    <row r="646">
      <c r="C646" s="8"/>
      <c r="I646" s="8"/>
      <c r="J646" s="8"/>
    </row>
    <row r="647">
      <c r="C647" s="8"/>
      <c r="I647" s="8"/>
      <c r="J647" s="8"/>
    </row>
    <row r="648">
      <c r="C648" s="8"/>
      <c r="I648" s="8"/>
      <c r="J648" s="8"/>
    </row>
    <row r="649">
      <c r="C649" s="8"/>
      <c r="I649" s="8"/>
      <c r="J649" s="8"/>
    </row>
    <row r="650">
      <c r="C650" s="8"/>
      <c r="I650" s="8"/>
      <c r="J650" s="8"/>
    </row>
    <row r="651">
      <c r="C651" s="8"/>
      <c r="I651" s="8"/>
      <c r="J651" s="8"/>
    </row>
    <row r="652">
      <c r="C652" s="8"/>
      <c r="I652" s="8"/>
      <c r="J652" s="8"/>
    </row>
    <row r="653">
      <c r="C653" s="8"/>
      <c r="I653" s="8"/>
      <c r="J653" s="8"/>
    </row>
    <row r="654">
      <c r="C654" s="8"/>
      <c r="I654" s="8"/>
      <c r="J654" s="8"/>
    </row>
    <row r="655">
      <c r="C655" s="8"/>
      <c r="I655" s="8"/>
      <c r="J655" s="8"/>
    </row>
    <row r="656">
      <c r="C656" s="8"/>
      <c r="I656" s="8"/>
      <c r="J656" s="8"/>
    </row>
    <row r="657">
      <c r="C657" s="8"/>
      <c r="I657" s="8"/>
      <c r="J657" s="8"/>
    </row>
    <row r="658">
      <c r="C658" s="8"/>
      <c r="I658" s="8"/>
      <c r="J658" s="8"/>
    </row>
    <row r="659">
      <c r="C659" s="8"/>
      <c r="I659" s="8"/>
      <c r="J659" s="8"/>
    </row>
    <row r="660">
      <c r="C660" s="8"/>
      <c r="I660" s="8"/>
      <c r="J660" s="8"/>
    </row>
    <row r="661">
      <c r="C661" s="8"/>
      <c r="I661" s="8"/>
      <c r="J661" s="8"/>
    </row>
    <row r="662">
      <c r="C662" s="8"/>
      <c r="I662" s="8"/>
      <c r="J662" s="8"/>
    </row>
    <row r="663">
      <c r="C663" s="8"/>
      <c r="I663" s="8"/>
      <c r="J663" s="8"/>
    </row>
    <row r="664">
      <c r="C664" s="8"/>
      <c r="I664" s="8"/>
      <c r="J664" s="8"/>
    </row>
    <row r="665">
      <c r="C665" s="8"/>
      <c r="I665" s="8"/>
      <c r="J665" s="8"/>
    </row>
    <row r="666">
      <c r="C666" s="8"/>
      <c r="I666" s="8"/>
      <c r="J666" s="8"/>
    </row>
    <row r="667">
      <c r="C667" s="8"/>
      <c r="I667" s="8"/>
      <c r="J667" s="8"/>
    </row>
    <row r="668">
      <c r="C668" s="8"/>
      <c r="I668" s="8"/>
      <c r="J668" s="8"/>
    </row>
    <row r="669">
      <c r="C669" s="8"/>
      <c r="I669" s="8"/>
      <c r="J669" s="8"/>
    </row>
    <row r="670">
      <c r="C670" s="8"/>
      <c r="I670" s="8"/>
      <c r="J670" s="8"/>
    </row>
    <row r="671">
      <c r="C671" s="8"/>
      <c r="I671" s="8"/>
      <c r="J671" s="8"/>
    </row>
    <row r="672">
      <c r="C672" s="8"/>
      <c r="I672" s="8"/>
      <c r="J672" s="8"/>
    </row>
    <row r="673">
      <c r="C673" s="8"/>
      <c r="I673" s="8"/>
      <c r="J673" s="8"/>
    </row>
    <row r="674">
      <c r="C674" s="8"/>
      <c r="I674" s="8"/>
      <c r="J674" s="8"/>
    </row>
    <row r="675">
      <c r="C675" s="8"/>
      <c r="I675" s="8"/>
      <c r="J675" s="8"/>
    </row>
    <row r="676">
      <c r="C676" s="8"/>
      <c r="I676" s="8"/>
      <c r="J676" s="8"/>
    </row>
    <row r="677">
      <c r="C677" s="8"/>
      <c r="I677" s="8"/>
      <c r="J677" s="8"/>
    </row>
    <row r="678">
      <c r="C678" s="8"/>
      <c r="I678" s="8"/>
      <c r="J678" s="8"/>
    </row>
    <row r="679">
      <c r="C679" s="8"/>
      <c r="I679" s="8"/>
      <c r="J679" s="8"/>
    </row>
    <row r="680">
      <c r="C680" s="8"/>
      <c r="I680" s="8"/>
      <c r="J680" s="8"/>
    </row>
    <row r="681">
      <c r="C681" s="8"/>
      <c r="I681" s="8"/>
      <c r="J681" s="8"/>
    </row>
    <row r="682">
      <c r="C682" s="8"/>
      <c r="I682" s="8"/>
      <c r="J682" s="8"/>
    </row>
    <row r="683">
      <c r="C683" s="8"/>
      <c r="I683" s="8"/>
      <c r="J683" s="8"/>
    </row>
    <row r="684">
      <c r="C684" s="8"/>
      <c r="I684" s="8"/>
      <c r="J684" s="8"/>
    </row>
    <row r="685">
      <c r="C685" s="8"/>
      <c r="I685" s="8"/>
      <c r="J685" s="8"/>
    </row>
    <row r="686">
      <c r="C686" s="8"/>
      <c r="I686" s="8"/>
      <c r="J686" s="8"/>
    </row>
    <row r="687">
      <c r="C687" s="8"/>
      <c r="I687" s="8"/>
      <c r="J687" s="8"/>
    </row>
    <row r="688">
      <c r="C688" s="8"/>
      <c r="I688" s="8"/>
      <c r="J688" s="8"/>
    </row>
    <row r="689">
      <c r="C689" s="8"/>
      <c r="I689" s="8"/>
      <c r="J689" s="8"/>
    </row>
    <row r="690">
      <c r="C690" s="8"/>
      <c r="I690" s="8"/>
      <c r="J690" s="8"/>
    </row>
    <row r="691">
      <c r="C691" s="8"/>
      <c r="I691" s="8"/>
      <c r="J691" s="8"/>
    </row>
    <row r="692">
      <c r="C692" s="8"/>
      <c r="I692" s="8"/>
      <c r="J692" s="8"/>
    </row>
    <row r="693">
      <c r="C693" s="8"/>
      <c r="I693" s="8"/>
      <c r="J693" s="8"/>
    </row>
    <row r="694">
      <c r="C694" s="8"/>
      <c r="I694" s="8"/>
      <c r="J694" s="8"/>
    </row>
    <row r="695">
      <c r="C695" s="8"/>
      <c r="I695" s="8"/>
      <c r="J695" s="8"/>
    </row>
    <row r="696">
      <c r="C696" s="8"/>
      <c r="I696" s="8"/>
      <c r="J696" s="8"/>
    </row>
    <row r="697">
      <c r="C697" s="8"/>
      <c r="I697" s="8"/>
      <c r="J697" s="8"/>
    </row>
    <row r="698">
      <c r="C698" s="8"/>
      <c r="I698" s="8"/>
      <c r="J698" s="8"/>
    </row>
    <row r="699">
      <c r="C699" s="8"/>
      <c r="I699" s="8"/>
      <c r="J699" s="8"/>
    </row>
    <row r="700">
      <c r="C700" s="8"/>
      <c r="I700" s="8"/>
      <c r="J700" s="8"/>
    </row>
    <row r="701">
      <c r="C701" s="8"/>
      <c r="I701" s="8"/>
      <c r="J701" s="8"/>
    </row>
    <row r="702">
      <c r="C702" s="8"/>
      <c r="I702" s="8"/>
      <c r="J702" s="8"/>
    </row>
    <row r="703">
      <c r="C703" s="8"/>
      <c r="I703" s="8"/>
      <c r="J703" s="8"/>
    </row>
    <row r="704">
      <c r="C704" s="8"/>
      <c r="I704" s="8"/>
      <c r="J704" s="8"/>
    </row>
    <row r="705">
      <c r="C705" s="8"/>
      <c r="I705" s="8"/>
      <c r="J705" s="8"/>
    </row>
    <row r="706">
      <c r="C706" s="8"/>
      <c r="I706" s="8"/>
      <c r="J706" s="8"/>
    </row>
    <row r="707">
      <c r="C707" s="8"/>
      <c r="I707" s="8"/>
      <c r="J707" s="8"/>
    </row>
    <row r="708">
      <c r="C708" s="8"/>
      <c r="I708" s="8"/>
      <c r="J708" s="8"/>
    </row>
    <row r="709">
      <c r="C709" s="8"/>
      <c r="I709" s="8"/>
      <c r="J709" s="8"/>
    </row>
    <row r="710">
      <c r="C710" s="8"/>
      <c r="I710" s="8"/>
      <c r="J710" s="8"/>
    </row>
    <row r="711">
      <c r="C711" s="8"/>
      <c r="I711" s="8"/>
      <c r="J711" s="8"/>
    </row>
    <row r="712">
      <c r="C712" s="8"/>
      <c r="I712" s="8"/>
      <c r="J712" s="8"/>
    </row>
    <row r="713">
      <c r="C713" s="8"/>
      <c r="I713" s="8"/>
      <c r="J713" s="8"/>
    </row>
    <row r="714">
      <c r="C714" s="8"/>
      <c r="I714" s="8"/>
      <c r="J714" s="8"/>
    </row>
    <row r="715">
      <c r="C715" s="8"/>
      <c r="I715" s="8"/>
      <c r="J715" s="8"/>
    </row>
    <row r="716">
      <c r="C716" s="8"/>
      <c r="I716" s="8"/>
      <c r="J716" s="8"/>
    </row>
    <row r="717">
      <c r="C717" s="8"/>
      <c r="I717" s="8"/>
      <c r="J717" s="8"/>
    </row>
    <row r="718">
      <c r="C718" s="8"/>
      <c r="I718" s="8"/>
      <c r="J718" s="8"/>
    </row>
    <row r="719">
      <c r="C719" s="8"/>
      <c r="I719" s="8"/>
      <c r="J719" s="8"/>
    </row>
    <row r="720">
      <c r="C720" s="8"/>
      <c r="I720" s="8"/>
      <c r="J720" s="8"/>
    </row>
    <row r="721">
      <c r="C721" s="8"/>
      <c r="I721" s="8"/>
      <c r="J721" s="8"/>
    </row>
    <row r="722">
      <c r="C722" s="8"/>
      <c r="I722" s="8"/>
      <c r="J722" s="8"/>
    </row>
    <row r="723">
      <c r="C723" s="8"/>
      <c r="I723" s="8"/>
      <c r="J723" s="8"/>
    </row>
    <row r="724">
      <c r="C724" s="8"/>
      <c r="I724" s="8"/>
      <c r="J724" s="8"/>
    </row>
    <row r="725">
      <c r="C725" s="8"/>
      <c r="I725" s="8"/>
      <c r="J725" s="8"/>
    </row>
    <row r="726">
      <c r="C726" s="8"/>
      <c r="I726" s="8"/>
      <c r="J726" s="8"/>
    </row>
    <row r="727">
      <c r="C727" s="8"/>
      <c r="I727" s="8"/>
      <c r="J727" s="8"/>
    </row>
    <row r="728">
      <c r="C728" s="8"/>
      <c r="I728" s="8"/>
      <c r="J728" s="8"/>
    </row>
    <row r="729">
      <c r="C729" s="8"/>
      <c r="I729" s="8"/>
      <c r="J729" s="8"/>
    </row>
    <row r="730">
      <c r="C730" s="8"/>
      <c r="I730" s="8"/>
      <c r="J730" s="8"/>
    </row>
    <row r="731">
      <c r="C731" s="8"/>
      <c r="I731" s="8"/>
      <c r="J731" s="8"/>
    </row>
    <row r="732">
      <c r="C732" s="8"/>
      <c r="I732" s="8"/>
      <c r="J732" s="8"/>
    </row>
    <row r="733">
      <c r="C733" s="8"/>
      <c r="I733" s="8"/>
      <c r="J733" s="8"/>
    </row>
    <row r="734">
      <c r="C734" s="8"/>
      <c r="I734" s="8"/>
      <c r="J734" s="8"/>
    </row>
    <row r="735">
      <c r="C735" s="8"/>
      <c r="I735" s="8"/>
      <c r="J735" s="8"/>
    </row>
    <row r="736">
      <c r="C736" s="8"/>
      <c r="I736" s="8"/>
      <c r="J736" s="8"/>
    </row>
    <row r="737">
      <c r="C737" s="8"/>
      <c r="I737" s="8"/>
      <c r="J737" s="8"/>
    </row>
    <row r="738">
      <c r="C738" s="8"/>
      <c r="I738" s="8"/>
      <c r="J738" s="8"/>
    </row>
    <row r="739">
      <c r="C739" s="8"/>
      <c r="I739" s="8"/>
      <c r="J739" s="8"/>
    </row>
    <row r="740">
      <c r="C740" s="8"/>
      <c r="I740" s="8"/>
      <c r="J740" s="8"/>
    </row>
    <row r="741">
      <c r="C741" s="8"/>
      <c r="I741" s="8"/>
      <c r="J741" s="8"/>
    </row>
    <row r="742">
      <c r="C742" s="8"/>
      <c r="I742" s="8"/>
      <c r="J742" s="8"/>
    </row>
    <row r="743">
      <c r="C743" s="8"/>
      <c r="I743" s="8"/>
      <c r="J743" s="8"/>
    </row>
    <row r="744">
      <c r="C744" s="8"/>
      <c r="I744" s="8"/>
      <c r="J744" s="8"/>
    </row>
    <row r="745">
      <c r="C745" s="8"/>
      <c r="I745" s="8"/>
      <c r="J745" s="8"/>
    </row>
    <row r="746">
      <c r="C746" s="8"/>
      <c r="I746" s="8"/>
      <c r="J746" s="8"/>
    </row>
    <row r="747">
      <c r="C747" s="8"/>
      <c r="I747" s="8"/>
      <c r="J747" s="8"/>
    </row>
    <row r="748">
      <c r="C748" s="8"/>
      <c r="I748" s="8"/>
      <c r="J748" s="8"/>
    </row>
    <row r="749">
      <c r="C749" s="8"/>
      <c r="I749" s="8"/>
      <c r="J749" s="8"/>
    </row>
    <row r="750">
      <c r="C750" s="8"/>
      <c r="I750" s="8"/>
      <c r="J750" s="8"/>
    </row>
    <row r="751">
      <c r="C751" s="8"/>
      <c r="I751" s="8"/>
      <c r="J751" s="8"/>
    </row>
    <row r="752">
      <c r="C752" s="8"/>
      <c r="I752" s="8"/>
      <c r="J752" s="8"/>
    </row>
    <row r="753">
      <c r="C753" s="8"/>
      <c r="I753" s="8"/>
      <c r="J753" s="8"/>
    </row>
    <row r="754">
      <c r="C754" s="8"/>
      <c r="I754" s="8"/>
      <c r="J754" s="8"/>
    </row>
    <row r="755">
      <c r="C755" s="8"/>
      <c r="I755" s="8"/>
      <c r="J755" s="8"/>
    </row>
    <row r="756">
      <c r="C756" s="8"/>
      <c r="I756" s="8"/>
      <c r="J756" s="8"/>
    </row>
    <row r="757">
      <c r="C757" s="8"/>
      <c r="I757" s="8"/>
      <c r="J757" s="8"/>
    </row>
    <row r="758">
      <c r="C758" s="8"/>
      <c r="I758" s="8"/>
      <c r="J758" s="8"/>
    </row>
    <row r="759">
      <c r="C759" s="8"/>
      <c r="I759" s="8"/>
      <c r="J759" s="8"/>
    </row>
    <row r="760">
      <c r="C760" s="8"/>
      <c r="I760" s="8"/>
      <c r="J760" s="8"/>
    </row>
    <row r="761">
      <c r="C761" s="8"/>
      <c r="I761" s="8"/>
      <c r="J761" s="8"/>
    </row>
    <row r="762">
      <c r="C762" s="8"/>
      <c r="I762" s="8"/>
      <c r="J762" s="8"/>
    </row>
    <row r="763">
      <c r="C763" s="8"/>
      <c r="I763" s="8"/>
      <c r="J763" s="8"/>
    </row>
    <row r="764">
      <c r="C764" s="8"/>
      <c r="I764" s="8"/>
      <c r="J764" s="8"/>
    </row>
    <row r="765">
      <c r="C765" s="8"/>
      <c r="I765" s="8"/>
      <c r="J765" s="8"/>
    </row>
    <row r="766">
      <c r="C766" s="8"/>
      <c r="I766" s="8"/>
      <c r="J766" s="8"/>
    </row>
    <row r="767">
      <c r="C767" s="8"/>
      <c r="I767" s="8"/>
      <c r="J767" s="8"/>
    </row>
    <row r="768">
      <c r="C768" s="8"/>
      <c r="I768" s="8"/>
      <c r="J768" s="8"/>
    </row>
    <row r="769">
      <c r="C769" s="8"/>
      <c r="I769" s="8"/>
      <c r="J769" s="8"/>
    </row>
    <row r="770">
      <c r="C770" s="8"/>
      <c r="I770" s="8"/>
      <c r="J770" s="8"/>
    </row>
    <row r="771">
      <c r="C771" s="8"/>
      <c r="I771" s="8"/>
      <c r="J771" s="8"/>
    </row>
    <row r="772">
      <c r="C772" s="8"/>
      <c r="I772" s="8"/>
      <c r="J772" s="8"/>
    </row>
    <row r="773">
      <c r="C773" s="8"/>
      <c r="I773" s="8"/>
      <c r="J773" s="8"/>
    </row>
    <row r="774">
      <c r="C774" s="8"/>
      <c r="I774" s="8"/>
      <c r="J774" s="8"/>
    </row>
    <row r="775">
      <c r="C775" s="8"/>
      <c r="I775" s="8"/>
      <c r="J775" s="8"/>
    </row>
    <row r="776">
      <c r="C776" s="8"/>
      <c r="I776" s="8"/>
      <c r="J776" s="8"/>
    </row>
    <row r="777">
      <c r="C777" s="8"/>
      <c r="I777" s="8"/>
      <c r="J777" s="8"/>
    </row>
    <row r="778">
      <c r="C778" s="8"/>
      <c r="I778" s="8"/>
      <c r="J778" s="8"/>
    </row>
    <row r="779">
      <c r="C779" s="8"/>
      <c r="I779" s="8"/>
      <c r="J779" s="8"/>
    </row>
    <row r="780">
      <c r="C780" s="8"/>
      <c r="I780" s="8"/>
      <c r="J780" s="8"/>
    </row>
    <row r="781">
      <c r="C781" s="8"/>
      <c r="I781" s="8"/>
      <c r="J781" s="8"/>
    </row>
    <row r="782">
      <c r="C782" s="8"/>
      <c r="I782" s="8"/>
      <c r="J782" s="8"/>
    </row>
    <row r="783">
      <c r="C783" s="8"/>
      <c r="I783" s="8"/>
      <c r="J783" s="8"/>
    </row>
    <row r="784">
      <c r="C784" s="8"/>
      <c r="I784" s="8"/>
      <c r="J784" s="8"/>
    </row>
    <row r="785">
      <c r="C785" s="8"/>
      <c r="I785" s="8"/>
      <c r="J785" s="8"/>
    </row>
    <row r="786">
      <c r="C786" s="8"/>
      <c r="I786" s="8"/>
      <c r="J786" s="8"/>
    </row>
    <row r="787">
      <c r="C787" s="8"/>
      <c r="I787" s="8"/>
      <c r="J787" s="8"/>
    </row>
    <row r="788">
      <c r="C788" s="8"/>
      <c r="I788" s="8"/>
      <c r="J788" s="8"/>
    </row>
    <row r="789">
      <c r="C789" s="8"/>
      <c r="I789" s="8"/>
      <c r="J789" s="8"/>
    </row>
    <row r="790">
      <c r="C790" s="8"/>
      <c r="I790" s="8"/>
      <c r="J790" s="8"/>
    </row>
    <row r="791">
      <c r="C791" s="8"/>
      <c r="I791" s="8"/>
      <c r="J791" s="8"/>
    </row>
    <row r="792">
      <c r="C792" s="8"/>
      <c r="I792" s="8"/>
      <c r="J792" s="8"/>
    </row>
    <row r="793">
      <c r="C793" s="8"/>
      <c r="I793" s="8"/>
      <c r="J793" s="8"/>
    </row>
    <row r="794">
      <c r="C794" s="8"/>
      <c r="I794" s="8"/>
      <c r="J794" s="8"/>
    </row>
    <row r="795">
      <c r="C795" s="8"/>
      <c r="I795" s="8"/>
      <c r="J795" s="8"/>
    </row>
    <row r="796">
      <c r="C796" s="8"/>
      <c r="I796" s="8"/>
      <c r="J796" s="8"/>
    </row>
    <row r="797">
      <c r="C797" s="8"/>
      <c r="I797" s="8"/>
      <c r="J797" s="8"/>
    </row>
    <row r="798">
      <c r="C798" s="8"/>
      <c r="I798" s="8"/>
      <c r="J798" s="8"/>
    </row>
    <row r="799">
      <c r="C799" s="8"/>
      <c r="I799" s="8"/>
      <c r="J799" s="8"/>
    </row>
    <row r="800">
      <c r="C800" s="8"/>
      <c r="I800" s="8"/>
      <c r="J800" s="8"/>
    </row>
    <row r="801">
      <c r="C801" s="8"/>
      <c r="I801" s="8"/>
      <c r="J801" s="8"/>
    </row>
    <row r="802">
      <c r="C802" s="8"/>
      <c r="I802" s="8"/>
      <c r="J802" s="8"/>
    </row>
    <row r="803">
      <c r="C803" s="8"/>
      <c r="I803" s="8"/>
      <c r="J803" s="8"/>
    </row>
    <row r="804">
      <c r="C804" s="8"/>
      <c r="I804" s="8"/>
      <c r="J804" s="8"/>
    </row>
    <row r="805">
      <c r="C805" s="8"/>
      <c r="I805" s="8"/>
      <c r="J805" s="8"/>
    </row>
    <row r="806">
      <c r="C806" s="8"/>
      <c r="I806" s="8"/>
      <c r="J806" s="8"/>
    </row>
    <row r="807">
      <c r="C807" s="8"/>
      <c r="I807" s="8"/>
      <c r="J807" s="8"/>
    </row>
    <row r="808">
      <c r="C808" s="8"/>
      <c r="I808" s="8"/>
      <c r="J808" s="8"/>
    </row>
    <row r="809">
      <c r="C809" s="8"/>
      <c r="I809" s="8"/>
      <c r="J809" s="8"/>
    </row>
    <row r="810">
      <c r="C810" s="8"/>
      <c r="I810" s="8"/>
      <c r="J810" s="8"/>
    </row>
    <row r="811">
      <c r="C811" s="8"/>
      <c r="I811" s="8"/>
      <c r="J811" s="8"/>
    </row>
    <row r="812">
      <c r="C812" s="8"/>
      <c r="I812" s="8"/>
      <c r="J812" s="8"/>
    </row>
    <row r="813">
      <c r="C813" s="8"/>
      <c r="I813" s="8"/>
      <c r="J813" s="8"/>
    </row>
    <row r="814">
      <c r="C814" s="8"/>
      <c r="I814" s="8"/>
      <c r="J814" s="8"/>
    </row>
    <row r="815">
      <c r="C815" s="8"/>
      <c r="I815" s="8"/>
      <c r="J815" s="8"/>
    </row>
    <row r="816">
      <c r="C816" s="8"/>
      <c r="I816" s="8"/>
      <c r="J816" s="8"/>
    </row>
    <row r="817">
      <c r="C817" s="8"/>
      <c r="I817" s="8"/>
      <c r="J817" s="8"/>
    </row>
    <row r="818">
      <c r="C818" s="8"/>
      <c r="I818" s="8"/>
      <c r="J818" s="8"/>
    </row>
    <row r="819">
      <c r="C819" s="8"/>
      <c r="I819" s="8"/>
      <c r="J819" s="8"/>
    </row>
    <row r="820">
      <c r="C820" s="8"/>
      <c r="I820" s="8"/>
      <c r="J820" s="8"/>
    </row>
    <row r="821">
      <c r="C821" s="8"/>
      <c r="I821" s="8"/>
      <c r="J821" s="8"/>
    </row>
    <row r="822">
      <c r="C822" s="8"/>
      <c r="I822" s="8"/>
      <c r="J822" s="8"/>
    </row>
    <row r="823">
      <c r="C823" s="8"/>
      <c r="I823" s="8"/>
      <c r="J823" s="8"/>
    </row>
    <row r="824">
      <c r="C824" s="8"/>
      <c r="I824" s="8"/>
      <c r="J824" s="8"/>
    </row>
    <row r="825">
      <c r="C825" s="8"/>
      <c r="I825" s="8"/>
      <c r="J825" s="8"/>
    </row>
    <row r="826">
      <c r="C826" s="8"/>
      <c r="I826" s="8"/>
      <c r="J826" s="8"/>
    </row>
    <row r="827">
      <c r="C827" s="8"/>
      <c r="I827" s="8"/>
      <c r="J827" s="8"/>
    </row>
    <row r="828">
      <c r="C828" s="8"/>
      <c r="I828" s="8"/>
      <c r="J828" s="8"/>
    </row>
    <row r="829">
      <c r="C829" s="8"/>
      <c r="I829" s="8"/>
      <c r="J829" s="8"/>
    </row>
    <row r="830">
      <c r="C830" s="8"/>
      <c r="I830" s="8"/>
      <c r="J830" s="8"/>
    </row>
    <row r="831">
      <c r="C831" s="8"/>
      <c r="I831" s="8"/>
      <c r="J831" s="8"/>
    </row>
    <row r="832">
      <c r="C832" s="8"/>
      <c r="I832" s="8"/>
      <c r="J832" s="8"/>
    </row>
    <row r="833">
      <c r="C833" s="8"/>
      <c r="I833" s="8"/>
      <c r="J833" s="8"/>
    </row>
    <row r="834">
      <c r="C834" s="8"/>
      <c r="I834" s="8"/>
      <c r="J834" s="8"/>
    </row>
    <row r="835">
      <c r="C835" s="8"/>
      <c r="I835" s="8"/>
      <c r="J835" s="8"/>
    </row>
    <row r="836">
      <c r="C836" s="8"/>
      <c r="I836" s="8"/>
      <c r="J836" s="8"/>
    </row>
    <row r="837">
      <c r="C837" s="8"/>
      <c r="I837" s="8"/>
      <c r="J837" s="8"/>
    </row>
    <row r="838">
      <c r="C838" s="8"/>
      <c r="I838" s="8"/>
      <c r="J838" s="8"/>
    </row>
    <row r="839">
      <c r="C839" s="8"/>
      <c r="I839" s="8"/>
      <c r="J839" s="8"/>
    </row>
    <row r="840">
      <c r="C840" s="8"/>
      <c r="I840" s="8"/>
      <c r="J840" s="8"/>
    </row>
    <row r="841">
      <c r="C841" s="8"/>
      <c r="I841" s="8"/>
      <c r="J841" s="8"/>
    </row>
    <row r="842">
      <c r="C842" s="8"/>
      <c r="I842" s="8"/>
      <c r="J842" s="8"/>
    </row>
    <row r="843">
      <c r="C843" s="8"/>
      <c r="I843" s="8"/>
      <c r="J843" s="8"/>
    </row>
    <row r="844">
      <c r="C844" s="8"/>
      <c r="I844" s="8"/>
      <c r="J844" s="8"/>
    </row>
    <row r="845">
      <c r="C845" s="8"/>
      <c r="I845" s="8"/>
      <c r="J845" s="8"/>
    </row>
    <row r="846">
      <c r="C846" s="8"/>
      <c r="I846" s="8"/>
      <c r="J846" s="8"/>
    </row>
    <row r="847">
      <c r="C847" s="8"/>
      <c r="I847" s="8"/>
      <c r="J847" s="8"/>
    </row>
    <row r="848">
      <c r="C848" s="8"/>
      <c r="I848" s="8"/>
      <c r="J848" s="8"/>
    </row>
    <row r="849">
      <c r="C849" s="8"/>
      <c r="I849" s="8"/>
      <c r="J849" s="8"/>
    </row>
    <row r="850">
      <c r="C850" s="8"/>
      <c r="I850" s="8"/>
      <c r="J850" s="8"/>
    </row>
    <row r="851">
      <c r="C851" s="8"/>
      <c r="I851" s="8"/>
      <c r="J851" s="8"/>
    </row>
    <row r="852">
      <c r="C852" s="8"/>
      <c r="I852" s="8"/>
      <c r="J852" s="8"/>
    </row>
    <row r="853">
      <c r="C853" s="8"/>
      <c r="I853" s="8"/>
      <c r="J853" s="8"/>
    </row>
    <row r="854">
      <c r="C854" s="8"/>
      <c r="I854" s="8"/>
      <c r="J854" s="8"/>
    </row>
    <row r="855">
      <c r="C855" s="8"/>
      <c r="I855" s="8"/>
      <c r="J855" s="8"/>
    </row>
    <row r="856">
      <c r="C856" s="8"/>
      <c r="I856" s="8"/>
      <c r="J856" s="8"/>
    </row>
    <row r="857">
      <c r="C857" s="8"/>
      <c r="I857" s="8"/>
      <c r="J857" s="8"/>
    </row>
    <row r="858">
      <c r="C858" s="8"/>
      <c r="I858" s="8"/>
      <c r="J858" s="8"/>
    </row>
    <row r="859">
      <c r="C859" s="8"/>
      <c r="I859" s="8"/>
      <c r="J859" s="8"/>
    </row>
    <row r="860">
      <c r="C860" s="8"/>
      <c r="I860" s="8"/>
      <c r="J860" s="8"/>
    </row>
    <row r="861">
      <c r="C861" s="8"/>
      <c r="I861" s="8"/>
      <c r="J861" s="8"/>
    </row>
    <row r="862">
      <c r="C862" s="8"/>
      <c r="I862" s="8"/>
      <c r="J862" s="8"/>
    </row>
    <row r="863">
      <c r="C863" s="8"/>
      <c r="I863" s="8"/>
      <c r="J863" s="8"/>
    </row>
    <row r="864">
      <c r="C864" s="8"/>
      <c r="I864" s="8"/>
      <c r="J864" s="8"/>
    </row>
    <row r="865">
      <c r="C865" s="8"/>
      <c r="I865" s="8"/>
      <c r="J865" s="8"/>
    </row>
    <row r="866">
      <c r="C866" s="8"/>
      <c r="I866" s="8"/>
      <c r="J866" s="8"/>
    </row>
    <row r="867">
      <c r="C867" s="8"/>
      <c r="I867" s="8"/>
      <c r="J867" s="8"/>
    </row>
    <row r="868">
      <c r="C868" s="8"/>
      <c r="I868" s="8"/>
      <c r="J868" s="8"/>
    </row>
    <row r="869">
      <c r="C869" s="8"/>
      <c r="I869" s="8"/>
      <c r="J869" s="8"/>
    </row>
    <row r="870">
      <c r="C870" s="8"/>
      <c r="I870" s="8"/>
      <c r="J870" s="8"/>
    </row>
    <row r="871">
      <c r="C871" s="8"/>
      <c r="I871" s="8"/>
      <c r="J871" s="8"/>
    </row>
    <row r="872">
      <c r="C872" s="8"/>
      <c r="I872" s="8"/>
      <c r="J872" s="8"/>
    </row>
    <row r="873">
      <c r="C873" s="8"/>
      <c r="I873" s="8"/>
      <c r="J873" s="8"/>
    </row>
    <row r="874">
      <c r="C874" s="8"/>
      <c r="I874" s="8"/>
      <c r="J874" s="8"/>
    </row>
    <row r="875">
      <c r="C875" s="8"/>
      <c r="I875" s="8"/>
      <c r="J875" s="8"/>
    </row>
    <row r="876">
      <c r="C876" s="8"/>
      <c r="I876" s="8"/>
      <c r="J876" s="8"/>
    </row>
    <row r="877">
      <c r="C877" s="8"/>
      <c r="I877" s="8"/>
      <c r="J877" s="8"/>
    </row>
    <row r="878">
      <c r="C878" s="8"/>
      <c r="I878" s="8"/>
      <c r="J878" s="8"/>
    </row>
    <row r="879">
      <c r="C879" s="8"/>
      <c r="I879" s="8"/>
      <c r="J879" s="8"/>
    </row>
    <row r="880">
      <c r="C880" s="8"/>
      <c r="I880" s="8"/>
      <c r="J880" s="8"/>
    </row>
    <row r="881">
      <c r="C881" s="8"/>
      <c r="I881" s="8"/>
      <c r="J881" s="8"/>
    </row>
    <row r="882">
      <c r="C882" s="8"/>
      <c r="I882" s="8"/>
      <c r="J882" s="8"/>
    </row>
    <row r="883">
      <c r="C883" s="8"/>
      <c r="I883" s="8"/>
      <c r="J883" s="8"/>
    </row>
    <row r="884">
      <c r="C884" s="8"/>
      <c r="I884" s="8"/>
      <c r="J884" s="8"/>
    </row>
    <row r="885">
      <c r="C885" s="8"/>
      <c r="I885" s="8"/>
      <c r="J885" s="8"/>
    </row>
    <row r="886">
      <c r="C886" s="8"/>
      <c r="I886" s="8"/>
      <c r="J886" s="8"/>
    </row>
    <row r="887">
      <c r="C887" s="8"/>
      <c r="I887" s="8"/>
      <c r="J887" s="8"/>
    </row>
    <row r="888">
      <c r="C888" s="8"/>
      <c r="I888" s="8"/>
      <c r="J888" s="8"/>
    </row>
    <row r="889">
      <c r="C889" s="8"/>
      <c r="I889" s="8"/>
      <c r="J889" s="8"/>
    </row>
    <row r="890">
      <c r="C890" s="8"/>
      <c r="I890" s="8"/>
      <c r="J890" s="8"/>
    </row>
    <row r="891">
      <c r="C891" s="8"/>
      <c r="I891" s="8"/>
      <c r="J891" s="8"/>
    </row>
    <row r="892">
      <c r="C892" s="8"/>
      <c r="I892" s="8"/>
      <c r="J892" s="8"/>
    </row>
    <row r="893">
      <c r="C893" s="8"/>
      <c r="I893" s="8"/>
      <c r="J893" s="8"/>
    </row>
    <row r="894">
      <c r="C894" s="8"/>
      <c r="I894" s="8"/>
      <c r="J894" s="8"/>
    </row>
    <row r="895">
      <c r="C895" s="8"/>
      <c r="I895" s="8"/>
      <c r="J895" s="8"/>
    </row>
    <row r="896">
      <c r="C896" s="8"/>
      <c r="I896" s="8"/>
      <c r="J896" s="8"/>
    </row>
    <row r="897">
      <c r="C897" s="8"/>
      <c r="I897" s="8"/>
      <c r="J897" s="8"/>
    </row>
    <row r="898">
      <c r="C898" s="8"/>
      <c r="I898" s="8"/>
      <c r="J898" s="8"/>
    </row>
    <row r="899">
      <c r="C899" s="8"/>
      <c r="I899" s="8"/>
      <c r="J899" s="8"/>
    </row>
    <row r="900">
      <c r="C900" s="8"/>
      <c r="I900" s="8"/>
      <c r="J900" s="8"/>
    </row>
    <row r="901">
      <c r="C901" s="8"/>
      <c r="I901" s="8"/>
      <c r="J901" s="8"/>
    </row>
    <row r="902">
      <c r="C902" s="8"/>
      <c r="I902" s="8"/>
      <c r="J902" s="8"/>
    </row>
    <row r="903">
      <c r="C903" s="8"/>
      <c r="I903" s="8"/>
      <c r="J903" s="8"/>
    </row>
    <row r="904">
      <c r="C904" s="8"/>
      <c r="I904" s="8"/>
      <c r="J904" s="8"/>
    </row>
    <row r="905">
      <c r="C905" s="8"/>
      <c r="I905" s="8"/>
      <c r="J905" s="8"/>
    </row>
    <row r="906">
      <c r="C906" s="8"/>
      <c r="I906" s="8"/>
      <c r="J906" s="8"/>
    </row>
    <row r="907">
      <c r="C907" s="8"/>
      <c r="I907" s="8"/>
      <c r="J907" s="8"/>
    </row>
    <row r="908">
      <c r="C908" s="8"/>
      <c r="I908" s="8"/>
      <c r="J908" s="8"/>
    </row>
    <row r="909">
      <c r="C909" s="8"/>
      <c r="I909" s="8"/>
      <c r="J909" s="8"/>
    </row>
    <row r="910">
      <c r="C910" s="8"/>
      <c r="I910" s="8"/>
      <c r="J910" s="8"/>
    </row>
    <row r="911">
      <c r="C911" s="8"/>
      <c r="I911" s="8"/>
      <c r="J911" s="8"/>
    </row>
    <row r="912">
      <c r="C912" s="8"/>
      <c r="I912" s="8"/>
      <c r="J912" s="8"/>
    </row>
    <row r="913">
      <c r="C913" s="8"/>
      <c r="I913" s="8"/>
      <c r="J913" s="8"/>
    </row>
    <row r="914">
      <c r="C914" s="8"/>
      <c r="I914" s="8"/>
      <c r="J914" s="8"/>
    </row>
    <row r="915">
      <c r="C915" s="8"/>
      <c r="I915" s="8"/>
      <c r="J915" s="8"/>
    </row>
    <row r="916">
      <c r="C916" s="8"/>
      <c r="I916" s="8"/>
      <c r="J916" s="8"/>
    </row>
    <row r="917">
      <c r="C917" s="8"/>
      <c r="I917" s="8"/>
      <c r="J917" s="8"/>
    </row>
    <row r="918">
      <c r="C918" s="8"/>
      <c r="I918" s="8"/>
      <c r="J918" s="8"/>
    </row>
    <row r="919">
      <c r="C919" s="8"/>
      <c r="I919" s="8"/>
      <c r="J919" s="8"/>
    </row>
    <row r="920">
      <c r="C920" s="8"/>
      <c r="I920" s="8"/>
      <c r="J920" s="8"/>
    </row>
    <row r="921">
      <c r="C921" s="8"/>
      <c r="I921" s="8"/>
      <c r="J921" s="8"/>
    </row>
    <row r="922">
      <c r="C922" s="8"/>
      <c r="I922" s="8"/>
      <c r="J922" s="8"/>
    </row>
    <row r="923">
      <c r="C923" s="8"/>
      <c r="I923" s="8"/>
      <c r="J923" s="8"/>
    </row>
    <row r="924">
      <c r="C924" s="8"/>
      <c r="I924" s="8"/>
      <c r="J924" s="8"/>
    </row>
    <row r="925">
      <c r="C925" s="8"/>
      <c r="I925" s="8"/>
      <c r="J925" s="8"/>
    </row>
    <row r="926">
      <c r="C926" s="8"/>
      <c r="I926" s="8"/>
      <c r="J926" s="8"/>
    </row>
    <row r="927">
      <c r="C927" s="8"/>
      <c r="I927" s="8"/>
      <c r="J927" s="8"/>
    </row>
    <row r="928">
      <c r="C928" s="8"/>
      <c r="I928" s="8"/>
      <c r="J928" s="8"/>
    </row>
    <row r="929">
      <c r="C929" s="8"/>
      <c r="I929" s="8"/>
      <c r="J929" s="8"/>
    </row>
    <row r="930">
      <c r="C930" s="8"/>
      <c r="I930" s="8"/>
      <c r="J930" s="8"/>
    </row>
    <row r="931">
      <c r="C931" s="8"/>
      <c r="I931" s="8"/>
      <c r="J931" s="8"/>
    </row>
    <row r="932">
      <c r="C932" s="8"/>
      <c r="I932" s="8"/>
      <c r="J932" s="8"/>
    </row>
    <row r="933">
      <c r="C933" s="8"/>
      <c r="I933" s="8"/>
      <c r="J933" s="8"/>
    </row>
    <row r="934">
      <c r="C934" s="8"/>
      <c r="I934" s="8"/>
      <c r="J934" s="8"/>
    </row>
    <row r="935">
      <c r="C935" s="8"/>
      <c r="I935" s="8"/>
      <c r="J935" s="8"/>
    </row>
    <row r="936">
      <c r="C936" s="8"/>
      <c r="I936" s="8"/>
      <c r="J936" s="8"/>
    </row>
    <row r="937">
      <c r="C937" s="8"/>
      <c r="I937" s="8"/>
      <c r="J937" s="8"/>
    </row>
    <row r="938">
      <c r="C938" s="8"/>
      <c r="I938" s="8"/>
      <c r="J938" s="8"/>
    </row>
    <row r="939">
      <c r="C939" s="8"/>
      <c r="I939" s="8"/>
      <c r="J939" s="8"/>
    </row>
    <row r="940">
      <c r="C940" s="8"/>
      <c r="I940" s="8"/>
      <c r="J940" s="8"/>
    </row>
    <row r="941">
      <c r="C941" s="8"/>
      <c r="I941" s="8"/>
      <c r="J941" s="8"/>
    </row>
    <row r="942">
      <c r="C942" s="8"/>
      <c r="I942" s="8"/>
      <c r="J942" s="8"/>
    </row>
    <row r="943">
      <c r="C943" s="8"/>
      <c r="I943" s="8"/>
      <c r="J943" s="8"/>
    </row>
    <row r="944">
      <c r="C944" s="8"/>
      <c r="I944" s="8"/>
      <c r="J944" s="8"/>
    </row>
    <row r="945">
      <c r="C945" s="8"/>
      <c r="I945" s="8"/>
      <c r="J945" s="8"/>
    </row>
    <row r="946">
      <c r="C946" s="8"/>
      <c r="I946" s="8"/>
      <c r="J946" s="8"/>
    </row>
    <row r="947">
      <c r="C947" s="8"/>
      <c r="I947" s="8"/>
      <c r="J947" s="8"/>
    </row>
    <row r="948">
      <c r="C948" s="8"/>
      <c r="I948" s="8"/>
      <c r="J948" s="8"/>
    </row>
    <row r="949">
      <c r="C949" s="8"/>
      <c r="I949" s="8"/>
      <c r="J949" s="8"/>
    </row>
    <row r="950">
      <c r="C950" s="8"/>
      <c r="I950" s="8"/>
      <c r="J950" s="8"/>
    </row>
    <row r="951">
      <c r="C951" s="8"/>
      <c r="I951" s="8"/>
      <c r="J951" s="8"/>
    </row>
    <row r="952">
      <c r="C952" s="8"/>
      <c r="I952" s="8"/>
      <c r="J952" s="8"/>
    </row>
    <row r="953">
      <c r="C953" s="8"/>
      <c r="I953" s="8"/>
      <c r="J953" s="8"/>
    </row>
    <row r="954">
      <c r="C954" s="8"/>
      <c r="I954" s="8"/>
      <c r="J954" s="8"/>
    </row>
    <row r="955">
      <c r="C955" s="8"/>
      <c r="I955" s="8"/>
      <c r="J955" s="8"/>
    </row>
    <row r="956">
      <c r="C956" s="8"/>
      <c r="I956" s="8"/>
      <c r="J956" s="8"/>
    </row>
    <row r="957">
      <c r="C957" s="8"/>
      <c r="I957" s="8"/>
      <c r="J957" s="8"/>
    </row>
    <row r="958">
      <c r="C958" s="8"/>
      <c r="I958" s="8"/>
      <c r="J958" s="8"/>
    </row>
    <row r="959">
      <c r="C959" s="8"/>
      <c r="I959" s="8"/>
      <c r="J959" s="8"/>
    </row>
    <row r="960">
      <c r="C960" s="8"/>
      <c r="I960" s="8"/>
      <c r="J960" s="8"/>
    </row>
    <row r="961">
      <c r="C961" s="8"/>
      <c r="I961" s="8"/>
      <c r="J961" s="8"/>
    </row>
    <row r="962">
      <c r="C962" s="8"/>
      <c r="I962" s="8"/>
      <c r="J962" s="8"/>
    </row>
    <row r="963">
      <c r="C963" s="8"/>
      <c r="I963" s="8"/>
      <c r="J963" s="8"/>
    </row>
    <row r="964">
      <c r="C964" s="8"/>
      <c r="I964" s="8"/>
      <c r="J964" s="8"/>
    </row>
    <row r="965">
      <c r="C965" s="8"/>
      <c r="I965" s="8"/>
      <c r="J965" s="8"/>
    </row>
    <row r="966">
      <c r="C966" s="8"/>
      <c r="I966" s="8"/>
      <c r="J966" s="8"/>
    </row>
    <row r="967">
      <c r="C967" s="8"/>
      <c r="I967" s="8"/>
      <c r="J967" s="8"/>
    </row>
    <row r="968">
      <c r="C968" s="8"/>
      <c r="I968" s="8"/>
      <c r="J968" s="8"/>
    </row>
    <row r="969">
      <c r="C969" s="8"/>
      <c r="I969" s="8"/>
      <c r="J969" s="8"/>
    </row>
    <row r="970">
      <c r="C970" s="8"/>
      <c r="I970" s="8"/>
      <c r="J970" s="8"/>
    </row>
    <row r="971">
      <c r="C971" s="8"/>
      <c r="I971" s="8"/>
      <c r="J971" s="8"/>
    </row>
    <row r="972">
      <c r="C972" s="8"/>
      <c r="I972" s="8"/>
      <c r="J972" s="8"/>
    </row>
    <row r="973">
      <c r="C973" s="8"/>
      <c r="I973" s="8"/>
      <c r="J973" s="8"/>
    </row>
    <row r="974">
      <c r="C974" s="8"/>
      <c r="I974" s="8"/>
      <c r="J974" s="8"/>
    </row>
    <row r="975">
      <c r="C975" s="8"/>
      <c r="I975" s="8"/>
      <c r="J975" s="8"/>
    </row>
    <row r="976">
      <c r="C976" s="8"/>
      <c r="I976" s="8"/>
      <c r="J976" s="8"/>
    </row>
    <row r="977">
      <c r="C977" s="8"/>
      <c r="I977" s="8"/>
      <c r="J977" s="8"/>
    </row>
    <row r="978">
      <c r="C978" s="8"/>
      <c r="I978" s="8"/>
      <c r="J978" s="8"/>
    </row>
    <row r="979">
      <c r="C979" s="8"/>
      <c r="I979" s="8"/>
      <c r="J979" s="8"/>
    </row>
    <row r="980">
      <c r="C980" s="8"/>
      <c r="I980" s="8"/>
      <c r="J980" s="8"/>
    </row>
    <row r="981">
      <c r="C981" s="8"/>
      <c r="I981" s="8"/>
      <c r="J981" s="8"/>
    </row>
    <row r="982">
      <c r="C982" s="8"/>
      <c r="I982" s="8"/>
      <c r="J982" s="8"/>
    </row>
    <row r="983">
      <c r="C983" s="8"/>
      <c r="I983" s="8"/>
      <c r="J983" s="8"/>
    </row>
    <row r="984">
      <c r="C984" s="8"/>
      <c r="I984" s="8"/>
      <c r="J984" s="8"/>
    </row>
    <row r="985">
      <c r="C985" s="8"/>
      <c r="I985" s="8"/>
      <c r="J985" s="8"/>
    </row>
    <row r="986">
      <c r="C986" s="8"/>
      <c r="I986" s="8"/>
      <c r="J986" s="8"/>
    </row>
    <row r="987">
      <c r="C987" s="8"/>
      <c r="I987" s="8"/>
      <c r="J987" s="8"/>
    </row>
    <row r="988">
      <c r="C988" s="8"/>
      <c r="I988" s="8"/>
      <c r="J988" s="8"/>
    </row>
    <row r="989">
      <c r="C989" s="8"/>
      <c r="I989" s="8"/>
      <c r="J989" s="8"/>
    </row>
    <row r="990">
      <c r="C990" s="8"/>
      <c r="I990" s="8"/>
      <c r="J990" s="8"/>
    </row>
    <row r="991">
      <c r="C991" s="8"/>
      <c r="I991" s="8"/>
      <c r="J991" s="8"/>
    </row>
    <row r="992">
      <c r="C992" s="8"/>
      <c r="I992" s="8"/>
      <c r="J992" s="8"/>
    </row>
    <row r="993">
      <c r="C993" s="8"/>
      <c r="I993" s="8"/>
      <c r="J993" s="8"/>
    </row>
    <row r="994">
      <c r="C994" s="8"/>
      <c r="I994" s="8"/>
      <c r="J994" s="8"/>
    </row>
    <row r="995">
      <c r="C995" s="8"/>
      <c r="I995" s="8"/>
      <c r="J995" s="8"/>
    </row>
    <row r="996">
      <c r="C996" s="8"/>
      <c r="I996" s="8"/>
      <c r="J996" s="8"/>
    </row>
    <row r="997">
      <c r="C997" s="8"/>
      <c r="I997" s="8"/>
      <c r="J997" s="8"/>
    </row>
    <row r="998">
      <c r="C998" s="8"/>
      <c r="I998" s="8"/>
      <c r="J998" s="8"/>
    </row>
    <row r="999">
      <c r="C999" s="8"/>
      <c r="I999" s="8"/>
      <c r="J999" s="8"/>
    </row>
    <row r="1000">
      <c r="C1000" s="8"/>
      <c r="I1000" s="8"/>
      <c r="J1000" s="8"/>
    </row>
  </sheetData>
  <mergeCells count="1">
    <mergeCell ref="A1:O2"/>
  </mergeCells>
  <dataValidations>
    <dataValidation type="list" allowBlank="1" showErrorMessage="1" sqref="B3">
      <formula1>"Mout,Hop,Gist,Suiker,Fruit,Adjunct"</formula1>
    </dataValidation>
    <dataValidation type="list" allowBlank="1" showErrorMessage="1" sqref="J6:J1000">
      <formula1>Uitleg!$C$2:$C$5</formula1>
    </dataValidation>
    <dataValidation type="list" allowBlank="1" showErrorMessage="1" sqref="I6:I1000">
      <formula1>Uitleg!$B$2:$B$7</formula1>
    </dataValidation>
    <dataValidation type="list" allowBlank="1" showErrorMessage="1" sqref="C6:C1000">
      <formula1>Uitleg!$A$2:$A$3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63"/>
    <col customWidth="1" min="3" max="3" width="14.0"/>
    <col customWidth="1" min="7" max="11" width="13.5"/>
    <col customWidth="1" min="12" max="12" width="3.38"/>
    <col customWidth="1" min="15" max="15" width="13.88"/>
  </cols>
  <sheetData>
    <row r="1">
      <c r="A1" s="1" t="s">
        <v>149</v>
      </c>
    </row>
    <row r="3">
      <c r="A3" s="2" t="s">
        <v>559</v>
      </c>
      <c r="B3" s="2" t="s">
        <v>498</v>
      </c>
      <c r="M3" s="2" t="s">
        <v>560</v>
      </c>
      <c r="N3" s="8">
        <f>SUM(H6:H1000) - SUM(O6:O1000)</f>
        <v>1</v>
      </c>
      <c r="O3" s="2" t="s">
        <v>561</v>
      </c>
    </row>
    <row r="5">
      <c r="A5" s="22" t="s">
        <v>104</v>
      </c>
      <c r="B5" s="22" t="s">
        <v>105</v>
      </c>
      <c r="C5" s="22" t="s">
        <v>106</v>
      </c>
      <c r="D5" s="22" t="s">
        <v>107</v>
      </c>
      <c r="E5" s="22" t="s">
        <v>108</v>
      </c>
      <c r="F5" s="22" t="s">
        <v>111</v>
      </c>
      <c r="G5" s="22" t="s">
        <v>112</v>
      </c>
      <c r="H5" s="22" t="s">
        <v>113</v>
      </c>
      <c r="I5" s="22" t="s">
        <v>115</v>
      </c>
      <c r="J5" s="22" t="s">
        <v>116</v>
      </c>
      <c r="K5" s="22" t="s">
        <v>117</v>
      </c>
      <c r="M5" s="23" t="s">
        <v>118</v>
      </c>
      <c r="N5" s="23" t="s">
        <v>107</v>
      </c>
      <c r="O5" s="23" t="s">
        <v>113</v>
      </c>
      <c r="P5" s="23" t="s">
        <v>111</v>
      </c>
    </row>
    <row r="6">
      <c r="A6" s="2">
        <v>3.72012518E8</v>
      </c>
      <c r="B6" s="2">
        <v>202305.0</v>
      </c>
      <c r="C6" s="2" t="s">
        <v>130</v>
      </c>
      <c r="D6" s="24">
        <v>45013.0</v>
      </c>
      <c r="E6" s="2" t="s">
        <v>131</v>
      </c>
      <c r="F6" s="2" t="s">
        <v>150</v>
      </c>
      <c r="G6" s="27">
        <v>45521.0</v>
      </c>
      <c r="H6" s="2">
        <v>5.0</v>
      </c>
      <c r="I6" s="8"/>
      <c r="J6" s="8"/>
      <c r="K6" s="53"/>
      <c r="M6" s="2" t="s">
        <v>66</v>
      </c>
      <c r="N6" s="24">
        <v>45020.0</v>
      </c>
      <c r="O6" s="2">
        <v>5.0</v>
      </c>
      <c r="P6" s="2" t="s">
        <v>150</v>
      </c>
    </row>
    <row r="7">
      <c r="A7" s="2">
        <v>3.72012518E8</v>
      </c>
      <c r="B7" s="2">
        <v>202305.0</v>
      </c>
      <c r="C7" s="2" t="s">
        <v>130</v>
      </c>
      <c r="D7" s="24">
        <v>45013.0</v>
      </c>
      <c r="E7" s="2" t="s">
        <v>131</v>
      </c>
      <c r="F7" s="2" t="s">
        <v>151</v>
      </c>
      <c r="G7" s="29">
        <v>45528.0</v>
      </c>
      <c r="H7" s="2">
        <v>1.0</v>
      </c>
      <c r="I7" s="8"/>
      <c r="J7" s="8"/>
      <c r="N7" s="24"/>
    </row>
    <row r="8">
      <c r="C8" s="28"/>
      <c r="D8" s="28"/>
      <c r="E8" s="28"/>
      <c r="F8" s="28"/>
      <c r="I8" s="8"/>
      <c r="J8" s="8"/>
      <c r="N8" s="28"/>
    </row>
    <row r="9">
      <c r="C9" s="28"/>
      <c r="D9" s="28"/>
      <c r="E9" s="28"/>
      <c r="F9" s="28"/>
      <c r="I9" s="8"/>
      <c r="J9" s="8"/>
      <c r="N9" s="28"/>
    </row>
    <row r="10">
      <c r="C10" s="28"/>
      <c r="D10" s="28"/>
      <c r="E10" s="28"/>
      <c r="F10" s="28"/>
      <c r="I10" s="8"/>
      <c r="J10" s="8"/>
      <c r="N10" s="28"/>
    </row>
    <row r="11">
      <c r="C11" s="28"/>
      <c r="D11" s="28"/>
      <c r="E11" s="28"/>
      <c r="F11" s="28"/>
      <c r="I11" s="8"/>
      <c r="J11" s="8"/>
      <c r="N11" s="28"/>
    </row>
    <row r="12">
      <c r="C12" s="28"/>
      <c r="D12" s="28"/>
      <c r="E12" s="28"/>
      <c r="F12" s="28"/>
      <c r="I12" s="8"/>
      <c r="J12" s="8"/>
      <c r="N12" s="28"/>
    </row>
    <row r="13">
      <c r="C13" s="28"/>
      <c r="D13" s="28"/>
      <c r="E13" s="28"/>
      <c r="F13" s="28"/>
      <c r="I13" s="8"/>
      <c r="J13" s="8"/>
      <c r="N13" s="28"/>
    </row>
    <row r="14">
      <c r="C14" s="28"/>
      <c r="D14" s="28"/>
      <c r="E14" s="28"/>
      <c r="F14" s="28"/>
      <c r="I14" s="8"/>
      <c r="J14" s="8"/>
      <c r="N14" s="28"/>
    </row>
    <row r="15">
      <c r="C15" s="28"/>
      <c r="D15" s="28"/>
      <c r="E15" s="28"/>
      <c r="F15" s="28"/>
      <c r="I15" s="8"/>
      <c r="J15" s="8"/>
      <c r="N15" s="28"/>
    </row>
    <row r="16">
      <c r="C16" s="28"/>
      <c r="D16" s="28"/>
      <c r="E16" s="28"/>
      <c r="F16" s="28"/>
      <c r="I16" s="8"/>
      <c r="J16" s="8"/>
      <c r="N16" s="28"/>
    </row>
    <row r="17">
      <c r="C17" s="28"/>
      <c r="D17" s="28"/>
      <c r="E17" s="28"/>
      <c r="F17" s="28"/>
      <c r="I17" s="8"/>
      <c r="J17" s="8"/>
      <c r="N17" s="28"/>
    </row>
    <row r="18">
      <c r="C18" s="28"/>
      <c r="D18" s="28"/>
      <c r="E18" s="28"/>
      <c r="F18" s="28"/>
      <c r="I18" s="8"/>
      <c r="J18" s="8"/>
      <c r="N18" s="28"/>
    </row>
    <row r="19">
      <c r="C19" s="28"/>
      <c r="D19" s="28"/>
      <c r="E19" s="28"/>
      <c r="F19" s="28"/>
      <c r="I19" s="8"/>
      <c r="J19" s="8"/>
      <c r="N19" s="28"/>
    </row>
    <row r="20">
      <c r="C20" s="28"/>
      <c r="D20" s="28"/>
      <c r="E20" s="28"/>
      <c r="F20" s="28"/>
      <c r="I20" s="8"/>
      <c r="J20" s="8"/>
      <c r="N20" s="28"/>
    </row>
    <row r="21">
      <c r="C21" s="28"/>
      <c r="D21" s="28"/>
      <c r="E21" s="28"/>
      <c r="F21" s="28"/>
      <c r="I21" s="8"/>
      <c r="J21" s="8"/>
      <c r="N21" s="28"/>
    </row>
    <row r="22">
      <c r="C22" s="28"/>
      <c r="D22" s="28"/>
      <c r="E22" s="28"/>
      <c r="F22" s="28"/>
      <c r="I22" s="8"/>
      <c r="J22" s="8"/>
      <c r="N22" s="28"/>
    </row>
    <row r="23">
      <c r="C23" s="28"/>
      <c r="D23" s="28"/>
      <c r="E23" s="28"/>
      <c r="F23" s="28"/>
      <c r="I23" s="8"/>
      <c r="J23" s="8"/>
      <c r="N23" s="28"/>
    </row>
    <row r="24">
      <c r="C24" s="28"/>
      <c r="D24" s="28"/>
      <c r="E24" s="28"/>
      <c r="F24" s="28"/>
      <c r="I24" s="8"/>
      <c r="J24" s="8"/>
      <c r="N24" s="28"/>
    </row>
    <row r="25">
      <c r="C25" s="28"/>
      <c r="D25" s="28"/>
      <c r="E25" s="28"/>
      <c r="F25" s="28"/>
      <c r="I25" s="8"/>
      <c r="J25" s="8"/>
      <c r="N25" s="28"/>
    </row>
    <row r="26">
      <c r="C26" s="28"/>
      <c r="D26" s="28"/>
      <c r="E26" s="28"/>
      <c r="F26" s="28"/>
      <c r="I26" s="8"/>
      <c r="J26" s="8"/>
      <c r="N26" s="28"/>
    </row>
    <row r="27">
      <c r="C27" s="28"/>
      <c r="D27" s="28"/>
      <c r="E27" s="28"/>
      <c r="F27" s="28"/>
      <c r="I27" s="8"/>
      <c r="J27" s="8"/>
      <c r="N27" s="28"/>
    </row>
    <row r="28">
      <c r="C28" s="28"/>
      <c r="D28" s="28"/>
      <c r="E28" s="28"/>
      <c r="F28" s="28"/>
      <c r="I28" s="8"/>
      <c r="J28" s="8"/>
      <c r="N28" s="28"/>
    </row>
    <row r="29">
      <c r="C29" s="28"/>
      <c r="D29" s="28"/>
      <c r="E29" s="28"/>
      <c r="F29" s="28"/>
      <c r="I29" s="8"/>
      <c r="J29" s="8"/>
      <c r="N29" s="28"/>
    </row>
    <row r="30">
      <c r="C30" s="28"/>
      <c r="D30" s="28"/>
      <c r="E30" s="28"/>
      <c r="F30" s="28"/>
      <c r="I30" s="8"/>
      <c r="J30" s="8"/>
      <c r="N30" s="28"/>
    </row>
    <row r="31">
      <c r="C31" s="28"/>
      <c r="D31" s="28"/>
      <c r="E31" s="28"/>
      <c r="F31" s="28"/>
      <c r="I31" s="8"/>
      <c r="J31" s="8"/>
      <c r="N31" s="28"/>
    </row>
    <row r="32">
      <c r="C32" s="28"/>
      <c r="D32" s="28"/>
      <c r="E32" s="28"/>
      <c r="F32" s="28"/>
      <c r="I32" s="8"/>
      <c r="J32" s="8"/>
      <c r="N32" s="28"/>
    </row>
    <row r="33">
      <c r="C33" s="8"/>
      <c r="I33" s="8"/>
      <c r="J33" s="8"/>
      <c r="N33" s="28"/>
    </row>
    <row r="34">
      <c r="C34" s="8"/>
      <c r="I34" s="8"/>
      <c r="J34" s="8"/>
    </row>
    <row r="35">
      <c r="C35" s="8"/>
      <c r="I35" s="8"/>
      <c r="J35" s="8"/>
    </row>
    <row r="36">
      <c r="C36" s="8"/>
      <c r="I36" s="8"/>
      <c r="J36" s="8"/>
    </row>
    <row r="37">
      <c r="C37" s="8"/>
      <c r="I37" s="8"/>
      <c r="J37" s="8"/>
    </row>
    <row r="38">
      <c r="C38" s="8"/>
      <c r="I38" s="8"/>
      <c r="J38" s="8"/>
    </row>
    <row r="39">
      <c r="C39" s="8"/>
      <c r="I39" s="8"/>
      <c r="J39" s="8"/>
    </row>
    <row r="40">
      <c r="C40" s="8"/>
      <c r="I40" s="8"/>
      <c r="J40" s="8"/>
    </row>
    <row r="41">
      <c r="C41" s="8"/>
      <c r="I41" s="8"/>
      <c r="J41" s="8"/>
    </row>
    <row r="42">
      <c r="C42" s="8"/>
      <c r="I42" s="8"/>
      <c r="J42" s="8"/>
    </row>
    <row r="43">
      <c r="C43" s="8"/>
      <c r="I43" s="8"/>
      <c r="J43" s="8"/>
    </row>
    <row r="44">
      <c r="C44" s="8"/>
      <c r="I44" s="8"/>
      <c r="J44" s="8"/>
    </row>
    <row r="45">
      <c r="C45" s="8"/>
      <c r="I45" s="8"/>
      <c r="J45" s="8"/>
    </row>
    <row r="46">
      <c r="C46" s="8"/>
      <c r="I46" s="8"/>
      <c r="J46" s="8"/>
    </row>
    <row r="47">
      <c r="C47" s="8"/>
      <c r="I47" s="8"/>
      <c r="J47" s="8"/>
    </row>
    <row r="48">
      <c r="C48" s="8"/>
      <c r="I48" s="8"/>
      <c r="J48" s="8"/>
    </row>
    <row r="49">
      <c r="C49" s="8"/>
      <c r="I49" s="8"/>
      <c r="J49" s="8"/>
    </row>
    <row r="50">
      <c r="C50" s="8"/>
      <c r="I50" s="8"/>
      <c r="J50" s="8"/>
    </row>
    <row r="51">
      <c r="C51" s="8"/>
      <c r="I51" s="8"/>
      <c r="J51" s="8"/>
    </row>
    <row r="52">
      <c r="C52" s="8"/>
      <c r="I52" s="8"/>
      <c r="J52" s="8"/>
    </row>
    <row r="53">
      <c r="C53" s="8"/>
      <c r="I53" s="8"/>
      <c r="J53" s="8"/>
    </row>
    <row r="54">
      <c r="C54" s="8"/>
      <c r="I54" s="8"/>
      <c r="J54" s="8"/>
    </row>
    <row r="55">
      <c r="C55" s="8"/>
      <c r="I55" s="8"/>
      <c r="J55" s="8"/>
    </row>
    <row r="56">
      <c r="C56" s="8"/>
      <c r="I56" s="8"/>
      <c r="J56" s="8"/>
    </row>
    <row r="57">
      <c r="C57" s="8"/>
      <c r="I57" s="8"/>
      <c r="J57" s="8"/>
    </row>
    <row r="58">
      <c r="C58" s="8"/>
      <c r="I58" s="8"/>
      <c r="J58" s="8"/>
    </row>
    <row r="59">
      <c r="C59" s="8"/>
      <c r="I59" s="8"/>
      <c r="J59" s="8"/>
    </row>
    <row r="60">
      <c r="C60" s="8"/>
      <c r="I60" s="8"/>
      <c r="J60" s="8"/>
    </row>
    <row r="61">
      <c r="C61" s="8"/>
      <c r="I61" s="8"/>
      <c r="J61" s="8"/>
    </row>
    <row r="62">
      <c r="C62" s="8"/>
      <c r="I62" s="8"/>
      <c r="J62" s="8"/>
    </row>
    <row r="63">
      <c r="C63" s="8"/>
      <c r="I63" s="8"/>
      <c r="J63" s="8"/>
    </row>
    <row r="64">
      <c r="C64" s="8"/>
      <c r="I64" s="8"/>
      <c r="J64" s="8"/>
    </row>
    <row r="65">
      <c r="C65" s="8"/>
      <c r="I65" s="8"/>
      <c r="J65" s="8"/>
    </row>
    <row r="66">
      <c r="C66" s="8"/>
      <c r="I66" s="8"/>
      <c r="J66" s="8"/>
    </row>
    <row r="67">
      <c r="C67" s="8"/>
      <c r="I67" s="8"/>
      <c r="J67" s="8"/>
    </row>
    <row r="68">
      <c r="C68" s="8"/>
      <c r="I68" s="8"/>
      <c r="J68" s="8"/>
    </row>
    <row r="69">
      <c r="C69" s="8"/>
      <c r="I69" s="8"/>
      <c r="J69" s="8"/>
    </row>
    <row r="70">
      <c r="C70" s="8"/>
      <c r="I70" s="8"/>
      <c r="J70" s="8"/>
    </row>
    <row r="71">
      <c r="C71" s="8"/>
      <c r="I71" s="8"/>
      <c r="J71" s="8"/>
    </row>
    <row r="72">
      <c r="C72" s="8"/>
      <c r="I72" s="8"/>
      <c r="J72" s="8"/>
    </row>
    <row r="73">
      <c r="C73" s="8"/>
      <c r="I73" s="8"/>
      <c r="J73" s="8"/>
    </row>
    <row r="74">
      <c r="C74" s="8"/>
      <c r="I74" s="8"/>
      <c r="J74" s="8"/>
    </row>
    <row r="75">
      <c r="C75" s="8"/>
      <c r="I75" s="8"/>
      <c r="J75" s="8"/>
    </row>
    <row r="76">
      <c r="C76" s="8"/>
      <c r="I76" s="8"/>
      <c r="J76" s="8"/>
    </row>
    <row r="77">
      <c r="C77" s="8"/>
      <c r="I77" s="8"/>
      <c r="J77" s="8"/>
    </row>
    <row r="78">
      <c r="C78" s="8"/>
      <c r="I78" s="8"/>
      <c r="J78" s="8"/>
    </row>
    <row r="79">
      <c r="C79" s="8"/>
      <c r="I79" s="8"/>
      <c r="J79" s="8"/>
    </row>
    <row r="80">
      <c r="C80" s="8"/>
      <c r="I80" s="8"/>
      <c r="J80" s="8"/>
    </row>
    <row r="81">
      <c r="C81" s="8"/>
      <c r="I81" s="8"/>
      <c r="J81" s="8"/>
    </row>
    <row r="82">
      <c r="C82" s="8"/>
      <c r="I82" s="8"/>
      <c r="J82" s="8"/>
    </row>
    <row r="83">
      <c r="C83" s="8"/>
      <c r="I83" s="8"/>
      <c r="J83" s="8"/>
    </row>
    <row r="84">
      <c r="C84" s="8"/>
      <c r="I84" s="8"/>
      <c r="J84" s="8"/>
    </row>
    <row r="85">
      <c r="C85" s="8"/>
      <c r="I85" s="8"/>
      <c r="J85" s="8"/>
    </row>
    <row r="86">
      <c r="C86" s="8"/>
      <c r="I86" s="8"/>
      <c r="J86" s="8"/>
    </row>
    <row r="87">
      <c r="C87" s="8"/>
      <c r="I87" s="8"/>
      <c r="J87" s="8"/>
    </row>
    <row r="88">
      <c r="C88" s="8"/>
      <c r="I88" s="8"/>
      <c r="J88" s="8"/>
    </row>
    <row r="89">
      <c r="C89" s="8"/>
      <c r="I89" s="8"/>
      <c r="J89" s="8"/>
    </row>
    <row r="90">
      <c r="C90" s="8"/>
      <c r="I90" s="8"/>
      <c r="J90" s="8"/>
    </row>
    <row r="91">
      <c r="C91" s="8"/>
      <c r="I91" s="8"/>
      <c r="J91" s="8"/>
    </row>
    <row r="92">
      <c r="C92" s="8"/>
      <c r="I92" s="8"/>
      <c r="J92" s="8"/>
    </row>
    <row r="93">
      <c r="C93" s="8"/>
      <c r="I93" s="8"/>
      <c r="J93" s="8"/>
    </row>
    <row r="94">
      <c r="C94" s="8"/>
      <c r="I94" s="8"/>
      <c r="J94" s="8"/>
    </row>
    <row r="95">
      <c r="C95" s="8"/>
      <c r="I95" s="8"/>
      <c r="J95" s="8"/>
    </row>
    <row r="96">
      <c r="C96" s="8"/>
      <c r="I96" s="8"/>
      <c r="J96" s="8"/>
    </row>
    <row r="97">
      <c r="C97" s="8"/>
      <c r="I97" s="8"/>
      <c r="J97" s="8"/>
    </row>
    <row r="98">
      <c r="C98" s="8"/>
      <c r="I98" s="8"/>
      <c r="J98" s="8"/>
    </row>
    <row r="99">
      <c r="C99" s="8"/>
      <c r="I99" s="8"/>
      <c r="J99" s="8"/>
    </row>
    <row r="100">
      <c r="C100" s="8"/>
      <c r="I100" s="8"/>
      <c r="J100" s="8"/>
    </row>
    <row r="101">
      <c r="C101" s="8"/>
      <c r="I101" s="8"/>
      <c r="J101" s="8"/>
    </row>
    <row r="102">
      <c r="C102" s="8"/>
      <c r="I102" s="8"/>
      <c r="J102" s="8"/>
    </row>
    <row r="103">
      <c r="C103" s="8"/>
      <c r="I103" s="8"/>
      <c r="J103" s="8"/>
    </row>
    <row r="104">
      <c r="C104" s="8"/>
      <c r="I104" s="8"/>
      <c r="J104" s="8"/>
    </row>
    <row r="105">
      <c r="C105" s="8"/>
      <c r="I105" s="8"/>
      <c r="J105" s="8"/>
    </row>
    <row r="106">
      <c r="C106" s="8"/>
      <c r="I106" s="8"/>
      <c r="J106" s="8"/>
    </row>
    <row r="107">
      <c r="C107" s="8"/>
      <c r="I107" s="8"/>
      <c r="J107" s="8"/>
    </row>
    <row r="108">
      <c r="C108" s="8"/>
      <c r="I108" s="8"/>
      <c r="J108" s="8"/>
    </row>
    <row r="109">
      <c r="C109" s="8"/>
      <c r="I109" s="8"/>
      <c r="J109" s="8"/>
    </row>
    <row r="110">
      <c r="C110" s="8"/>
      <c r="I110" s="8"/>
      <c r="J110" s="8"/>
    </row>
    <row r="111">
      <c r="C111" s="8"/>
      <c r="I111" s="8"/>
      <c r="J111" s="8"/>
    </row>
    <row r="112">
      <c r="C112" s="8"/>
      <c r="I112" s="8"/>
      <c r="J112" s="8"/>
    </row>
    <row r="113">
      <c r="C113" s="8"/>
      <c r="I113" s="8"/>
      <c r="J113" s="8"/>
    </row>
    <row r="114">
      <c r="C114" s="8"/>
      <c r="I114" s="8"/>
      <c r="J114" s="8"/>
    </row>
    <row r="115">
      <c r="C115" s="8"/>
      <c r="I115" s="8"/>
      <c r="J115" s="8"/>
    </row>
    <row r="116">
      <c r="C116" s="8"/>
      <c r="I116" s="8"/>
      <c r="J116" s="8"/>
    </row>
    <row r="117">
      <c r="C117" s="8"/>
      <c r="I117" s="8"/>
      <c r="J117" s="8"/>
    </row>
    <row r="118">
      <c r="C118" s="8"/>
      <c r="I118" s="8"/>
      <c r="J118" s="8"/>
    </row>
    <row r="119">
      <c r="C119" s="8"/>
      <c r="I119" s="8"/>
      <c r="J119" s="8"/>
    </row>
    <row r="120">
      <c r="C120" s="8"/>
      <c r="I120" s="8"/>
      <c r="J120" s="8"/>
    </row>
    <row r="121">
      <c r="C121" s="8"/>
      <c r="I121" s="8"/>
      <c r="J121" s="8"/>
    </row>
    <row r="122">
      <c r="C122" s="8"/>
      <c r="I122" s="8"/>
      <c r="J122" s="8"/>
    </row>
    <row r="123">
      <c r="C123" s="8"/>
      <c r="I123" s="8"/>
      <c r="J123" s="8"/>
    </row>
    <row r="124">
      <c r="C124" s="8"/>
      <c r="I124" s="8"/>
      <c r="J124" s="8"/>
    </row>
    <row r="125">
      <c r="C125" s="8"/>
      <c r="I125" s="8"/>
      <c r="J125" s="8"/>
    </row>
    <row r="126">
      <c r="C126" s="8"/>
      <c r="I126" s="8"/>
      <c r="J126" s="8"/>
    </row>
    <row r="127">
      <c r="C127" s="8"/>
      <c r="I127" s="8"/>
      <c r="J127" s="8"/>
    </row>
    <row r="128">
      <c r="C128" s="8"/>
      <c r="I128" s="8"/>
      <c r="J128" s="8"/>
    </row>
    <row r="129">
      <c r="C129" s="8"/>
      <c r="I129" s="8"/>
      <c r="J129" s="8"/>
    </row>
    <row r="130">
      <c r="C130" s="8"/>
      <c r="I130" s="8"/>
      <c r="J130" s="8"/>
    </row>
    <row r="131">
      <c r="C131" s="8"/>
      <c r="I131" s="8"/>
      <c r="J131" s="8"/>
    </row>
    <row r="132">
      <c r="C132" s="8"/>
      <c r="I132" s="8"/>
      <c r="J132" s="8"/>
    </row>
    <row r="133">
      <c r="C133" s="8"/>
      <c r="I133" s="8"/>
      <c r="J133" s="8"/>
    </row>
    <row r="134">
      <c r="C134" s="8"/>
      <c r="I134" s="8"/>
      <c r="J134" s="8"/>
    </row>
    <row r="135">
      <c r="C135" s="8"/>
      <c r="I135" s="8"/>
      <c r="J135" s="8"/>
    </row>
    <row r="136">
      <c r="C136" s="8"/>
      <c r="I136" s="8"/>
      <c r="J136" s="8"/>
    </row>
    <row r="137">
      <c r="C137" s="8"/>
      <c r="I137" s="8"/>
      <c r="J137" s="8"/>
    </row>
    <row r="138">
      <c r="C138" s="8"/>
      <c r="I138" s="8"/>
      <c r="J138" s="8"/>
    </row>
    <row r="139">
      <c r="C139" s="8"/>
      <c r="I139" s="8"/>
      <c r="J139" s="8"/>
    </row>
    <row r="140">
      <c r="C140" s="8"/>
      <c r="I140" s="8"/>
      <c r="J140" s="8"/>
    </row>
    <row r="141">
      <c r="C141" s="8"/>
      <c r="I141" s="8"/>
      <c r="J141" s="8"/>
    </row>
    <row r="142">
      <c r="C142" s="8"/>
      <c r="I142" s="8"/>
      <c r="J142" s="8"/>
    </row>
    <row r="143">
      <c r="C143" s="8"/>
      <c r="I143" s="8"/>
      <c r="J143" s="8"/>
    </row>
    <row r="144">
      <c r="C144" s="8"/>
      <c r="I144" s="8"/>
      <c r="J144" s="8"/>
    </row>
    <row r="145">
      <c r="C145" s="8"/>
      <c r="I145" s="8"/>
      <c r="J145" s="8"/>
    </row>
    <row r="146">
      <c r="C146" s="8"/>
      <c r="I146" s="8"/>
      <c r="J146" s="8"/>
    </row>
    <row r="147">
      <c r="C147" s="8"/>
      <c r="I147" s="8"/>
      <c r="J147" s="8"/>
    </row>
    <row r="148">
      <c r="C148" s="8"/>
      <c r="I148" s="8"/>
      <c r="J148" s="8"/>
    </row>
    <row r="149">
      <c r="C149" s="8"/>
      <c r="I149" s="8"/>
      <c r="J149" s="8"/>
    </row>
    <row r="150">
      <c r="C150" s="8"/>
      <c r="I150" s="8"/>
      <c r="J150" s="8"/>
    </row>
    <row r="151">
      <c r="C151" s="8"/>
      <c r="I151" s="8"/>
      <c r="J151" s="8"/>
    </row>
    <row r="152">
      <c r="C152" s="8"/>
      <c r="I152" s="8"/>
      <c r="J152" s="8"/>
    </row>
    <row r="153">
      <c r="C153" s="8"/>
      <c r="I153" s="8"/>
      <c r="J153" s="8"/>
    </row>
    <row r="154">
      <c r="C154" s="8"/>
      <c r="I154" s="8"/>
      <c r="J154" s="8"/>
    </row>
    <row r="155">
      <c r="C155" s="8"/>
      <c r="I155" s="8"/>
      <c r="J155" s="8"/>
    </row>
    <row r="156">
      <c r="C156" s="8"/>
      <c r="I156" s="8"/>
      <c r="J156" s="8"/>
    </row>
    <row r="157">
      <c r="C157" s="8"/>
      <c r="I157" s="8"/>
      <c r="J157" s="8"/>
    </row>
    <row r="158">
      <c r="C158" s="8"/>
      <c r="I158" s="8"/>
      <c r="J158" s="8"/>
    </row>
    <row r="159">
      <c r="C159" s="8"/>
      <c r="I159" s="8"/>
      <c r="J159" s="8"/>
    </row>
    <row r="160">
      <c r="C160" s="8"/>
      <c r="I160" s="8"/>
      <c r="J160" s="8"/>
    </row>
    <row r="161">
      <c r="C161" s="8"/>
      <c r="I161" s="8"/>
      <c r="J161" s="8"/>
    </row>
    <row r="162">
      <c r="C162" s="8"/>
      <c r="I162" s="8"/>
      <c r="J162" s="8"/>
    </row>
    <row r="163">
      <c r="C163" s="8"/>
      <c r="I163" s="8"/>
      <c r="J163" s="8"/>
    </row>
    <row r="164">
      <c r="C164" s="8"/>
      <c r="I164" s="8"/>
      <c r="J164" s="8"/>
    </row>
    <row r="165">
      <c r="C165" s="8"/>
      <c r="I165" s="8"/>
      <c r="J165" s="8"/>
    </row>
    <row r="166">
      <c r="C166" s="8"/>
      <c r="I166" s="8"/>
      <c r="J166" s="8"/>
    </row>
    <row r="167">
      <c r="C167" s="8"/>
      <c r="I167" s="8"/>
      <c r="J167" s="8"/>
    </row>
    <row r="168">
      <c r="C168" s="8"/>
      <c r="I168" s="8"/>
      <c r="J168" s="8"/>
    </row>
    <row r="169">
      <c r="C169" s="8"/>
      <c r="I169" s="8"/>
      <c r="J169" s="8"/>
    </row>
    <row r="170">
      <c r="C170" s="8"/>
      <c r="I170" s="8"/>
      <c r="J170" s="8"/>
    </row>
    <row r="171">
      <c r="C171" s="8"/>
      <c r="I171" s="8"/>
      <c r="J171" s="8"/>
    </row>
    <row r="172">
      <c r="C172" s="8"/>
      <c r="I172" s="8"/>
      <c r="J172" s="8"/>
    </row>
    <row r="173">
      <c r="C173" s="8"/>
      <c r="I173" s="8"/>
      <c r="J173" s="8"/>
    </row>
    <row r="174">
      <c r="C174" s="8"/>
      <c r="I174" s="8"/>
      <c r="J174" s="8"/>
    </row>
    <row r="175">
      <c r="C175" s="8"/>
      <c r="I175" s="8"/>
      <c r="J175" s="8"/>
    </row>
    <row r="176">
      <c r="C176" s="8"/>
      <c r="I176" s="8"/>
      <c r="J176" s="8"/>
    </row>
    <row r="177">
      <c r="C177" s="8"/>
      <c r="I177" s="8"/>
      <c r="J177" s="8"/>
    </row>
    <row r="178">
      <c r="C178" s="8"/>
      <c r="I178" s="8"/>
      <c r="J178" s="8"/>
    </row>
    <row r="179">
      <c r="C179" s="8"/>
      <c r="I179" s="8"/>
      <c r="J179" s="8"/>
    </row>
    <row r="180">
      <c r="C180" s="8"/>
      <c r="I180" s="8"/>
      <c r="J180" s="8"/>
    </row>
    <row r="181">
      <c r="C181" s="8"/>
      <c r="I181" s="8"/>
      <c r="J181" s="8"/>
    </row>
    <row r="182">
      <c r="C182" s="8"/>
      <c r="I182" s="8"/>
      <c r="J182" s="8"/>
    </row>
    <row r="183">
      <c r="C183" s="8"/>
      <c r="I183" s="8"/>
      <c r="J183" s="8"/>
    </row>
    <row r="184">
      <c r="C184" s="8"/>
      <c r="I184" s="8"/>
      <c r="J184" s="8"/>
    </row>
    <row r="185">
      <c r="C185" s="8"/>
      <c r="I185" s="8"/>
      <c r="J185" s="8"/>
    </row>
    <row r="186">
      <c r="C186" s="8"/>
      <c r="I186" s="8"/>
      <c r="J186" s="8"/>
    </row>
    <row r="187">
      <c r="C187" s="8"/>
      <c r="I187" s="8"/>
      <c r="J187" s="8"/>
    </row>
    <row r="188">
      <c r="C188" s="8"/>
      <c r="I188" s="8"/>
      <c r="J188" s="8"/>
    </row>
    <row r="189">
      <c r="C189" s="8"/>
      <c r="I189" s="8"/>
      <c r="J189" s="8"/>
    </row>
    <row r="190">
      <c r="C190" s="8"/>
      <c r="I190" s="8"/>
      <c r="J190" s="8"/>
    </row>
    <row r="191">
      <c r="C191" s="8"/>
      <c r="I191" s="8"/>
      <c r="J191" s="8"/>
    </row>
    <row r="192">
      <c r="C192" s="8"/>
      <c r="I192" s="8"/>
      <c r="J192" s="8"/>
    </row>
    <row r="193">
      <c r="C193" s="8"/>
      <c r="I193" s="8"/>
      <c r="J193" s="8"/>
    </row>
    <row r="194">
      <c r="C194" s="8"/>
      <c r="I194" s="8"/>
      <c r="J194" s="8"/>
    </row>
    <row r="195">
      <c r="C195" s="8"/>
      <c r="I195" s="8"/>
      <c r="J195" s="8"/>
    </row>
    <row r="196">
      <c r="C196" s="8"/>
      <c r="I196" s="8"/>
      <c r="J196" s="8"/>
    </row>
    <row r="197">
      <c r="C197" s="8"/>
      <c r="I197" s="8"/>
      <c r="J197" s="8"/>
    </row>
    <row r="198">
      <c r="C198" s="8"/>
      <c r="I198" s="8"/>
      <c r="J198" s="8"/>
    </row>
    <row r="199">
      <c r="C199" s="8"/>
      <c r="I199" s="8"/>
      <c r="J199" s="8"/>
    </row>
    <row r="200">
      <c r="C200" s="8"/>
      <c r="I200" s="8"/>
      <c r="J200" s="8"/>
    </row>
    <row r="201">
      <c r="C201" s="8"/>
      <c r="I201" s="8"/>
      <c r="J201" s="8"/>
    </row>
    <row r="202">
      <c r="C202" s="8"/>
      <c r="I202" s="8"/>
      <c r="J202" s="8"/>
    </row>
    <row r="203">
      <c r="C203" s="8"/>
      <c r="I203" s="8"/>
      <c r="J203" s="8"/>
    </row>
    <row r="204">
      <c r="C204" s="8"/>
      <c r="I204" s="8"/>
      <c r="J204" s="8"/>
    </row>
    <row r="205">
      <c r="C205" s="8"/>
      <c r="I205" s="8"/>
      <c r="J205" s="8"/>
    </row>
    <row r="206">
      <c r="C206" s="8"/>
      <c r="I206" s="8"/>
      <c r="J206" s="8"/>
    </row>
    <row r="207">
      <c r="C207" s="8"/>
      <c r="I207" s="8"/>
      <c r="J207" s="8"/>
    </row>
    <row r="208">
      <c r="C208" s="8"/>
      <c r="I208" s="8"/>
      <c r="J208" s="8"/>
    </row>
    <row r="209">
      <c r="C209" s="8"/>
      <c r="I209" s="8"/>
      <c r="J209" s="8"/>
    </row>
    <row r="210">
      <c r="C210" s="8"/>
      <c r="I210" s="8"/>
      <c r="J210" s="8"/>
    </row>
    <row r="211">
      <c r="C211" s="8"/>
      <c r="I211" s="8"/>
      <c r="J211" s="8"/>
    </row>
    <row r="212">
      <c r="C212" s="8"/>
      <c r="I212" s="8"/>
      <c r="J212" s="8"/>
    </row>
    <row r="213">
      <c r="C213" s="8"/>
      <c r="I213" s="8"/>
      <c r="J213" s="8"/>
    </row>
    <row r="214">
      <c r="C214" s="8"/>
      <c r="I214" s="8"/>
      <c r="J214" s="8"/>
    </row>
    <row r="215">
      <c r="C215" s="8"/>
      <c r="I215" s="8"/>
      <c r="J215" s="8"/>
    </row>
    <row r="216">
      <c r="C216" s="8"/>
      <c r="I216" s="8"/>
      <c r="J216" s="8"/>
    </row>
    <row r="217">
      <c r="C217" s="8"/>
      <c r="I217" s="8"/>
      <c r="J217" s="8"/>
    </row>
    <row r="218">
      <c r="C218" s="8"/>
      <c r="I218" s="8"/>
      <c r="J218" s="8"/>
    </row>
    <row r="219">
      <c r="C219" s="8"/>
      <c r="I219" s="8"/>
      <c r="J219" s="8"/>
    </row>
    <row r="220">
      <c r="C220" s="8"/>
      <c r="I220" s="8"/>
      <c r="J220" s="8"/>
    </row>
    <row r="221">
      <c r="C221" s="8"/>
      <c r="I221" s="8"/>
      <c r="J221" s="8"/>
    </row>
    <row r="222">
      <c r="C222" s="8"/>
      <c r="I222" s="8"/>
      <c r="J222" s="8"/>
    </row>
    <row r="223">
      <c r="C223" s="8"/>
      <c r="I223" s="8"/>
      <c r="J223" s="8"/>
    </row>
    <row r="224">
      <c r="C224" s="8"/>
      <c r="I224" s="8"/>
      <c r="J224" s="8"/>
    </row>
    <row r="225">
      <c r="C225" s="8"/>
      <c r="I225" s="8"/>
      <c r="J225" s="8"/>
    </row>
    <row r="226">
      <c r="C226" s="8"/>
      <c r="I226" s="8"/>
      <c r="J226" s="8"/>
    </row>
    <row r="227">
      <c r="C227" s="8"/>
      <c r="I227" s="8"/>
      <c r="J227" s="8"/>
    </row>
    <row r="228">
      <c r="C228" s="8"/>
      <c r="I228" s="8"/>
      <c r="J228" s="8"/>
    </row>
    <row r="229">
      <c r="C229" s="8"/>
      <c r="I229" s="8"/>
      <c r="J229" s="8"/>
    </row>
    <row r="230">
      <c r="C230" s="8"/>
      <c r="I230" s="8"/>
      <c r="J230" s="8"/>
    </row>
    <row r="231">
      <c r="C231" s="8"/>
      <c r="I231" s="8"/>
      <c r="J231" s="8"/>
    </row>
    <row r="232">
      <c r="C232" s="8"/>
      <c r="I232" s="8"/>
      <c r="J232" s="8"/>
    </row>
    <row r="233">
      <c r="C233" s="8"/>
      <c r="I233" s="8"/>
      <c r="J233" s="8"/>
    </row>
    <row r="234">
      <c r="C234" s="8"/>
      <c r="I234" s="8"/>
      <c r="J234" s="8"/>
    </row>
    <row r="235">
      <c r="C235" s="8"/>
      <c r="I235" s="8"/>
      <c r="J235" s="8"/>
    </row>
    <row r="236">
      <c r="C236" s="8"/>
      <c r="I236" s="8"/>
      <c r="J236" s="8"/>
    </row>
    <row r="237">
      <c r="C237" s="8"/>
      <c r="I237" s="8"/>
      <c r="J237" s="8"/>
    </row>
    <row r="238">
      <c r="C238" s="8"/>
      <c r="I238" s="8"/>
      <c r="J238" s="8"/>
    </row>
    <row r="239">
      <c r="C239" s="8"/>
      <c r="I239" s="8"/>
      <c r="J239" s="8"/>
    </row>
    <row r="240">
      <c r="C240" s="8"/>
      <c r="I240" s="8"/>
      <c r="J240" s="8"/>
    </row>
    <row r="241">
      <c r="C241" s="8"/>
      <c r="I241" s="8"/>
      <c r="J241" s="8"/>
    </row>
    <row r="242">
      <c r="C242" s="8"/>
      <c r="I242" s="8"/>
      <c r="J242" s="8"/>
    </row>
    <row r="243">
      <c r="C243" s="8"/>
      <c r="I243" s="8"/>
      <c r="J243" s="8"/>
    </row>
    <row r="244">
      <c r="C244" s="8"/>
      <c r="I244" s="8"/>
      <c r="J244" s="8"/>
    </row>
    <row r="245">
      <c r="C245" s="8"/>
      <c r="I245" s="8"/>
      <c r="J245" s="8"/>
    </row>
    <row r="246">
      <c r="C246" s="8"/>
      <c r="I246" s="8"/>
      <c r="J246" s="8"/>
    </row>
    <row r="247">
      <c r="C247" s="8"/>
      <c r="I247" s="8"/>
      <c r="J247" s="8"/>
    </row>
    <row r="248">
      <c r="C248" s="8"/>
      <c r="I248" s="8"/>
      <c r="J248" s="8"/>
    </row>
    <row r="249">
      <c r="C249" s="8"/>
      <c r="I249" s="8"/>
      <c r="J249" s="8"/>
    </row>
    <row r="250">
      <c r="C250" s="8"/>
      <c r="I250" s="8"/>
      <c r="J250" s="8"/>
    </row>
    <row r="251">
      <c r="C251" s="8"/>
      <c r="I251" s="8"/>
      <c r="J251" s="8"/>
    </row>
    <row r="252">
      <c r="C252" s="8"/>
      <c r="I252" s="8"/>
      <c r="J252" s="8"/>
    </row>
    <row r="253">
      <c r="C253" s="8"/>
      <c r="I253" s="8"/>
      <c r="J253" s="8"/>
    </row>
    <row r="254">
      <c r="C254" s="8"/>
      <c r="I254" s="8"/>
      <c r="J254" s="8"/>
    </row>
    <row r="255">
      <c r="C255" s="8"/>
      <c r="I255" s="8"/>
      <c r="J255" s="8"/>
    </row>
    <row r="256">
      <c r="C256" s="8"/>
      <c r="I256" s="8"/>
      <c r="J256" s="8"/>
    </row>
    <row r="257">
      <c r="C257" s="8"/>
      <c r="I257" s="8"/>
      <c r="J257" s="8"/>
    </row>
    <row r="258">
      <c r="C258" s="8"/>
      <c r="I258" s="8"/>
      <c r="J258" s="8"/>
    </row>
    <row r="259">
      <c r="C259" s="8"/>
      <c r="I259" s="8"/>
      <c r="J259" s="8"/>
    </row>
    <row r="260">
      <c r="C260" s="8"/>
      <c r="I260" s="8"/>
      <c r="J260" s="8"/>
    </row>
    <row r="261">
      <c r="C261" s="8"/>
      <c r="I261" s="8"/>
      <c r="J261" s="8"/>
    </row>
    <row r="262">
      <c r="C262" s="8"/>
      <c r="I262" s="8"/>
      <c r="J262" s="8"/>
    </row>
    <row r="263">
      <c r="C263" s="8"/>
      <c r="I263" s="8"/>
      <c r="J263" s="8"/>
    </row>
    <row r="264">
      <c r="C264" s="8"/>
      <c r="I264" s="8"/>
      <c r="J264" s="8"/>
    </row>
    <row r="265">
      <c r="C265" s="8"/>
      <c r="I265" s="8"/>
      <c r="J265" s="8"/>
    </row>
    <row r="266">
      <c r="C266" s="8"/>
      <c r="I266" s="8"/>
      <c r="J266" s="8"/>
    </row>
    <row r="267">
      <c r="C267" s="8"/>
      <c r="I267" s="8"/>
      <c r="J267" s="8"/>
    </row>
    <row r="268">
      <c r="C268" s="8"/>
      <c r="I268" s="8"/>
      <c r="J268" s="8"/>
    </row>
    <row r="269">
      <c r="C269" s="8"/>
      <c r="I269" s="8"/>
      <c r="J269" s="8"/>
    </row>
    <row r="270">
      <c r="C270" s="8"/>
      <c r="I270" s="8"/>
      <c r="J270" s="8"/>
    </row>
    <row r="271">
      <c r="C271" s="8"/>
      <c r="I271" s="8"/>
      <c r="J271" s="8"/>
    </row>
    <row r="272">
      <c r="C272" s="8"/>
      <c r="I272" s="8"/>
      <c r="J272" s="8"/>
    </row>
    <row r="273">
      <c r="C273" s="8"/>
      <c r="I273" s="8"/>
      <c r="J273" s="8"/>
    </row>
    <row r="274">
      <c r="C274" s="8"/>
      <c r="I274" s="8"/>
      <c r="J274" s="8"/>
    </row>
    <row r="275">
      <c r="C275" s="8"/>
      <c r="I275" s="8"/>
      <c r="J275" s="8"/>
    </row>
    <row r="276">
      <c r="C276" s="8"/>
      <c r="I276" s="8"/>
      <c r="J276" s="8"/>
    </row>
    <row r="277">
      <c r="C277" s="8"/>
      <c r="I277" s="8"/>
      <c r="J277" s="8"/>
    </row>
    <row r="278">
      <c r="C278" s="8"/>
      <c r="I278" s="8"/>
      <c r="J278" s="8"/>
    </row>
    <row r="279">
      <c r="C279" s="8"/>
      <c r="I279" s="8"/>
      <c r="J279" s="8"/>
    </row>
    <row r="280">
      <c r="C280" s="8"/>
      <c r="I280" s="8"/>
      <c r="J280" s="8"/>
    </row>
    <row r="281">
      <c r="C281" s="8"/>
      <c r="I281" s="8"/>
      <c r="J281" s="8"/>
    </row>
    <row r="282">
      <c r="C282" s="8"/>
      <c r="I282" s="8"/>
      <c r="J282" s="8"/>
    </row>
    <row r="283">
      <c r="C283" s="8"/>
      <c r="I283" s="8"/>
      <c r="J283" s="8"/>
    </row>
    <row r="284">
      <c r="C284" s="8"/>
      <c r="I284" s="8"/>
      <c r="J284" s="8"/>
    </row>
    <row r="285">
      <c r="C285" s="8"/>
      <c r="I285" s="8"/>
      <c r="J285" s="8"/>
    </row>
    <row r="286">
      <c r="C286" s="8"/>
      <c r="I286" s="8"/>
      <c r="J286" s="8"/>
    </row>
    <row r="287">
      <c r="C287" s="8"/>
      <c r="I287" s="8"/>
      <c r="J287" s="8"/>
    </row>
    <row r="288">
      <c r="C288" s="8"/>
      <c r="I288" s="8"/>
      <c r="J288" s="8"/>
    </row>
    <row r="289">
      <c r="C289" s="8"/>
      <c r="I289" s="8"/>
      <c r="J289" s="8"/>
    </row>
    <row r="290">
      <c r="C290" s="8"/>
      <c r="I290" s="8"/>
      <c r="J290" s="8"/>
    </row>
    <row r="291">
      <c r="C291" s="8"/>
      <c r="I291" s="8"/>
      <c r="J291" s="8"/>
    </row>
    <row r="292">
      <c r="C292" s="8"/>
      <c r="I292" s="8"/>
      <c r="J292" s="8"/>
    </row>
    <row r="293">
      <c r="C293" s="8"/>
      <c r="I293" s="8"/>
      <c r="J293" s="8"/>
    </row>
    <row r="294">
      <c r="C294" s="8"/>
      <c r="I294" s="8"/>
      <c r="J294" s="8"/>
    </row>
    <row r="295">
      <c r="C295" s="8"/>
      <c r="I295" s="8"/>
      <c r="J295" s="8"/>
    </row>
    <row r="296">
      <c r="C296" s="8"/>
      <c r="I296" s="8"/>
      <c r="J296" s="8"/>
    </row>
    <row r="297">
      <c r="C297" s="8"/>
      <c r="I297" s="8"/>
      <c r="J297" s="8"/>
    </row>
    <row r="298">
      <c r="C298" s="8"/>
      <c r="I298" s="8"/>
      <c r="J298" s="8"/>
    </row>
    <row r="299">
      <c r="C299" s="8"/>
      <c r="I299" s="8"/>
      <c r="J299" s="8"/>
    </row>
    <row r="300">
      <c r="C300" s="8"/>
      <c r="I300" s="8"/>
      <c r="J300" s="8"/>
    </row>
    <row r="301">
      <c r="C301" s="8"/>
      <c r="I301" s="8"/>
      <c r="J301" s="8"/>
    </row>
    <row r="302">
      <c r="C302" s="8"/>
      <c r="I302" s="8"/>
      <c r="J302" s="8"/>
    </row>
    <row r="303">
      <c r="C303" s="8"/>
      <c r="I303" s="8"/>
      <c r="J303" s="8"/>
    </row>
    <row r="304">
      <c r="C304" s="8"/>
      <c r="I304" s="8"/>
      <c r="J304" s="8"/>
    </row>
    <row r="305">
      <c r="C305" s="8"/>
      <c r="I305" s="8"/>
      <c r="J305" s="8"/>
    </row>
    <row r="306">
      <c r="C306" s="8"/>
      <c r="I306" s="8"/>
      <c r="J306" s="8"/>
    </row>
    <row r="307">
      <c r="C307" s="8"/>
      <c r="I307" s="8"/>
      <c r="J307" s="8"/>
    </row>
    <row r="308">
      <c r="C308" s="8"/>
      <c r="I308" s="8"/>
      <c r="J308" s="8"/>
    </row>
    <row r="309">
      <c r="C309" s="8"/>
      <c r="I309" s="8"/>
      <c r="J309" s="8"/>
    </row>
    <row r="310">
      <c r="C310" s="8"/>
      <c r="I310" s="8"/>
      <c r="J310" s="8"/>
    </row>
    <row r="311">
      <c r="C311" s="8"/>
      <c r="I311" s="8"/>
      <c r="J311" s="8"/>
    </row>
    <row r="312">
      <c r="C312" s="8"/>
      <c r="I312" s="8"/>
      <c r="J312" s="8"/>
    </row>
    <row r="313">
      <c r="C313" s="8"/>
      <c r="I313" s="8"/>
      <c r="J313" s="8"/>
    </row>
    <row r="314">
      <c r="C314" s="8"/>
      <c r="I314" s="8"/>
      <c r="J314" s="8"/>
    </row>
    <row r="315">
      <c r="C315" s="8"/>
      <c r="I315" s="8"/>
      <c r="J315" s="8"/>
    </row>
    <row r="316">
      <c r="C316" s="8"/>
      <c r="I316" s="8"/>
      <c r="J316" s="8"/>
    </row>
    <row r="317">
      <c r="C317" s="8"/>
      <c r="I317" s="8"/>
      <c r="J317" s="8"/>
    </row>
    <row r="318">
      <c r="C318" s="8"/>
      <c r="I318" s="8"/>
      <c r="J318" s="8"/>
    </row>
    <row r="319">
      <c r="C319" s="8"/>
      <c r="I319" s="8"/>
      <c r="J319" s="8"/>
    </row>
    <row r="320">
      <c r="C320" s="8"/>
      <c r="I320" s="8"/>
      <c r="J320" s="8"/>
    </row>
    <row r="321">
      <c r="C321" s="8"/>
      <c r="I321" s="8"/>
      <c r="J321" s="8"/>
    </row>
    <row r="322">
      <c r="C322" s="8"/>
      <c r="I322" s="8"/>
      <c r="J322" s="8"/>
    </row>
    <row r="323">
      <c r="C323" s="8"/>
      <c r="I323" s="8"/>
      <c r="J323" s="8"/>
    </row>
    <row r="324">
      <c r="C324" s="8"/>
      <c r="I324" s="8"/>
      <c r="J324" s="8"/>
    </row>
    <row r="325">
      <c r="C325" s="8"/>
      <c r="I325" s="8"/>
      <c r="J325" s="8"/>
    </row>
    <row r="326">
      <c r="C326" s="8"/>
      <c r="I326" s="8"/>
      <c r="J326" s="8"/>
    </row>
    <row r="327">
      <c r="C327" s="8"/>
      <c r="I327" s="8"/>
      <c r="J327" s="8"/>
    </row>
    <row r="328">
      <c r="C328" s="8"/>
      <c r="I328" s="8"/>
      <c r="J328" s="8"/>
    </row>
    <row r="329">
      <c r="C329" s="8"/>
      <c r="I329" s="8"/>
      <c r="J329" s="8"/>
    </row>
    <row r="330">
      <c r="C330" s="8"/>
      <c r="I330" s="8"/>
      <c r="J330" s="8"/>
    </row>
    <row r="331">
      <c r="C331" s="8"/>
      <c r="I331" s="8"/>
      <c r="J331" s="8"/>
    </row>
    <row r="332">
      <c r="C332" s="8"/>
      <c r="I332" s="8"/>
      <c r="J332" s="8"/>
    </row>
    <row r="333">
      <c r="C333" s="8"/>
      <c r="I333" s="8"/>
      <c r="J333" s="8"/>
    </row>
    <row r="334">
      <c r="C334" s="8"/>
      <c r="I334" s="8"/>
      <c r="J334" s="8"/>
    </row>
    <row r="335">
      <c r="C335" s="8"/>
      <c r="I335" s="8"/>
      <c r="J335" s="8"/>
    </row>
    <row r="336">
      <c r="C336" s="8"/>
      <c r="I336" s="8"/>
      <c r="J336" s="8"/>
    </row>
    <row r="337">
      <c r="C337" s="8"/>
      <c r="I337" s="8"/>
      <c r="J337" s="8"/>
    </row>
    <row r="338">
      <c r="C338" s="8"/>
      <c r="I338" s="8"/>
      <c r="J338" s="8"/>
    </row>
    <row r="339">
      <c r="C339" s="8"/>
      <c r="I339" s="8"/>
      <c r="J339" s="8"/>
    </row>
    <row r="340">
      <c r="C340" s="8"/>
      <c r="I340" s="8"/>
      <c r="J340" s="8"/>
    </row>
    <row r="341">
      <c r="C341" s="8"/>
      <c r="I341" s="8"/>
      <c r="J341" s="8"/>
    </row>
    <row r="342">
      <c r="C342" s="8"/>
      <c r="I342" s="8"/>
      <c r="J342" s="8"/>
    </row>
    <row r="343">
      <c r="C343" s="8"/>
      <c r="I343" s="8"/>
      <c r="J343" s="8"/>
    </row>
    <row r="344">
      <c r="C344" s="8"/>
      <c r="I344" s="8"/>
      <c r="J344" s="8"/>
    </row>
    <row r="345">
      <c r="C345" s="8"/>
      <c r="I345" s="8"/>
      <c r="J345" s="8"/>
    </row>
    <row r="346">
      <c r="C346" s="8"/>
      <c r="I346" s="8"/>
      <c r="J346" s="8"/>
    </row>
    <row r="347">
      <c r="C347" s="8"/>
      <c r="I347" s="8"/>
      <c r="J347" s="8"/>
    </row>
    <row r="348">
      <c r="C348" s="8"/>
      <c r="I348" s="8"/>
      <c r="J348" s="8"/>
    </row>
    <row r="349">
      <c r="C349" s="8"/>
      <c r="I349" s="8"/>
      <c r="J349" s="8"/>
    </row>
    <row r="350">
      <c r="C350" s="8"/>
      <c r="I350" s="8"/>
      <c r="J350" s="8"/>
    </row>
    <row r="351">
      <c r="C351" s="8"/>
      <c r="I351" s="8"/>
      <c r="J351" s="8"/>
    </row>
    <row r="352">
      <c r="C352" s="8"/>
      <c r="I352" s="8"/>
      <c r="J352" s="8"/>
    </row>
    <row r="353">
      <c r="C353" s="8"/>
      <c r="I353" s="8"/>
      <c r="J353" s="8"/>
    </row>
    <row r="354">
      <c r="C354" s="8"/>
      <c r="I354" s="8"/>
      <c r="J354" s="8"/>
    </row>
    <row r="355">
      <c r="C355" s="8"/>
      <c r="I355" s="8"/>
      <c r="J355" s="8"/>
    </row>
    <row r="356">
      <c r="C356" s="8"/>
      <c r="I356" s="8"/>
      <c r="J356" s="8"/>
    </row>
    <row r="357">
      <c r="C357" s="8"/>
      <c r="I357" s="8"/>
      <c r="J357" s="8"/>
    </row>
    <row r="358">
      <c r="C358" s="8"/>
      <c r="I358" s="8"/>
      <c r="J358" s="8"/>
    </row>
    <row r="359">
      <c r="C359" s="8"/>
      <c r="I359" s="8"/>
      <c r="J359" s="8"/>
    </row>
    <row r="360">
      <c r="C360" s="8"/>
      <c r="I360" s="8"/>
      <c r="J360" s="8"/>
    </row>
    <row r="361">
      <c r="C361" s="8"/>
      <c r="I361" s="8"/>
      <c r="J361" s="8"/>
    </row>
    <row r="362">
      <c r="C362" s="8"/>
      <c r="I362" s="8"/>
      <c r="J362" s="8"/>
    </row>
    <row r="363">
      <c r="C363" s="8"/>
      <c r="I363" s="8"/>
      <c r="J363" s="8"/>
    </row>
    <row r="364">
      <c r="C364" s="8"/>
      <c r="I364" s="8"/>
      <c r="J364" s="8"/>
    </row>
    <row r="365">
      <c r="C365" s="8"/>
      <c r="I365" s="8"/>
      <c r="J365" s="8"/>
    </row>
    <row r="366">
      <c r="C366" s="8"/>
      <c r="I366" s="8"/>
      <c r="J366" s="8"/>
    </row>
    <row r="367">
      <c r="C367" s="8"/>
      <c r="I367" s="8"/>
      <c r="J367" s="8"/>
    </row>
    <row r="368">
      <c r="C368" s="8"/>
      <c r="I368" s="8"/>
      <c r="J368" s="8"/>
    </row>
    <row r="369">
      <c r="C369" s="8"/>
      <c r="I369" s="8"/>
      <c r="J369" s="8"/>
    </row>
    <row r="370">
      <c r="C370" s="8"/>
      <c r="I370" s="8"/>
      <c r="J370" s="8"/>
    </row>
    <row r="371">
      <c r="C371" s="8"/>
      <c r="I371" s="8"/>
      <c r="J371" s="8"/>
    </row>
    <row r="372">
      <c r="C372" s="8"/>
      <c r="I372" s="8"/>
      <c r="J372" s="8"/>
    </row>
    <row r="373">
      <c r="C373" s="8"/>
      <c r="I373" s="8"/>
      <c r="J373" s="8"/>
    </row>
    <row r="374">
      <c r="C374" s="8"/>
      <c r="I374" s="8"/>
      <c r="J374" s="8"/>
    </row>
    <row r="375">
      <c r="C375" s="8"/>
      <c r="I375" s="8"/>
      <c r="J375" s="8"/>
    </row>
    <row r="376">
      <c r="C376" s="8"/>
      <c r="I376" s="8"/>
      <c r="J376" s="8"/>
    </row>
    <row r="377">
      <c r="C377" s="8"/>
      <c r="I377" s="8"/>
      <c r="J377" s="8"/>
    </row>
    <row r="378">
      <c r="C378" s="8"/>
      <c r="I378" s="8"/>
      <c r="J378" s="8"/>
    </row>
    <row r="379">
      <c r="C379" s="8"/>
      <c r="I379" s="8"/>
      <c r="J379" s="8"/>
    </row>
    <row r="380">
      <c r="C380" s="8"/>
      <c r="I380" s="8"/>
      <c r="J380" s="8"/>
    </row>
    <row r="381">
      <c r="C381" s="8"/>
      <c r="I381" s="8"/>
      <c r="J381" s="8"/>
    </row>
    <row r="382">
      <c r="C382" s="8"/>
      <c r="I382" s="8"/>
      <c r="J382" s="8"/>
    </row>
    <row r="383">
      <c r="C383" s="8"/>
      <c r="I383" s="8"/>
      <c r="J383" s="8"/>
    </row>
    <row r="384">
      <c r="C384" s="8"/>
      <c r="I384" s="8"/>
      <c r="J384" s="8"/>
    </row>
    <row r="385">
      <c r="C385" s="8"/>
      <c r="I385" s="8"/>
      <c r="J385" s="8"/>
    </row>
    <row r="386">
      <c r="C386" s="8"/>
      <c r="I386" s="8"/>
      <c r="J386" s="8"/>
    </row>
    <row r="387">
      <c r="C387" s="8"/>
      <c r="I387" s="8"/>
      <c r="J387" s="8"/>
    </row>
    <row r="388">
      <c r="C388" s="8"/>
      <c r="I388" s="8"/>
      <c r="J388" s="8"/>
    </row>
    <row r="389">
      <c r="C389" s="8"/>
      <c r="I389" s="8"/>
      <c r="J389" s="8"/>
    </row>
    <row r="390">
      <c r="C390" s="8"/>
      <c r="I390" s="8"/>
      <c r="J390" s="8"/>
    </row>
    <row r="391">
      <c r="C391" s="8"/>
      <c r="I391" s="8"/>
      <c r="J391" s="8"/>
    </row>
    <row r="392">
      <c r="C392" s="8"/>
      <c r="I392" s="8"/>
      <c r="J392" s="8"/>
    </row>
    <row r="393">
      <c r="C393" s="8"/>
      <c r="I393" s="8"/>
      <c r="J393" s="8"/>
    </row>
    <row r="394">
      <c r="C394" s="8"/>
      <c r="I394" s="8"/>
      <c r="J394" s="8"/>
    </row>
    <row r="395">
      <c r="C395" s="8"/>
      <c r="I395" s="8"/>
      <c r="J395" s="8"/>
    </row>
    <row r="396">
      <c r="C396" s="8"/>
      <c r="I396" s="8"/>
      <c r="J396" s="8"/>
    </row>
    <row r="397">
      <c r="C397" s="8"/>
      <c r="I397" s="8"/>
      <c r="J397" s="8"/>
    </row>
    <row r="398">
      <c r="C398" s="8"/>
      <c r="I398" s="8"/>
      <c r="J398" s="8"/>
    </row>
    <row r="399">
      <c r="C399" s="8"/>
      <c r="I399" s="8"/>
      <c r="J399" s="8"/>
    </row>
    <row r="400">
      <c r="C400" s="8"/>
      <c r="I400" s="8"/>
      <c r="J400" s="8"/>
    </row>
    <row r="401">
      <c r="C401" s="8"/>
      <c r="I401" s="8"/>
      <c r="J401" s="8"/>
    </row>
    <row r="402">
      <c r="C402" s="8"/>
      <c r="I402" s="8"/>
      <c r="J402" s="8"/>
    </row>
    <row r="403">
      <c r="C403" s="8"/>
      <c r="I403" s="8"/>
      <c r="J403" s="8"/>
    </row>
    <row r="404">
      <c r="C404" s="8"/>
      <c r="I404" s="8"/>
      <c r="J404" s="8"/>
    </row>
    <row r="405">
      <c r="C405" s="8"/>
      <c r="I405" s="8"/>
      <c r="J405" s="8"/>
    </row>
    <row r="406">
      <c r="C406" s="8"/>
      <c r="I406" s="8"/>
      <c r="J406" s="8"/>
    </row>
    <row r="407">
      <c r="C407" s="8"/>
      <c r="I407" s="8"/>
      <c r="J407" s="8"/>
    </row>
    <row r="408">
      <c r="C408" s="8"/>
      <c r="I408" s="8"/>
      <c r="J408" s="8"/>
    </row>
    <row r="409">
      <c r="C409" s="8"/>
      <c r="I409" s="8"/>
      <c r="J409" s="8"/>
    </row>
    <row r="410">
      <c r="C410" s="8"/>
      <c r="I410" s="8"/>
      <c r="J410" s="8"/>
    </row>
    <row r="411">
      <c r="C411" s="8"/>
      <c r="I411" s="8"/>
      <c r="J411" s="8"/>
    </row>
    <row r="412">
      <c r="C412" s="8"/>
      <c r="I412" s="8"/>
      <c r="J412" s="8"/>
    </row>
    <row r="413">
      <c r="C413" s="8"/>
      <c r="I413" s="8"/>
      <c r="J413" s="8"/>
    </row>
    <row r="414">
      <c r="C414" s="8"/>
      <c r="I414" s="8"/>
      <c r="J414" s="8"/>
    </row>
    <row r="415">
      <c r="C415" s="8"/>
      <c r="I415" s="8"/>
      <c r="J415" s="8"/>
    </row>
    <row r="416">
      <c r="C416" s="8"/>
      <c r="I416" s="8"/>
      <c r="J416" s="8"/>
    </row>
    <row r="417">
      <c r="C417" s="8"/>
      <c r="I417" s="8"/>
      <c r="J417" s="8"/>
    </row>
    <row r="418">
      <c r="C418" s="8"/>
      <c r="I418" s="8"/>
      <c r="J418" s="8"/>
    </row>
    <row r="419">
      <c r="C419" s="8"/>
      <c r="I419" s="8"/>
      <c r="J419" s="8"/>
    </row>
    <row r="420">
      <c r="C420" s="8"/>
      <c r="I420" s="8"/>
      <c r="J420" s="8"/>
    </row>
    <row r="421">
      <c r="C421" s="8"/>
      <c r="I421" s="8"/>
      <c r="J421" s="8"/>
    </row>
    <row r="422">
      <c r="C422" s="8"/>
      <c r="I422" s="8"/>
      <c r="J422" s="8"/>
    </row>
    <row r="423">
      <c r="C423" s="8"/>
      <c r="I423" s="8"/>
      <c r="J423" s="8"/>
    </row>
    <row r="424">
      <c r="C424" s="8"/>
      <c r="I424" s="8"/>
      <c r="J424" s="8"/>
    </row>
    <row r="425">
      <c r="C425" s="8"/>
      <c r="I425" s="8"/>
      <c r="J425" s="8"/>
    </row>
    <row r="426">
      <c r="C426" s="8"/>
      <c r="I426" s="8"/>
      <c r="J426" s="8"/>
    </row>
    <row r="427">
      <c r="C427" s="8"/>
      <c r="I427" s="8"/>
      <c r="J427" s="8"/>
    </row>
    <row r="428">
      <c r="C428" s="8"/>
      <c r="I428" s="8"/>
      <c r="J428" s="8"/>
    </row>
    <row r="429">
      <c r="C429" s="8"/>
      <c r="I429" s="8"/>
      <c r="J429" s="8"/>
    </row>
    <row r="430">
      <c r="C430" s="8"/>
      <c r="I430" s="8"/>
      <c r="J430" s="8"/>
    </row>
    <row r="431">
      <c r="C431" s="8"/>
      <c r="I431" s="8"/>
      <c r="J431" s="8"/>
    </row>
    <row r="432">
      <c r="C432" s="8"/>
      <c r="I432" s="8"/>
      <c r="J432" s="8"/>
    </row>
    <row r="433">
      <c r="C433" s="8"/>
      <c r="I433" s="8"/>
      <c r="J433" s="8"/>
    </row>
    <row r="434">
      <c r="C434" s="8"/>
      <c r="I434" s="8"/>
      <c r="J434" s="8"/>
    </row>
    <row r="435">
      <c r="C435" s="8"/>
      <c r="I435" s="8"/>
      <c r="J435" s="8"/>
    </row>
    <row r="436">
      <c r="C436" s="8"/>
      <c r="I436" s="8"/>
      <c r="J436" s="8"/>
    </row>
    <row r="437">
      <c r="C437" s="8"/>
      <c r="I437" s="8"/>
      <c r="J437" s="8"/>
    </row>
    <row r="438">
      <c r="C438" s="8"/>
      <c r="I438" s="8"/>
      <c r="J438" s="8"/>
    </row>
    <row r="439">
      <c r="C439" s="8"/>
      <c r="I439" s="8"/>
      <c r="J439" s="8"/>
    </row>
    <row r="440">
      <c r="C440" s="8"/>
      <c r="I440" s="8"/>
      <c r="J440" s="8"/>
    </row>
    <row r="441">
      <c r="C441" s="8"/>
      <c r="I441" s="8"/>
      <c r="J441" s="8"/>
    </row>
    <row r="442">
      <c r="C442" s="8"/>
      <c r="I442" s="8"/>
      <c r="J442" s="8"/>
    </row>
    <row r="443">
      <c r="C443" s="8"/>
      <c r="I443" s="8"/>
      <c r="J443" s="8"/>
    </row>
    <row r="444">
      <c r="C444" s="8"/>
      <c r="I444" s="8"/>
      <c r="J444" s="8"/>
    </row>
    <row r="445">
      <c r="C445" s="8"/>
      <c r="I445" s="8"/>
      <c r="J445" s="8"/>
    </row>
    <row r="446">
      <c r="C446" s="8"/>
      <c r="I446" s="8"/>
      <c r="J446" s="8"/>
    </row>
    <row r="447">
      <c r="C447" s="8"/>
      <c r="I447" s="8"/>
      <c r="J447" s="8"/>
    </row>
    <row r="448">
      <c r="C448" s="8"/>
      <c r="I448" s="8"/>
      <c r="J448" s="8"/>
    </row>
    <row r="449">
      <c r="C449" s="8"/>
      <c r="I449" s="8"/>
      <c r="J449" s="8"/>
    </row>
    <row r="450">
      <c r="C450" s="8"/>
      <c r="I450" s="8"/>
      <c r="J450" s="8"/>
    </row>
    <row r="451">
      <c r="C451" s="8"/>
      <c r="I451" s="8"/>
      <c r="J451" s="8"/>
    </row>
    <row r="452">
      <c r="C452" s="8"/>
      <c r="I452" s="8"/>
      <c r="J452" s="8"/>
    </row>
    <row r="453">
      <c r="C453" s="8"/>
      <c r="I453" s="8"/>
      <c r="J453" s="8"/>
    </row>
    <row r="454">
      <c r="C454" s="8"/>
      <c r="I454" s="8"/>
      <c r="J454" s="8"/>
    </row>
    <row r="455">
      <c r="C455" s="8"/>
      <c r="I455" s="8"/>
      <c r="J455" s="8"/>
    </row>
    <row r="456">
      <c r="C456" s="8"/>
      <c r="I456" s="8"/>
      <c r="J456" s="8"/>
    </row>
    <row r="457">
      <c r="C457" s="8"/>
      <c r="I457" s="8"/>
      <c r="J457" s="8"/>
    </row>
    <row r="458">
      <c r="C458" s="8"/>
      <c r="I458" s="8"/>
      <c r="J458" s="8"/>
    </row>
    <row r="459">
      <c r="C459" s="8"/>
      <c r="I459" s="8"/>
      <c r="J459" s="8"/>
    </row>
    <row r="460">
      <c r="C460" s="8"/>
      <c r="I460" s="8"/>
      <c r="J460" s="8"/>
    </row>
    <row r="461">
      <c r="C461" s="8"/>
      <c r="I461" s="8"/>
      <c r="J461" s="8"/>
    </row>
    <row r="462">
      <c r="C462" s="8"/>
      <c r="I462" s="8"/>
      <c r="J462" s="8"/>
    </row>
    <row r="463">
      <c r="C463" s="8"/>
      <c r="I463" s="8"/>
      <c r="J463" s="8"/>
    </row>
    <row r="464">
      <c r="C464" s="8"/>
      <c r="I464" s="8"/>
      <c r="J464" s="8"/>
    </row>
    <row r="465">
      <c r="C465" s="8"/>
      <c r="I465" s="8"/>
      <c r="J465" s="8"/>
    </row>
    <row r="466">
      <c r="C466" s="8"/>
      <c r="I466" s="8"/>
      <c r="J466" s="8"/>
    </row>
    <row r="467">
      <c r="C467" s="8"/>
      <c r="I467" s="8"/>
      <c r="J467" s="8"/>
    </row>
    <row r="468">
      <c r="C468" s="8"/>
      <c r="I468" s="8"/>
      <c r="J468" s="8"/>
    </row>
    <row r="469">
      <c r="C469" s="8"/>
      <c r="I469" s="8"/>
      <c r="J469" s="8"/>
    </row>
    <row r="470">
      <c r="C470" s="8"/>
      <c r="I470" s="8"/>
      <c r="J470" s="8"/>
    </row>
    <row r="471">
      <c r="C471" s="8"/>
      <c r="I471" s="8"/>
      <c r="J471" s="8"/>
    </row>
    <row r="472">
      <c r="C472" s="8"/>
      <c r="I472" s="8"/>
      <c r="J472" s="8"/>
    </row>
    <row r="473">
      <c r="C473" s="8"/>
      <c r="I473" s="8"/>
      <c r="J473" s="8"/>
    </row>
    <row r="474">
      <c r="C474" s="8"/>
      <c r="I474" s="8"/>
      <c r="J474" s="8"/>
    </row>
    <row r="475">
      <c r="C475" s="8"/>
      <c r="I475" s="8"/>
      <c r="J475" s="8"/>
    </row>
    <row r="476">
      <c r="C476" s="8"/>
      <c r="I476" s="8"/>
      <c r="J476" s="8"/>
    </row>
    <row r="477">
      <c r="C477" s="8"/>
      <c r="I477" s="8"/>
      <c r="J477" s="8"/>
    </row>
    <row r="478">
      <c r="C478" s="8"/>
      <c r="I478" s="8"/>
      <c r="J478" s="8"/>
    </row>
    <row r="479">
      <c r="C479" s="8"/>
      <c r="I479" s="8"/>
      <c r="J479" s="8"/>
    </row>
    <row r="480">
      <c r="C480" s="8"/>
      <c r="I480" s="8"/>
      <c r="J480" s="8"/>
    </row>
    <row r="481">
      <c r="C481" s="8"/>
      <c r="I481" s="8"/>
      <c r="J481" s="8"/>
    </row>
    <row r="482">
      <c r="C482" s="8"/>
      <c r="I482" s="8"/>
      <c r="J482" s="8"/>
    </row>
    <row r="483">
      <c r="C483" s="8"/>
      <c r="I483" s="8"/>
      <c r="J483" s="8"/>
    </row>
    <row r="484">
      <c r="C484" s="8"/>
      <c r="I484" s="8"/>
      <c r="J484" s="8"/>
    </row>
    <row r="485">
      <c r="C485" s="8"/>
      <c r="I485" s="8"/>
      <c r="J485" s="8"/>
    </row>
    <row r="486">
      <c r="C486" s="8"/>
      <c r="I486" s="8"/>
      <c r="J486" s="8"/>
    </row>
    <row r="487">
      <c r="C487" s="8"/>
      <c r="I487" s="8"/>
      <c r="J487" s="8"/>
    </row>
    <row r="488">
      <c r="C488" s="8"/>
      <c r="I488" s="8"/>
      <c r="J488" s="8"/>
    </row>
    <row r="489">
      <c r="C489" s="8"/>
      <c r="I489" s="8"/>
      <c r="J489" s="8"/>
    </row>
    <row r="490">
      <c r="C490" s="8"/>
      <c r="I490" s="8"/>
      <c r="J490" s="8"/>
    </row>
    <row r="491">
      <c r="C491" s="8"/>
      <c r="I491" s="8"/>
      <c r="J491" s="8"/>
    </row>
    <row r="492">
      <c r="C492" s="8"/>
      <c r="I492" s="8"/>
      <c r="J492" s="8"/>
    </row>
    <row r="493">
      <c r="C493" s="8"/>
      <c r="I493" s="8"/>
      <c r="J493" s="8"/>
    </row>
    <row r="494">
      <c r="C494" s="8"/>
      <c r="I494" s="8"/>
      <c r="J494" s="8"/>
    </row>
    <row r="495">
      <c r="C495" s="8"/>
      <c r="I495" s="8"/>
      <c r="J495" s="8"/>
    </row>
    <row r="496">
      <c r="C496" s="8"/>
      <c r="I496" s="8"/>
      <c r="J496" s="8"/>
    </row>
    <row r="497">
      <c r="C497" s="8"/>
      <c r="I497" s="8"/>
      <c r="J497" s="8"/>
    </row>
    <row r="498">
      <c r="C498" s="8"/>
      <c r="I498" s="8"/>
      <c r="J498" s="8"/>
    </row>
    <row r="499">
      <c r="C499" s="8"/>
      <c r="I499" s="8"/>
      <c r="J499" s="8"/>
    </row>
    <row r="500">
      <c r="C500" s="8"/>
      <c r="I500" s="8"/>
      <c r="J500" s="8"/>
    </row>
    <row r="501">
      <c r="C501" s="8"/>
      <c r="I501" s="8"/>
      <c r="J501" s="8"/>
    </row>
    <row r="502">
      <c r="C502" s="8"/>
      <c r="I502" s="8"/>
      <c r="J502" s="8"/>
    </row>
    <row r="503">
      <c r="C503" s="8"/>
      <c r="I503" s="8"/>
      <c r="J503" s="8"/>
    </row>
    <row r="504">
      <c r="C504" s="8"/>
      <c r="I504" s="8"/>
      <c r="J504" s="8"/>
    </row>
    <row r="505">
      <c r="C505" s="8"/>
      <c r="I505" s="8"/>
      <c r="J505" s="8"/>
    </row>
    <row r="506">
      <c r="C506" s="8"/>
      <c r="I506" s="8"/>
      <c r="J506" s="8"/>
    </row>
    <row r="507">
      <c r="C507" s="8"/>
      <c r="I507" s="8"/>
      <c r="J507" s="8"/>
    </row>
    <row r="508">
      <c r="C508" s="8"/>
      <c r="I508" s="8"/>
      <c r="J508" s="8"/>
    </row>
    <row r="509">
      <c r="C509" s="8"/>
      <c r="I509" s="8"/>
      <c r="J509" s="8"/>
    </row>
    <row r="510">
      <c r="C510" s="8"/>
      <c r="I510" s="8"/>
      <c r="J510" s="8"/>
    </row>
    <row r="511">
      <c r="C511" s="8"/>
      <c r="I511" s="8"/>
      <c r="J511" s="8"/>
    </row>
    <row r="512">
      <c r="C512" s="8"/>
      <c r="I512" s="8"/>
      <c r="J512" s="8"/>
    </row>
    <row r="513">
      <c r="C513" s="8"/>
      <c r="I513" s="8"/>
      <c r="J513" s="8"/>
    </row>
    <row r="514">
      <c r="C514" s="8"/>
      <c r="I514" s="8"/>
      <c r="J514" s="8"/>
    </row>
    <row r="515">
      <c r="C515" s="8"/>
      <c r="I515" s="8"/>
      <c r="J515" s="8"/>
    </row>
    <row r="516">
      <c r="C516" s="8"/>
      <c r="I516" s="8"/>
      <c r="J516" s="8"/>
    </row>
    <row r="517">
      <c r="C517" s="8"/>
      <c r="I517" s="8"/>
      <c r="J517" s="8"/>
    </row>
    <row r="518">
      <c r="C518" s="8"/>
      <c r="I518" s="8"/>
      <c r="J518" s="8"/>
    </row>
    <row r="519">
      <c r="C519" s="8"/>
      <c r="I519" s="8"/>
      <c r="J519" s="8"/>
    </row>
    <row r="520">
      <c r="C520" s="8"/>
      <c r="I520" s="8"/>
      <c r="J520" s="8"/>
    </row>
    <row r="521">
      <c r="C521" s="8"/>
      <c r="I521" s="8"/>
      <c r="J521" s="8"/>
    </row>
    <row r="522">
      <c r="C522" s="8"/>
      <c r="I522" s="8"/>
      <c r="J522" s="8"/>
    </row>
    <row r="523">
      <c r="C523" s="8"/>
      <c r="I523" s="8"/>
      <c r="J523" s="8"/>
    </row>
    <row r="524">
      <c r="C524" s="8"/>
      <c r="I524" s="8"/>
      <c r="J524" s="8"/>
    </row>
    <row r="525">
      <c r="C525" s="8"/>
      <c r="I525" s="8"/>
      <c r="J525" s="8"/>
    </row>
    <row r="526">
      <c r="C526" s="8"/>
      <c r="I526" s="8"/>
      <c r="J526" s="8"/>
    </row>
    <row r="527">
      <c r="C527" s="8"/>
      <c r="I527" s="8"/>
      <c r="J527" s="8"/>
    </row>
    <row r="528">
      <c r="C528" s="8"/>
      <c r="I528" s="8"/>
      <c r="J528" s="8"/>
    </row>
    <row r="529">
      <c r="C529" s="8"/>
      <c r="I529" s="8"/>
      <c r="J529" s="8"/>
    </row>
    <row r="530">
      <c r="C530" s="8"/>
      <c r="I530" s="8"/>
      <c r="J530" s="8"/>
    </row>
    <row r="531">
      <c r="C531" s="8"/>
      <c r="I531" s="8"/>
      <c r="J531" s="8"/>
    </row>
    <row r="532">
      <c r="C532" s="8"/>
      <c r="I532" s="8"/>
      <c r="J532" s="8"/>
    </row>
    <row r="533">
      <c r="C533" s="8"/>
      <c r="I533" s="8"/>
      <c r="J533" s="8"/>
    </row>
    <row r="534">
      <c r="C534" s="8"/>
      <c r="I534" s="8"/>
      <c r="J534" s="8"/>
    </row>
    <row r="535">
      <c r="C535" s="8"/>
      <c r="I535" s="8"/>
      <c r="J535" s="8"/>
    </row>
    <row r="536">
      <c r="C536" s="8"/>
      <c r="I536" s="8"/>
      <c r="J536" s="8"/>
    </row>
    <row r="537">
      <c r="C537" s="8"/>
      <c r="I537" s="8"/>
      <c r="J537" s="8"/>
    </row>
    <row r="538">
      <c r="C538" s="8"/>
      <c r="I538" s="8"/>
      <c r="J538" s="8"/>
    </row>
    <row r="539">
      <c r="C539" s="8"/>
      <c r="I539" s="8"/>
      <c r="J539" s="8"/>
    </row>
    <row r="540">
      <c r="C540" s="8"/>
      <c r="I540" s="8"/>
      <c r="J540" s="8"/>
    </row>
    <row r="541">
      <c r="C541" s="8"/>
      <c r="I541" s="8"/>
      <c r="J541" s="8"/>
    </row>
    <row r="542">
      <c r="C542" s="8"/>
      <c r="I542" s="8"/>
      <c r="J542" s="8"/>
    </row>
    <row r="543">
      <c r="C543" s="8"/>
      <c r="I543" s="8"/>
      <c r="J543" s="8"/>
    </row>
    <row r="544">
      <c r="C544" s="8"/>
      <c r="I544" s="8"/>
      <c r="J544" s="8"/>
    </row>
    <row r="545">
      <c r="C545" s="8"/>
      <c r="I545" s="8"/>
      <c r="J545" s="8"/>
    </row>
    <row r="546">
      <c r="C546" s="8"/>
      <c r="I546" s="8"/>
      <c r="J546" s="8"/>
    </row>
    <row r="547">
      <c r="C547" s="8"/>
      <c r="I547" s="8"/>
      <c r="J547" s="8"/>
    </row>
    <row r="548">
      <c r="C548" s="8"/>
      <c r="I548" s="8"/>
      <c r="J548" s="8"/>
    </row>
    <row r="549">
      <c r="C549" s="8"/>
      <c r="I549" s="8"/>
      <c r="J549" s="8"/>
    </row>
    <row r="550">
      <c r="C550" s="8"/>
      <c r="I550" s="8"/>
      <c r="J550" s="8"/>
    </row>
    <row r="551">
      <c r="C551" s="8"/>
      <c r="I551" s="8"/>
      <c r="J551" s="8"/>
    </row>
    <row r="552">
      <c r="C552" s="8"/>
      <c r="I552" s="8"/>
      <c r="J552" s="8"/>
    </row>
    <row r="553">
      <c r="C553" s="8"/>
      <c r="I553" s="8"/>
      <c r="J553" s="8"/>
    </row>
    <row r="554">
      <c r="C554" s="8"/>
      <c r="I554" s="8"/>
      <c r="J554" s="8"/>
    </row>
    <row r="555">
      <c r="C555" s="8"/>
      <c r="I555" s="8"/>
      <c r="J555" s="8"/>
    </row>
    <row r="556">
      <c r="C556" s="8"/>
      <c r="I556" s="8"/>
      <c r="J556" s="8"/>
    </row>
    <row r="557">
      <c r="C557" s="8"/>
      <c r="I557" s="8"/>
      <c r="J557" s="8"/>
    </row>
    <row r="558">
      <c r="C558" s="8"/>
      <c r="I558" s="8"/>
      <c r="J558" s="8"/>
    </row>
    <row r="559">
      <c r="C559" s="8"/>
      <c r="I559" s="8"/>
      <c r="J559" s="8"/>
    </row>
    <row r="560">
      <c r="C560" s="8"/>
      <c r="I560" s="8"/>
      <c r="J560" s="8"/>
    </row>
    <row r="561">
      <c r="C561" s="8"/>
      <c r="I561" s="8"/>
      <c r="J561" s="8"/>
    </row>
    <row r="562">
      <c r="C562" s="8"/>
      <c r="I562" s="8"/>
      <c r="J562" s="8"/>
    </row>
    <row r="563">
      <c r="C563" s="8"/>
      <c r="I563" s="8"/>
      <c r="J563" s="8"/>
    </row>
    <row r="564">
      <c r="C564" s="8"/>
      <c r="I564" s="8"/>
      <c r="J564" s="8"/>
    </row>
    <row r="565">
      <c r="C565" s="8"/>
      <c r="I565" s="8"/>
      <c r="J565" s="8"/>
    </row>
    <row r="566">
      <c r="C566" s="8"/>
      <c r="I566" s="8"/>
      <c r="J566" s="8"/>
    </row>
    <row r="567">
      <c r="C567" s="8"/>
      <c r="I567" s="8"/>
      <c r="J567" s="8"/>
    </row>
    <row r="568">
      <c r="C568" s="8"/>
      <c r="I568" s="8"/>
      <c r="J568" s="8"/>
    </row>
    <row r="569">
      <c r="C569" s="8"/>
      <c r="I569" s="8"/>
      <c r="J569" s="8"/>
    </row>
    <row r="570">
      <c r="C570" s="8"/>
      <c r="I570" s="8"/>
      <c r="J570" s="8"/>
    </row>
    <row r="571">
      <c r="C571" s="8"/>
      <c r="I571" s="8"/>
      <c r="J571" s="8"/>
    </row>
    <row r="572">
      <c r="C572" s="8"/>
      <c r="I572" s="8"/>
      <c r="J572" s="8"/>
    </row>
    <row r="573">
      <c r="C573" s="8"/>
      <c r="I573" s="8"/>
      <c r="J573" s="8"/>
    </row>
    <row r="574">
      <c r="C574" s="8"/>
      <c r="I574" s="8"/>
      <c r="J574" s="8"/>
    </row>
    <row r="575">
      <c r="C575" s="8"/>
      <c r="I575" s="8"/>
      <c r="J575" s="8"/>
    </row>
    <row r="576">
      <c r="C576" s="8"/>
      <c r="I576" s="8"/>
      <c r="J576" s="8"/>
    </row>
    <row r="577">
      <c r="C577" s="8"/>
      <c r="I577" s="8"/>
      <c r="J577" s="8"/>
    </row>
    <row r="578">
      <c r="C578" s="8"/>
      <c r="I578" s="8"/>
      <c r="J578" s="8"/>
    </row>
    <row r="579">
      <c r="C579" s="8"/>
      <c r="I579" s="8"/>
      <c r="J579" s="8"/>
    </row>
    <row r="580">
      <c r="C580" s="8"/>
      <c r="I580" s="8"/>
      <c r="J580" s="8"/>
    </row>
    <row r="581">
      <c r="C581" s="8"/>
      <c r="I581" s="8"/>
      <c r="J581" s="8"/>
    </row>
    <row r="582">
      <c r="C582" s="8"/>
      <c r="I582" s="8"/>
      <c r="J582" s="8"/>
    </row>
    <row r="583">
      <c r="C583" s="8"/>
      <c r="I583" s="8"/>
      <c r="J583" s="8"/>
    </row>
    <row r="584">
      <c r="C584" s="8"/>
      <c r="I584" s="8"/>
      <c r="J584" s="8"/>
    </row>
    <row r="585">
      <c r="C585" s="8"/>
      <c r="I585" s="8"/>
      <c r="J585" s="8"/>
    </row>
    <row r="586">
      <c r="C586" s="8"/>
      <c r="I586" s="8"/>
      <c r="J586" s="8"/>
    </row>
    <row r="587">
      <c r="C587" s="8"/>
      <c r="I587" s="8"/>
      <c r="J587" s="8"/>
    </row>
    <row r="588">
      <c r="C588" s="8"/>
      <c r="I588" s="8"/>
      <c r="J588" s="8"/>
    </row>
    <row r="589">
      <c r="C589" s="8"/>
      <c r="I589" s="8"/>
      <c r="J589" s="8"/>
    </row>
    <row r="590">
      <c r="C590" s="8"/>
      <c r="I590" s="8"/>
      <c r="J590" s="8"/>
    </row>
    <row r="591">
      <c r="C591" s="8"/>
      <c r="I591" s="8"/>
      <c r="J591" s="8"/>
    </row>
    <row r="592">
      <c r="C592" s="8"/>
      <c r="I592" s="8"/>
      <c r="J592" s="8"/>
    </row>
    <row r="593">
      <c r="C593" s="8"/>
      <c r="I593" s="8"/>
      <c r="J593" s="8"/>
    </row>
    <row r="594">
      <c r="C594" s="8"/>
      <c r="I594" s="8"/>
      <c r="J594" s="8"/>
    </row>
    <row r="595">
      <c r="C595" s="8"/>
      <c r="I595" s="8"/>
      <c r="J595" s="8"/>
    </row>
    <row r="596">
      <c r="C596" s="8"/>
      <c r="I596" s="8"/>
      <c r="J596" s="8"/>
    </row>
    <row r="597">
      <c r="C597" s="8"/>
      <c r="I597" s="8"/>
      <c r="J597" s="8"/>
    </row>
    <row r="598">
      <c r="C598" s="8"/>
      <c r="I598" s="8"/>
      <c r="J598" s="8"/>
    </row>
    <row r="599">
      <c r="C599" s="8"/>
      <c r="I599" s="8"/>
      <c r="J599" s="8"/>
    </row>
    <row r="600">
      <c r="C600" s="8"/>
      <c r="I600" s="8"/>
      <c r="J600" s="8"/>
    </row>
    <row r="601">
      <c r="C601" s="8"/>
      <c r="I601" s="8"/>
      <c r="J601" s="8"/>
    </row>
    <row r="602">
      <c r="C602" s="8"/>
      <c r="I602" s="8"/>
      <c r="J602" s="8"/>
    </row>
    <row r="603">
      <c r="C603" s="8"/>
      <c r="I603" s="8"/>
      <c r="J603" s="8"/>
    </row>
    <row r="604">
      <c r="C604" s="8"/>
      <c r="I604" s="8"/>
      <c r="J604" s="8"/>
    </row>
    <row r="605">
      <c r="C605" s="8"/>
      <c r="I605" s="8"/>
      <c r="J605" s="8"/>
    </row>
    <row r="606">
      <c r="C606" s="8"/>
      <c r="I606" s="8"/>
      <c r="J606" s="8"/>
    </row>
    <row r="607">
      <c r="C607" s="8"/>
      <c r="I607" s="8"/>
      <c r="J607" s="8"/>
    </row>
    <row r="608">
      <c r="C608" s="8"/>
      <c r="I608" s="8"/>
      <c r="J608" s="8"/>
    </row>
    <row r="609">
      <c r="C609" s="8"/>
      <c r="I609" s="8"/>
      <c r="J609" s="8"/>
    </row>
    <row r="610">
      <c r="C610" s="8"/>
      <c r="I610" s="8"/>
      <c r="J610" s="8"/>
    </row>
    <row r="611">
      <c r="C611" s="8"/>
      <c r="I611" s="8"/>
      <c r="J611" s="8"/>
    </row>
    <row r="612">
      <c r="C612" s="8"/>
      <c r="I612" s="8"/>
      <c r="J612" s="8"/>
    </row>
    <row r="613">
      <c r="C613" s="8"/>
      <c r="I613" s="8"/>
      <c r="J613" s="8"/>
    </row>
    <row r="614">
      <c r="C614" s="8"/>
      <c r="I614" s="8"/>
      <c r="J614" s="8"/>
    </row>
    <row r="615">
      <c r="C615" s="8"/>
      <c r="I615" s="8"/>
      <c r="J615" s="8"/>
    </row>
    <row r="616">
      <c r="C616" s="8"/>
      <c r="I616" s="8"/>
      <c r="J616" s="8"/>
    </row>
    <row r="617">
      <c r="C617" s="8"/>
      <c r="I617" s="8"/>
      <c r="J617" s="8"/>
    </row>
    <row r="618">
      <c r="C618" s="8"/>
      <c r="I618" s="8"/>
      <c r="J618" s="8"/>
    </row>
    <row r="619">
      <c r="C619" s="8"/>
      <c r="I619" s="8"/>
      <c r="J619" s="8"/>
    </row>
    <row r="620">
      <c r="C620" s="8"/>
      <c r="I620" s="8"/>
      <c r="J620" s="8"/>
    </row>
    <row r="621">
      <c r="C621" s="8"/>
      <c r="I621" s="8"/>
      <c r="J621" s="8"/>
    </row>
    <row r="622">
      <c r="C622" s="8"/>
      <c r="I622" s="8"/>
      <c r="J622" s="8"/>
    </row>
    <row r="623">
      <c r="C623" s="8"/>
      <c r="I623" s="8"/>
      <c r="J623" s="8"/>
    </row>
    <row r="624">
      <c r="C624" s="8"/>
      <c r="I624" s="8"/>
      <c r="J624" s="8"/>
    </row>
    <row r="625">
      <c r="C625" s="8"/>
      <c r="I625" s="8"/>
      <c r="J625" s="8"/>
    </row>
    <row r="626">
      <c r="C626" s="8"/>
      <c r="I626" s="8"/>
      <c r="J626" s="8"/>
    </row>
    <row r="627">
      <c r="C627" s="8"/>
      <c r="I627" s="8"/>
      <c r="J627" s="8"/>
    </row>
    <row r="628">
      <c r="C628" s="8"/>
      <c r="I628" s="8"/>
      <c r="J628" s="8"/>
    </row>
    <row r="629">
      <c r="C629" s="8"/>
      <c r="I629" s="8"/>
      <c r="J629" s="8"/>
    </row>
    <row r="630">
      <c r="C630" s="8"/>
      <c r="I630" s="8"/>
      <c r="J630" s="8"/>
    </row>
    <row r="631">
      <c r="C631" s="8"/>
      <c r="I631" s="8"/>
      <c r="J631" s="8"/>
    </row>
    <row r="632">
      <c r="C632" s="8"/>
      <c r="I632" s="8"/>
      <c r="J632" s="8"/>
    </row>
    <row r="633">
      <c r="C633" s="8"/>
      <c r="I633" s="8"/>
      <c r="J633" s="8"/>
    </row>
    <row r="634">
      <c r="C634" s="8"/>
      <c r="I634" s="8"/>
      <c r="J634" s="8"/>
    </row>
    <row r="635">
      <c r="C635" s="8"/>
      <c r="I635" s="8"/>
      <c r="J635" s="8"/>
    </row>
    <row r="636">
      <c r="C636" s="8"/>
      <c r="I636" s="8"/>
      <c r="J636" s="8"/>
    </row>
    <row r="637">
      <c r="C637" s="8"/>
      <c r="I637" s="8"/>
      <c r="J637" s="8"/>
    </row>
    <row r="638">
      <c r="C638" s="8"/>
      <c r="I638" s="8"/>
      <c r="J638" s="8"/>
    </row>
    <row r="639">
      <c r="C639" s="8"/>
      <c r="I639" s="8"/>
      <c r="J639" s="8"/>
    </row>
    <row r="640">
      <c r="C640" s="8"/>
      <c r="I640" s="8"/>
      <c r="J640" s="8"/>
    </row>
    <row r="641">
      <c r="C641" s="8"/>
      <c r="I641" s="8"/>
      <c r="J641" s="8"/>
    </row>
    <row r="642">
      <c r="C642" s="8"/>
      <c r="I642" s="8"/>
      <c r="J642" s="8"/>
    </row>
    <row r="643">
      <c r="C643" s="8"/>
      <c r="I643" s="8"/>
      <c r="J643" s="8"/>
    </row>
    <row r="644">
      <c r="C644" s="8"/>
      <c r="I644" s="8"/>
      <c r="J644" s="8"/>
    </row>
    <row r="645">
      <c r="C645" s="8"/>
      <c r="I645" s="8"/>
      <c r="J645" s="8"/>
    </row>
    <row r="646">
      <c r="C646" s="8"/>
      <c r="I646" s="8"/>
      <c r="J646" s="8"/>
    </row>
    <row r="647">
      <c r="C647" s="8"/>
      <c r="I647" s="8"/>
      <c r="J647" s="8"/>
    </row>
    <row r="648">
      <c r="C648" s="8"/>
      <c r="I648" s="8"/>
      <c r="J648" s="8"/>
    </row>
    <row r="649">
      <c r="C649" s="8"/>
      <c r="I649" s="8"/>
      <c r="J649" s="8"/>
    </row>
    <row r="650">
      <c r="C650" s="8"/>
      <c r="I650" s="8"/>
      <c r="J650" s="8"/>
    </row>
    <row r="651">
      <c r="C651" s="8"/>
      <c r="I651" s="8"/>
      <c r="J651" s="8"/>
    </row>
    <row r="652">
      <c r="C652" s="8"/>
      <c r="I652" s="8"/>
      <c r="J652" s="8"/>
    </row>
    <row r="653">
      <c r="C653" s="8"/>
      <c r="I653" s="8"/>
      <c r="J653" s="8"/>
    </row>
    <row r="654">
      <c r="C654" s="8"/>
      <c r="I654" s="8"/>
      <c r="J654" s="8"/>
    </row>
    <row r="655">
      <c r="C655" s="8"/>
      <c r="I655" s="8"/>
      <c r="J655" s="8"/>
    </row>
    <row r="656">
      <c r="C656" s="8"/>
      <c r="I656" s="8"/>
      <c r="J656" s="8"/>
    </row>
    <row r="657">
      <c r="C657" s="8"/>
      <c r="I657" s="8"/>
      <c r="J657" s="8"/>
    </row>
    <row r="658">
      <c r="C658" s="8"/>
      <c r="I658" s="8"/>
      <c r="J658" s="8"/>
    </row>
    <row r="659">
      <c r="C659" s="8"/>
      <c r="I659" s="8"/>
      <c r="J659" s="8"/>
    </row>
    <row r="660">
      <c r="C660" s="8"/>
      <c r="I660" s="8"/>
      <c r="J660" s="8"/>
    </row>
    <row r="661">
      <c r="C661" s="8"/>
      <c r="I661" s="8"/>
      <c r="J661" s="8"/>
    </row>
    <row r="662">
      <c r="C662" s="8"/>
      <c r="I662" s="8"/>
      <c r="J662" s="8"/>
    </row>
    <row r="663">
      <c r="C663" s="8"/>
      <c r="I663" s="8"/>
      <c r="J663" s="8"/>
    </row>
    <row r="664">
      <c r="C664" s="8"/>
      <c r="I664" s="8"/>
      <c r="J664" s="8"/>
    </row>
    <row r="665">
      <c r="C665" s="8"/>
      <c r="I665" s="8"/>
      <c r="J665" s="8"/>
    </row>
    <row r="666">
      <c r="C666" s="8"/>
      <c r="I666" s="8"/>
      <c r="J666" s="8"/>
    </row>
    <row r="667">
      <c r="C667" s="8"/>
      <c r="I667" s="8"/>
      <c r="J667" s="8"/>
    </row>
    <row r="668">
      <c r="C668" s="8"/>
      <c r="I668" s="8"/>
      <c r="J668" s="8"/>
    </row>
    <row r="669">
      <c r="C669" s="8"/>
      <c r="I669" s="8"/>
      <c r="J669" s="8"/>
    </row>
    <row r="670">
      <c r="C670" s="8"/>
      <c r="I670" s="8"/>
      <c r="J670" s="8"/>
    </row>
    <row r="671">
      <c r="C671" s="8"/>
      <c r="I671" s="8"/>
      <c r="J671" s="8"/>
    </row>
    <row r="672">
      <c r="C672" s="8"/>
      <c r="I672" s="8"/>
      <c r="J672" s="8"/>
    </row>
    <row r="673">
      <c r="C673" s="8"/>
      <c r="I673" s="8"/>
      <c r="J673" s="8"/>
    </row>
    <row r="674">
      <c r="C674" s="8"/>
      <c r="I674" s="8"/>
      <c r="J674" s="8"/>
    </row>
    <row r="675">
      <c r="C675" s="8"/>
      <c r="I675" s="8"/>
      <c r="J675" s="8"/>
    </row>
    <row r="676">
      <c r="C676" s="8"/>
      <c r="I676" s="8"/>
      <c r="J676" s="8"/>
    </row>
    <row r="677">
      <c r="C677" s="8"/>
      <c r="I677" s="8"/>
      <c r="J677" s="8"/>
    </row>
    <row r="678">
      <c r="C678" s="8"/>
      <c r="I678" s="8"/>
      <c r="J678" s="8"/>
    </row>
    <row r="679">
      <c r="C679" s="8"/>
      <c r="I679" s="8"/>
      <c r="J679" s="8"/>
    </row>
    <row r="680">
      <c r="C680" s="8"/>
      <c r="I680" s="8"/>
      <c r="J680" s="8"/>
    </row>
    <row r="681">
      <c r="C681" s="8"/>
      <c r="I681" s="8"/>
      <c r="J681" s="8"/>
    </row>
    <row r="682">
      <c r="C682" s="8"/>
      <c r="I682" s="8"/>
      <c r="J682" s="8"/>
    </row>
    <row r="683">
      <c r="C683" s="8"/>
      <c r="I683" s="8"/>
      <c r="J683" s="8"/>
    </row>
    <row r="684">
      <c r="C684" s="8"/>
      <c r="I684" s="8"/>
      <c r="J684" s="8"/>
    </row>
    <row r="685">
      <c r="C685" s="8"/>
      <c r="I685" s="8"/>
      <c r="J685" s="8"/>
    </row>
    <row r="686">
      <c r="C686" s="8"/>
      <c r="I686" s="8"/>
      <c r="J686" s="8"/>
    </row>
    <row r="687">
      <c r="C687" s="8"/>
      <c r="I687" s="8"/>
      <c r="J687" s="8"/>
    </row>
    <row r="688">
      <c r="C688" s="8"/>
      <c r="I688" s="8"/>
      <c r="J688" s="8"/>
    </row>
    <row r="689">
      <c r="C689" s="8"/>
      <c r="I689" s="8"/>
      <c r="J689" s="8"/>
    </row>
    <row r="690">
      <c r="C690" s="8"/>
      <c r="I690" s="8"/>
      <c r="J690" s="8"/>
    </row>
    <row r="691">
      <c r="C691" s="8"/>
      <c r="I691" s="8"/>
      <c r="J691" s="8"/>
    </row>
    <row r="692">
      <c r="C692" s="8"/>
      <c r="I692" s="8"/>
      <c r="J692" s="8"/>
    </row>
    <row r="693">
      <c r="C693" s="8"/>
      <c r="I693" s="8"/>
      <c r="J693" s="8"/>
    </row>
    <row r="694">
      <c r="C694" s="8"/>
      <c r="I694" s="8"/>
      <c r="J694" s="8"/>
    </row>
    <row r="695">
      <c r="C695" s="8"/>
      <c r="I695" s="8"/>
      <c r="J695" s="8"/>
    </row>
    <row r="696">
      <c r="C696" s="8"/>
      <c r="I696" s="8"/>
      <c r="J696" s="8"/>
    </row>
    <row r="697">
      <c r="C697" s="8"/>
      <c r="I697" s="8"/>
      <c r="J697" s="8"/>
    </row>
    <row r="698">
      <c r="C698" s="8"/>
      <c r="I698" s="8"/>
      <c r="J698" s="8"/>
    </row>
    <row r="699">
      <c r="C699" s="8"/>
      <c r="I699" s="8"/>
      <c r="J699" s="8"/>
    </row>
    <row r="700">
      <c r="C700" s="8"/>
      <c r="I700" s="8"/>
      <c r="J700" s="8"/>
    </row>
    <row r="701">
      <c r="C701" s="8"/>
      <c r="I701" s="8"/>
      <c r="J701" s="8"/>
    </row>
    <row r="702">
      <c r="C702" s="8"/>
      <c r="I702" s="8"/>
      <c r="J702" s="8"/>
    </row>
    <row r="703">
      <c r="C703" s="8"/>
      <c r="I703" s="8"/>
      <c r="J703" s="8"/>
    </row>
    <row r="704">
      <c r="C704" s="8"/>
      <c r="I704" s="8"/>
      <c r="J704" s="8"/>
    </row>
    <row r="705">
      <c r="C705" s="8"/>
      <c r="I705" s="8"/>
      <c r="J705" s="8"/>
    </row>
    <row r="706">
      <c r="C706" s="8"/>
      <c r="I706" s="8"/>
      <c r="J706" s="8"/>
    </row>
    <row r="707">
      <c r="C707" s="8"/>
      <c r="I707" s="8"/>
      <c r="J707" s="8"/>
    </row>
    <row r="708">
      <c r="C708" s="8"/>
      <c r="I708" s="8"/>
      <c r="J708" s="8"/>
    </row>
    <row r="709">
      <c r="C709" s="8"/>
      <c r="I709" s="8"/>
      <c r="J709" s="8"/>
    </row>
    <row r="710">
      <c r="C710" s="8"/>
      <c r="I710" s="8"/>
      <c r="J710" s="8"/>
    </row>
    <row r="711">
      <c r="C711" s="8"/>
      <c r="I711" s="8"/>
      <c r="J711" s="8"/>
    </row>
    <row r="712">
      <c r="C712" s="8"/>
      <c r="I712" s="8"/>
      <c r="J712" s="8"/>
    </row>
    <row r="713">
      <c r="C713" s="8"/>
      <c r="I713" s="8"/>
      <c r="J713" s="8"/>
    </row>
    <row r="714">
      <c r="C714" s="8"/>
      <c r="I714" s="8"/>
      <c r="J714" s="8"/>
    </row>
    <row r="715">
      <c r="C715" s="8"/>
      <c r="I715" s="8"/>
      <c r="J715" s="8"/>
    </row>
    <row r="716">
      <c r="C716" s="8"/>
      <c r="I716" s="8"/>
      <c r="J716" s="8"/>
    </row>
    <row r="717">
      <c r="C717" s="8"/>
      <c r="I717" s="8"/>
      <c r="J717" s="8"/>
    </row>
    <row r="718">
      <c r="C718" s="8"/>
      <c r="I718" s="8"/>
      <c r="J718" s="8"/>
    </row>
    <row r="719">
      <c r="C719" s="8"/>
      <c r="I719" s="8"/>
      <c r="J719" s="8"/>
    </row>
    <row r="720">
      <c r="C720" s="8"/>
      <c r="I720" s="8"/>
      <c r="J720" s="8"/>
    </row>
    <row r="721">
      <c r="C721" s="8"/>
      <c r="I721" s="8"/>
      <c r="J721" s="8"/>
    </row>
    <row r="722">
      <c r="C722" s="8"/>
      <c r="I722" s="8"/>
      <c r="J722" s="8"/>
    </row>
    <row r="723">
      <c r="C723" s="8"/>
      <c r="I723" s="8"/>
      <c r="J723" s="8"/>
    </row>
    <row r="724">
      <c r="C724" s="8"/>
      <c r="I724" s="8"/>
      <c r="J724" s="8"/>
    </row>
    <row r="725">
      <c r="C725" s="8"/>
      <c r="I725" s="8"/>
      <c r="J725" s="8"/>
    </row>
    <row r="726">
      <c r="C726" s="8"/>
      <c r="I726" s="8"/>
      <c r="J726" s="8"/>
    </row>
    <row r="727">
      <c r="C727" s="8"/>
      <c r="I727" s="8"/>
      <c r="J727" s="8"/>
    </row>
    <row r="728">
      <c r="C728" s="8"/>
      <c r="I728" s="8"/>
      <c r="J728" s="8"/>
    </row>
    <row r="729">
      <c r="C729" s="8"/>
      <c r="I729" s="8"/>
      <c r="J729" s="8"/>
    </row>
    <row r="730">
      <c r="C730" s="8"/>
      <c r="I730" s="8"/>
      <c r="J730" s="8"/>
    </row>
    <row r="731">
      <c r="C731" s="8"/>
      <c r="I731" s="8"/>
      <c r="J731" s="8"/>
    </row>
    <row r="732">
      <c r="C732" s="8"/>
      <c r="I732" s="8"/>
      <c r="J732" s="8"/>
    </row>
    <row r="733">
      <c r="C733" s="8"/>
      <c r="I733" s="8"/>
      <c r="J733" s="8"/>
    </row>
    <row r="734">
      <c r="C734" s="8"/>
      <c r="I734" s="8"/>
      <c r="J734" s="8"/>
    </row>
    <row r="735">
      <c r="C735" s="8"/>
      <c r="I735" s="8"/>
      <c r="J735" s="8"/>
    </row>
    <row r="736">
      <c r="C736" s="8"/>
      <c r="I736" s="8"/>
      <c r="J736" s="8"/>
    </row>
    <row r="737">
      <c r="C737" s="8"/>
      <c r="I737" s="8"/>
      <c r="J737" s="8"/>
    </row>
    <row r="738">
      <c r="C738" s="8"/>
      <c r="I738" s="8"/>
      <c r="J738" s="8"/>
    </row>
    <row r="739">
      <c r="C739" s="8"/>
      <c r="I739" s="8"/>
      <c r="J739" s="8"/>
    </row>
    <row r="740">
      <c r="C740" s="8"/>
      <c r="I740" s="8"/>
      <c r="J740" s="8"/>
    </row>
    <row r="741">
      <c r="C741" s="8"/>
      <c r="I741" s="8"/>
      <c r="J741" s="8"/>
    </row>
    <row r="742">
      <c r="C742" s="8"/>
      <c r="I742" s="8"/>
      <c r="J742" s="8"/>
    </row>
    <row r="743">
      <c r="C743" s="8"/>
      <c r="I743" s="8"/>
      <c r="J743" s="8"/>
    </row>
    <row r="744">
      <c r="C744" s="8"/>
      <c r="I744" s="8"/>
      <c r="J744" s="8"/>
    </row>
    <row r="745">
      <c r="C745" s="8"/>
      <c r="I745" s="8"/>
      <c r="J745" s="8"/>
    </row>
    <row r="746">
      <c r="C746" s="8"/>
      <c r="I746" s="8"/>
      <c r="J746" s="8"/>
    </row>
    <row r="747">
      <c r="C747" s="8"/>
      <c r="I747" s="8"/>
      <c r="J747" s="8"/>
    </row>
    <row r="748">
      <c r="C748" s="8"/>
      <c r="I748" s="8"/>
      <c r="J748" s="8"/>
    </row>
    <row r="749">
      <c r="C749" s="8"/>
      <c r="I749" s="8"/>
      <c r="J749" s="8"/>
    </row>
    <row r="750">
      <c r="C750" s="8"/>
      <c r="I750" s="8"/>
      <c r="J750" s="8"/>
    </row>
    <row r="751">
      <c r="C751" s="8"/>
      <c r="I751" s="8"/>
      <c r="J751" s="8"/>
    </row>
    <row r="752">
      <c r="C752" s="8"/>
      <c r="I752" s="8"/>
      <c r="J752" s="8"/>
    </row>
    <row r="753">
      <c r="C753" s="8"/>
      <c r="I753" s="8"/>
      <c r="J753" s="8"/>
    </row>
    <row r="754">
      <c r="C754" s="8"/>
      <c r="I754" s="8"/>
      <c r="J754" s="8"/>
    </row>
    <row r="755">
      <c r="C755" s="8"/>
      <c r="I755" s="8"/>
      <c r="J755" s="8"/>
    </row>
    <row r="756">
      <c r="C756" s="8"/>
      <c r="I756" s="8"/>
      <c r="J756" s="8"/>
    </row>
    <row r="757">
      <c r="C757" s="8"/>
      <c r="I757" s="8"/>
      <c r="J757" s="8"/>
    </row>
    <row r="758">
      <c r="C758" s="8"/>
      <c r="I758" s="8"/>
      <c r="J758" s="8"/>
    </row>
    <row r="759">
      <c r="C759" s="8"/>
      <c r="I759" s="8"/>
      <c r="J759" s="8"/>
    </row>
    <row r="760">
      <c r="C760" s="8"/>
      <c r="I760" s="8"/>
      <c r="J760" s="8"/>
    </row>
    <row r="761">
      <c r="C761" s="8"/>
      <c r="I761" s="8"/>
      <c r="J761" s="8"/>
    </row>
    <row r="762">
      <c r="C762" s="8"/>
      <c r="I762" s="8"/>
      <c r="J762" s="8"/>
    </row>
    <row r="763">
      <c r="C763" s="8"/>
      <c r="I763" s="8"/>
      <c r="J763" s="8"/>
    </row>
    <row r="764">
      <c r="C764" s="8"/>
      <c r="I764" s="8"/>
      <c r="J764" s="8"/>
    </row>
    <row r="765">
      <c r="C765" s="8"/>
      <c r="I765" s="8"/>
      <c r="J765" s="8"/>
    </row>
    <row r="766">
      <c r="C766" s="8"/>
      <c r="I766" s="8"/>
      <c r="J766" s="8"/>
    </row>
    <row r="767">
      <c r="C767" s="8"/>
      <c r="I767" s="8"/>
      <c r="J767" s="8"/>
    </row>
    <row r="768">
      <c r="C768" s="8"/>
      <c r="I768" s="8"/>
      <c r="J768" s="8"/>
    </row>
    <row r="769">
      <c r="C769" s="8"/>
      <c r="I769" s="8"/>
      <c r="J769" s="8"/>
    </row>
    <row r="770">
      <c r="C770" s="8"/>
      <c r="I770" s="8"/>
      <c r="J770" s="8"/>
    </row>
    <row r="771">
      <c r="C771" s="8"/>
      <c r="I771" s="8"/>
      <c r="J771" s="8"/>
    </row>
    <row r="772">
      <c r="C772" s="8"/>
      <c r="I772" s="8"/>
      <c r="J772" s="8"/>
    </row>
    <row r="773">
      <c r="C773" s="8"/>
      <c r="I773" s="8"/>
      <c r="J773" s="8"/>
    </row>
    <row r="774">
      <c r="C774" s="8"/>
      <c r="I774" s="8"/>
      <c r="J774" s="8"/>
    </row>
    <row r="775">
      <c r="C775" s="8"/>
      <c r="I775" s="8"/>
      <c r="J775" s="8"/>
    </row>
    <row r="776">
      <c r="C776" s="8"/>
      <c r="I776" s="8"/>
      <c r="J776" s="8"/>
    </row>
    <row r="777">
      <c r="C777" s="8"/>
      <c r="I777" s="8"/>
      <c r="J777" s="8"/>
    </row>
    <row r="778">
      <c r="C778" s="8"/>
      <c r="I778" s="8"/>
      <c r="J778" s="8"/>
    </row>
    <row r="779">
      <c r="C779" s="8"/>
      <c r="I779" s="8"/>
      <c r="J779" s="8"/>
    </row>
    <row r="780">
      <c r="C780" s="8"/>
      <c r="I780" s="8"/>
      <c r="J780" s="8"/>
    </row>
    <row r="781">
      <c r="C781" s="8"/>
      <c r="I781" s="8"/>
      <c r="J781" s="8"/>
    </row>
    <row r="782">
      <c r="C782" s="8"/>
      <c r="I782" s="8"/>
      <c r="J782" s="8"/>
    </row>
    <row r="783">
      <c r="C783" s="8"/>
      <c r="I783" s="8"/>
      <c r="J783" s="8"/>
    </row>
    <row r="784">
      <c r="C784" s="8"/>
      <c r="I784" s="8"/>
      <c r="J784" s="8"/>
    </row>
    <row r="785">
      <c r="C785" s="8"/>
      <c r="I785" s="8"/>
      <c r="J785" s="8"/>
    </row>
    <row r="786">
      <c r="C786" s="8"/>
      <c r="I786" s="8"/>
      <c r="J786" s="8"/>
    </row>
    <row r="787">
      <c r="C787" s="8"/>
      <c r="I787" s="8"/>
      <c r="J787" s="8"/>
    </row>
    <row r="788">
      <c r="C788" s="8"/>
      <c r="I788" s="8"/>
      <c r="J788" s="8"/>
    </row>
    <row r="789">
      <c r="C789" s="8"/>
      <c r="I789" s="8"/>
      <c r="J789" s="8"/>
    </row>
    <row r="790">
      <c r="C790" s="8"/>
      <c r="I790" s="8"/>
      <c r="J790" s="8"/>
    </row>
    <row r="791">
      <c r="C791" s="8"/>
      <c r="I791" s="8"/>
      <c r="J791" s="8"/>
    </row>
    <row r="792">
      <c r="C792" s="8"/>
      <c r="I792" s="8"/>
      <c r="J792" s="8"/>
    </row>
    <row r="793">
      <c r="C793" s="8"/>
      <c r="I793" s="8"/>
      <c r="J793" s="8"/>
    </row>
    <row r="794">
      <c r="C794" s="8"/>
      <c r="I794" s="8"/>
      <c r="J794" s="8"/>
    </row>
    <row r="795">
      <c r="C795" s="8"/>
      <c r="I795" s="8"/>
      <c r="J795" s="8"/>
    </row>
    <row r="796">
      <c r="C796" s="8"/>
      <c r="I796" s="8"/>
      <c r="J796" s="8"/>
    </row>
    <row r="797">
      <c r="C797" s="8"/>
      <c r="I797" s="8"/>
      <c r="J797" s="8"/>
    </row>
    <row r="798">
      <c r="C798" s="8"/>
      <c r="I798" s="8"/>
      <c r="J798" s="8"/>
    </row>
    <row r="799">
      <c r="C799" s="8"/>
      <c r="I799" s="8"/>
      <c r="J799" s="8"/>
    </row>
    <row r="800">
      <c r="C800" s="8"/>
      <c r="I800" s="8"/>
      <c r="J800" s="8"/>
    </row>
    <row r="801">
      <c r="C801" s="8"/>
      <c r="I801" s="8"/>
      <c r="J801" s="8"/>
    </row>
    <row r="802">
      <c r="C802" s="8"/>
      <c r="I802" s="8"/>
      <c r="J802" s="8"/>
    </row>
    <row r="803">
      <c r="C803" s="8"/>
      <c r="I803" s="8"/>
      <c r="J803" s="8"/>
    </row>
    <row r="804">
      <c r="C804" s="8"/>
      <c r="I804" s="8"/>
      <c r="J804" s="8"/>
    </row>
    <row r="805">
      <c r="C805" s="8"/>
      <c r="I805" s="8"/>
      <c r="J805" s="8"/>
    </row>
    <row r="806">
      <c r="C806" s="8"/>
      <c r="I806" s="8"/>
      <c r="J806" s="8"/>
    </row>
    <row r="807">
      <c r="C807" s="8"/>
      <c r="I807" s="8"/>
      <c r="J807" s="8"/>
    </row>
    <row r="808">
      <c r="C808" s="8"/>
      <c r="I808" s="8"/>
      <c r="J808" s="8"/>
    </row>
    <row r="809">
      <c r="C809" s="8"/>
      <c r="I809" s="8"/>
      <c r="J809" s="8"/>
    </row>
    <row r="810">
      <c r="C810" s="8"/>
      <c r="I810" s="8"/>
      <c r="J810" s="8"/>
    </row>
    <row r="811">
      <c r="C811" s="8"/>
      <c r="I811" s="8"/>
      <c r="J811" s="8"/>
    </row>
    <row r="812">
      <c r="C812" s="8"/>
      <c r="I812" s="8"/>
      <c r="J812" s="8"/>
    </row>
    <row r="813">
      <c r="C813" s="8"/>
      <c r="I813" s="8"/>
      <c r="J813" s="8"/>
    </row>
    <row r="814">
      <c r="C814" s="8"/>
      <c r="I814" s="8"/>
      <c r="J814" s="8"/>
    </row>
    <row r="815">
      <c r="C815" s="8"/>
      <c r="I815" s="8"/>
      <c r="J815" s="8"/>
    </row>
    <row r="816">
      <c r="C816" s="8"/>
      <c r="I816" s="8"/>
      <c r="J816" s="8"/>
    </row>
    <row r="817">
      <c r="C817" s="8"/>
      <c r="I817" s="8"/>
      <c r="J817" s="8"/>
    </row>
    <row r="818">
      <c r="C818" s="8"/>
      <c r="I818" s="8"/>
      <c r="J818" s="8"/>
    </row>
    <row r="819">
      <c r="C819" s="8"/>
      <c r="I819" s="8"/>
      <c r="J819" s="8"/>
    </row>
    <row r="820">
      <c r="C820" s="8"/>
      <c r="I820" s="8"/>
      <c r="J820" s="8"/>
    </row>
    <row r="821">
      <c r="C821" s="8"/>
      <c r="I821" s="8"/>
      <c r="J821" s="8"/>
    </row>
    <row r="822">
      <c r="C822" s="8"/>
      <c r="I822" s="8"/>
      <c r="J822" s="8"/>
    </row>
    <row r="823">
      <c r="C823" s="8"/>
      <c r="I823" s="8"/>
      <c r="J823" s="8"/>
    </row>
    <row r="824">
      <c r="C824" s="8"/>
      <c r="I824" s="8"/>
      <c r="J824" s="8"/>
    </row>
    <row r="825">
      <c r="C825" s="8"/>
      <c r="I825" s="8"/>
      <c r="J825" s="8"/>
    </row>
    <row r="826">
      <c r="C826" s="8"/>
      <c r="I826" s="8"/>
      <c r="J826" s="8"/>
    </row>
    <row r="827">
      <c r="C827" s="8"/>
      <c r="I827" s="8"/>
      <c r="J827" s="8"/>
    </row>
    <row r="828">
      <c r="C828" s="8"/>
      <c r="I828" s="8"/>
      <c r="J828" s="8"/>
    </row>
    <row r="829">
      <c r="C829" s="8"/>
      <c r="I829" s="8"/>
      <c r="J829" s="8"/>
    </row>
    <row r="830">
      <c r="C830" s="8"/>
      <c r="I830" s="8"/>
      <c r="J830" s="8"/>
    </row>
    <row r="831">
      <c r="C831" s="8"/>
      <c r="I831" s="8"/>
      <c r="J831" s="8"/>
    </row>
    <row r="832">
      <c r="C832" s="8"/>
      <c r="I832" s="8"/>
      <c r="J832" s="8"/>
    </row>
    <row r="833">
      <c r="C833" s="8"/>
      <c r="I833" s="8"/>
      <c r="J833" s="8"/>
    </row>
    <row r="834">
      <c r="C834" s="8"/>
      <c r="I834" s="8"/>
      <c r="J834" s="8"/>
    </row>
    <row r="835">
      <c r="C835" s="8"/>
      <c r="I835" s="8"/>
      <c r="J835" s="8"/>
    </row>
    <row r="836">
      <c r="C836" s="8"/>
      <c r="I836" s="8"/>
      <c r="J836" s="8"/>
    </row>
    <row r="837">
      <c r="C837" s="8"/>
      <c r="I837" s="8"/>
      <c r="J837" s="8"/>
    </row>
    <row r="838">
      <c r="C838" s="8"/>
      <c r="I838" s="8"/>
      <c r="J838" s="8"/>
    </row>
    <row r="839">
      <c r="C839" s="8"/>
      <c r="I839" s="8"/>
      <c r="J839" s="8"/>
    </row>
    <row r="840">
      <c r="C840" s="8"/>
      <c r="I840" s="8"/>
      <c r="J840" s="8"/>
    </row>
    <row r="841">
      <c r="C841" s="8"/>
      <c r="I841" s="8"/>
      <c r="J841" s="8"/>
    </row>
    <row r="842">
      <c r="C842" s="8"/>
      <c r="I842" s="8"/>
      <c r="J842" s="8"/>
    </row>
    <row r="843">
      <c r="C843" s="8"/>
      <c r="I843" s="8"/>
      <c r="J843" s="8"/>
    </row>
    <row r="844">
      <c r="C844" s="8"/>
      <c r="I844" s="8"/>
      <c r="J844" s="8"/>
    </row>
    <row r="845">
      <c r="C845" s="8"/>
      <c r="I845" s="8"/>
      <c r="J845" s="8"/>
    </row>
    <row r="846">
      <c r="C846" s="8"/>
      <c r="I846" s="8"/>
      <c r="J846" s="8"/>
    </row>
    <row r="847">
      <c r="C847" s="8"/>
      <c r="I847" s="8"/>
      <c r="J847" s="8"/>
    </row>
    <row r="848">
      <c r="C848" s="8"/>
      <c r="I848" s="8"/>
      <c r="J848" s="8"/>
    </row>
    <row r="849">
      <c r="C849" s="8"/>
      <c r="I849" s="8"/>
      <c r="J849" s="8"/>
    </row>
    <row r="850">
      <c r="C850" s="8"/>
      <c r="I850" s="8"/>
      <c r="J850" s="8"/>
    </row>
    <row r="851">
      <c r="C851" s="8"/>
      <c r="I851" s="8"/>
      <c r="J851" s="8"/>
    </row>
    <row r="852">
      <c r="C852" s="8"/>
      <c r="I852" s="8"/>
      <c r="J852" s="8"/>
    </row>
    <row r="853">
      <c r="C853" s="8"/>
      <c r="I853" s="8"/>
      <c r="J853" s="8"/>
    </row>
    <row r="854">
      <c r="C854" s="8"/>
      <c r="I854" s="8"/>
      <c r="J854" s="8"/>
    </row>
    <row r="855">
      <c r="C855" s="8"/>
      <c r="I855" s="8"/>
      <c r="J855" s="8"/>
    </row>
    <row r="856">
      <c r="C856" s="8"/>
      <c r="I856" s="8"/>
      <c r="J856" s="8"/>
    </row>
    <row r="857">
      <c r="C857" s="8"/>
      <c r="I857" s="8"/>
      <c r="J857" s="8"/>
    </row>
    <row r="858">
      <c r="C858" s="8"/>
      <c r="I858" s="8"/>
      <c r="J858" s="8"/>
    </row>
    <row r="859">
      <c r="C859" s="8"/>
      <c r="I859" s="8"/>
      <c r="J859" s="8"/>
    </row>
    <row r="860">
      <c r="C860" s="8"/>
      <c r="I860" s="8"/>
      <c r="J860" s="8"/>
    </row>
    <row r="861">
      <c r="C861" s="8"/>
      <c r="I861" s="8"/>
      <c r="J861" s="8"/>
    </row>
    <row r="862">
      <c r="C862" s="8"/>
      <c r="I862" s="8"/>
      <c r="J862" s="8"/>
    </row>
    <row r="863">
      <c r="C863" s="8"/>
      <c r="I863" s="8"/>
      <c r="J863" s="8"/>
    </row>
    <row r="864">
      <c r="C864" s="8"/>
      <c r="I864" s="8"/>
      <c r="J864" s="8"/>
    </row>
    <row r="865">
      <c r="C865" s="8"/>
      <c r="I865" s="8"/>
      <c r="J865" s="8"/>
    </row>
    <row r="866">
      <c r="C866" s="8"/>
      <c r="I866" s="8"/>
      <c r="J866" s="8"/>
    </row>
    <row r="867">
      <c r="C867" s="8"/>
      <c r="I867" s="8"/>
      <c r="J867" s="8"/>
    </row>
    <row r="868">
      <c r="C868" s="8"/>
      <c r="I868" s="8"/>
      <c r="J868" s="8"/>
    </row>
    <row r="869">
      <c r="C869" s="8"/>
      <c r="I869" s="8"/>
      <c r="J869" s="8"/>
    </row>
    <row r="870">
      <c r="C870" s="8"/>
      <c r="I870" s="8"/>
      <c r="J870" s="8"/>
    </row>
    <row r="871">
      <c r="C871" s="8"/>
      <c r="I871" s="8"/>
      <c r="J871" s="8"/>
    </row>
    <row r="872">
      <c r="C872" s="8"/>
      <c r="I872" s="8"/>
      <c r="J872" s="8"/>
    </row>
    <row r="873">
      <c r="C873" s="8"/>
      <c r="I873" s="8"/>
      <c r="J873" s="8"/>
    </row>
    <row r="874">
      <c r="C874" s="8"/>
      <c r="I874" s="8"/>
      <c r="J874" s="8"/>
    </row>
    <row r="875">
      <c r="C875" s="8"/>
      <c r="I875" s="8"/>
      <c r="J875" s="8"/>
    </row>
    <row r="876">
      <c r="C876" s="8"/>
      <c r="I876" s="8"/>
      <c r="J876" s="8"/>
    </row>
    <row r="877">
      <c r="C877" s="8"/>
      <c r="I877" s="8"/>
      <c r="J877" s="8"/>
    </row>
    <row r="878">
      <c r="C878" s="8"/>
      <c r="I878" s="8"/>
      <c r="J878" s="8"/>
    </row>
    <row r="879">
      <c r="C879" s="8"/>
      <c r="I879" s="8"/>
      <c r="J879" s="8"/>
    </row>
    <row r="880">
      <c r="C880" s="8"/>
      <c r="I880" s="8"/>
      <c r="J880" s="8"/>
    </row>
    <row r="881">
      <c r="C881" s="8"/>
      <c r="I881" s="8"/>
      <c r="J881" s="8"/>
    </row>
    <row r="882">
      <c r="C882" s="8"/>
      <c r="I882" s="8"/>
      <c r="J882" s="8"/>
    </row>
    <row r="883">
      <c r="C883" s="8"/>
      <c r="I883" s="8"/>
      <c r="J883" s="8"/>
    </row>
    <row r="884">
      <c r="C884" s="8"/>
      <c r="I884" s="8"/>
      <c r="J884" s="8"/>
    </row>
    <row r="885">
      <c r="C885" s="8"/>
      <c r="I885" s="8"/>
      <c r="J885" s="8"/>
    </row>
    <row r="886">
      <c r="C886" s="8"/>
      <c r="I886" s="8"/>
      <c r="J886" s="8"/>
    </row>
    <row r="887">
      <c r="C887" s="8"/>
      <c r="I887" s="8"/>
      <c r="J887" s="8"/>
    </row>
    <row r="888">
      <c r="C888" s="8"/>
      <c r="I888" s="8"/>
      <c r="J888" s="8"/>
    </row>
    <row r="889">
      <c r="C889" s="8"/>
      <c r="I889" s="8"/>
      <c r="J889" s="8"/>
    </row>
    <row r="890">
      <c r="C890" s="8"/>
      <c r="I890" s="8"/>
      <c r="J890" s="8"/>
    </row>
    <row r="891">
      <c r="C891" s="8"/>
      <c r="I891" s="8"/>
      <c r="J891" s="8"/>
    </row>
    <row r="892">
      <c r="C892" s="8"/>
      <c r="I892" s="8"/>
      <c r="J892" s="8"/>
    </row>
    <row r="893">
      <c r="C893" s="8"/>
      <c r="I893" s="8"/>
      <c r="J893" s="8"/>
    </row>
    <row r="894">
      <c r="C894" s="8"/>
      <c r="I894" s="8"/>
      <c r="J894" s="8"/>
    </row>
    <row r="895">
      <c r="C895" s="8"/>
      <c r="I895" s="8"/>
      <c r="J895" s="8"/>
    </row>
    <row r="896">
      <c r="C896" s="8"/>
      <c r="I896" s="8"/>
      <c r="J896" s="8"/>
    </row>
    <row r="897">
      <c r="C897" s="8"/>
      <c r="I897" s="8"/>
      <c r="J897" s="8"/>
    </row>
    <row r="898">
      <c r="C898" s="8"/>
      <c r="I898" s="8"/>
      <c r="J898" s="8"/>
    </row>
    <row r="899">
      <c r="C899" s="8"/>
      <c r="I899" s="8"/>
      <c r="J899" s="8"/>
    </row>
    <row r="900">
      <c r="C900" s="8"/>
      <c r="I900" s="8"/>
      <c r="J900" s="8"/>
    </row>
    <row r="901">
      <c r="C901" s="8"/>
      <c r="I901" s="8"/>
      <c r="J901" s="8"/>
    </row>
    <row r="902">
      <c r="C902" s="8"/>
      <c r="I902" s="8"/>
      <c r="J902" s="8"/>
    </row>
    <row r="903">
      <c r="C903" s="8"/>
      <c r="I903" s="8"/>
      <c r="J903" s="8"/>
    </row>
    <row r="904">
      <c r="C904" s="8"/>
      <c r="I904" s="8"/>
      <c r="J904" s="8"/>
    </row>
    <row r="905">
      <c r="C905" s="8"/>
      <c r="I905" s="8"/>
      <c r="J905" s="8"/>
    </row>
    <row r="906">
      <c r="C906" s="8"/>
      <c r="I906" s="8"/>
      <c r="J906" s="8"/>
    </row>
    <row r="907">
      <c r="C907" s="8"/>
      <c r="I907" s="8"/>
      <c r="J907" s="8"/>
    </row>
    <row r="908">
      <c r="C908" s="8"/>
      <c r="I908" s="8"/>
      <c r="J908" s="8"/>
    </row>
    <row r="909">
      <c r="C909" s="8"/>
      <c r="I909" s="8"/>
      <c r="J909" s="8"/>
    </row>
    <row r="910">
      <c r="C910" s="8"/>
      <c r="I910" s="8"/>
      <c r="J910" s="8"/>
    </row>
    <row r="911">
      <c r="C911" s="8"/>
      <c r="I911" s="8"/>
      <c r="J911" s="8"/>
    </row>
    <row r="912">
      <c r="C912" s="8"/>
      <c r="I912" s="8"/>
      <c r="J912" s="8"/>
    </row>
    <row r="913">
      <c r="C913" s="8"/>
      <c r="I913" s="8"/>
      <c r="J913" s="8"/>
    </row>
    <row r="914">
      <c r="C914" s="8"/>
      <c r="I914" s="8"/>
      <c r="J914" s="8"/>
    </row>
    <row r="915">
      <c r="C915" s="8"/>
      <c r="I915" s="8"/>
      <c r="J915" s="8"/>
    </row>
    <row r="916">
      <c r="C916" s="8"/>
      <c r="I916" s="8"/>
      <c r="J916" s="8"/>
    </row>
    <row r="917">
      <c r="C917" s="8"/>
      <c r="I917" s="8"/>
      <c r="J917" s="8"/>
    </row>
    <row r="918">
      <c r="C918" s="8"/>
      <c r="I918" s="8"/>
      <c r="J918" s="8"/>
    </row>
    <row r="919">
      <c r="C919" s="8"/>
      <c r="I919" s="8"/>
      <c r="J919" s="8"/>
    </row>
    <row r="920">
      <c r="C920" s="8"/>
      <c r="I920" s="8"/>
      <c r="J920" s="8"/>
    </row>
    <row r="921">
      <c r="C921" s="8"/>
      <c r="I921" s="8"/>
      <c r="J921" s="8"/>
    </row>
    <row r="922">
      <c r="C922" s="8"/>
      <c r="I922" s="8"/>
      <c r="J922" s="8"/>
    </row>
    <row r="923">
      <c r="C923" s="8"/>
      <c r="I923" s="8"/>
      <c r="J923" s="8"/>
    </row>
    <row r="924">
      <c r="C924" s="8"/>
      <c r="I924" s="8"/>
      <c r="J924" s="8"/>
    </row>
    <row r="925">
      <c r="C925" s="8"/>
      <c r="I925" s="8"/>
      <c r="J925" s="8"/>
    </row>
    <row r="926">
      <c r="C926" s="8"/>
      <c r="I926" s="8"/>
      <c r="J926" s="8"/>
    </row>
    <row r="927">
      <c r="C927" s="8"/>
      <c r="I927" s="8"/>
      <c r="J927" s="8"/>
    </row>
    <row r="928">
      <c r="C928" s="8"/>
      <c r="I928" s="8"/>
      <c r="J928" s="8"/>
    </row>
    <row r="929">
      <c r="C929" s="8"/>
      <c r="I929" s="8"/>
      <c r="J929" s="8"/>
    </row>
    <row r="930">
      <c r="C930" s="8"/>
      <c r="I930" s="8"/>
      <c r="J930" s="8"/>
    </row>
    <row r="931">
      <c r="C931" s="8"/>
      <c r="I931" s="8"/>
      <c r="J931" s="8"/>
    </row>
    <row r="932">
      <c r="C932" s="8"/>
      <c r="I932" s="8"/>
      <c r="J932" s="8"/>
    </row>
    <row r="933">
      <c r="C933" s="8"/>
      <c r="I933" s="8"/>
      <c r="J933" s="8"/>
    </row>
    <row r="934">
      <c r="C934" s="8"/>
      <c r="I934" s="8"/>
      <c r="J934" s="8"/>
    </row>
    <row r="935">
      <c r="C935" s="8"/>
      <c r="I935" s="8"/>
      <c r="J935" s="8"/>
    </row>
    <row r="936">
      <c r="C936" s="8"/>
      <c r="I936" s="8"/>
      <c r="J936" s="8"/>
    </row>
    <row r="937">
      <c r="C937" s="8"/>
      <c r="I937" s="8"/>
      <c r="J937" s="8"/>
    </row>
    <row r="938">
      <c r="C938" s="8"/>
      <c r="I938" s="8"/>
      <c r="J938" s="8"/>
    </row>
    <row r="939">
      <c r="C939" s="8"/>
      <c r="I939" s="8"/>
      <c r="J939" s="8"/>
    </row>
    <row r="940">
      <c r="C940" s="8"/>
      <c r="I940" s="8"/>
      <c r="J940" s="8"/>
    </row>
    <row r="941">
      <c r="C941" s="8"/>
      <c r="I941" s="8"/>
      <c r="J941" s="8"/>
    </row>
    <row r="942">
      <c r="C942" s="8"/>
      <c r="I942" s="8"/>
      <c r="J942" s="8"/>
    </row>
    <row r="943">
      <c r="C943" s="8"/>
      <c r="I943" s="8"/>
      <c r="J943" s="8"/>
    </row>
    <row r="944">
      <c r="C944" s="8"/>
      <c r="I944" s="8"/>
      <c r="J944" s="8"/>
    </row>
    <row r="945">
      <c r="C945" s="8"/>
      <c r="I945" s="8"/>
      <c r="J945" s="8"/>
    </row>
    <row r="946">
      <c r="C946" s="8"/>
      <c r="I946" s="8"/>
      <c r="J946" s="8"/>
    </row>
    <row r="947">
      <c r="C947" s="8"/>
      <c r="I947" s="8"/>
      <c r="J947" s="8"/>
    </row>
    <row r="948">
      <c r="C948" s="8"/>
      <c r="I948" s="8"/>
      <c r="J948" s="8"/>
    </row>
    <row r="949">
      <c r="C949" s="8"/>
      <c r="I949" s="8"/>
      <c r="J949" s="8"/>
    </row>
    <row r="950">
      <c r="C950" s="8"/>
      <c r="I950" s="8"/>
      <c r="J950" s="8"/>
    </row>
    <row r="951">
      <c r="C951" s="8"/>
      <c r="I951" s="8"/>
      <c r="J951" s="8"/>
    </row>
    <row r="952">
      <c r="C952" s="8"/>
      <c r="I952" s="8"/>
      <c r="J952" s="8"/>
    </row>
    <row r="953">
      <c r="C953" s="8"/>
      <c r="I953" s="8"/>
      <c r="J953" s="8"/>
    </row>
    <row r="954">
      <c r="C954" s="8"/>
      <c r="I954" s="8"/>
      <c r="J954" s="8"/>
    </row>
    <row r="955">
      <c r="C955" s="8"/>
      <c r="I955" s="8"/>
      <c r="J955" s="8"/>
    </row>
    <row r="956">
      <c r="C956" s="8"/>
      <c r="I956" s="8"/>
      <c r="J956" s="8"/>
    </row>
    <row r="957">
      <c r="C957" s="8"/>
      <c r="I957" s="8"/>
      <c r="J957" s="8"/>
    </row>
    <row r="958">
      <c r="C958" s="8"/>
      <c r="I958" s="8"/>
      <c r="J958" s="8"/>
    </row>
    <row r="959">
      <c r="C959" s="8"/>
      <c r="I959" s="8"/>
      <c r="J959" s="8"/>
    </row>
    <row r="960">
      <c r="C960" s="8"/>
      <c r="I960" s="8"/>
      <c r="J960" s="8"/>
    </row>
    <row r="961">
      <c r="C961" s="8"/>
      <c r="I961" s="8"/>
      <c r="J961" s="8"/>
    </row>
    <row r="962">
      <c r="C962" s="8"/>
      <c r="I962" s="8"/>
      <c r="J962" s="8"/>
    </row>
    <row r="963">
      <c r="C963" s="8"/>
      <c r="I963" s="8"/>
      <c r="J963" s="8"/>
    </row>
    <row r="964">
      <c r="C964" s="8"/>
      <c r="I964" s="8"/>
      <c r="J964" s="8"/>
    </row>
    <row r="965">
      <c r="C965" s="8"/>
      <c r="I965" s="8"/>
      <c r="J965" s="8"/>
    </row>
    <row r="966">
      <c r="C966" s="8"/>
      <c r="I966" s="8"/>
      <c r="J966" s="8"/>
    </row>
    <row r="967">
      <c r="C967" s="8"/>
      <c r="I967" s="8"/>
      <c r="J967" s="8"/>
    </row>
    <row r="968">
      <c r="C968" s="8"/>
      <c r="I968" s="8"/>
      <c r="J968" s="8"/>
    </row>
    <row r="969">
      <c r="C969" s="8"/>
      <c r="I969" s="8"/>
      <c r="J969" s="8"/>
    </row>
    <row r="970">
      <c r="C970" s="8"/>
      <c r="I970" s="8"/>
      <c r="J970" s="8"/>
    </row>
    <row r="971">
      <c r="C971" s="8"/>
      <c r="I971" s="8"/>
      <c r="J971" s="8"/>
    </row>
    <row r="972">
      <c r="C972" s="8"/>
      <c r="I972" s="8"/>
      <c r="J972" s="8"/>
    </row>
    <row r="973">
      <c r="C973" s="8"/>
      <c r="I973" s="8"/>
      <c r="J973" s="8"/>
    </row>
    <row r="974">
      <c r="C974" s="8"/>
      <c r="I974" s="8"/>
      <c r="J974" s="8"/>
    </row>
    <row r="975">
      <c r="C975" s="8"/>
      <c r="I975" s="8"/>
      <c r="J975" s="8"/>
    </row>
    <row r="976">
      <c r="C976" s="8"/>
      <c r="I976" s="8"/>
      <c r="J976" s="8"/>
    </row>
    <row r="977">
      <c r="C977" s="8"/>
      <c r="I977" s="8"/>
      <c r="J977" s="8"/>
    </row>
    <row r="978">
      <c r="C978" s="8"/>
      <c r="I978" s="8"/>
      <c r="J978" s="8"/>
    </row>
    <row r="979">
      <c r="C979" s="8"/>
      <c r="I979" s="8"/>
      <c r="J979" s="8"/>
    </row>
    <row r="980">
      <c r="C980" s="8"/>
      <c r="I980" s="8"/>
      <c r="J980" s="8"/>
    </row>
    <row r="981">
      <c r="C981" s="8"/>
      <c r="I981" s="8"/>
      <c r="J981" s="8"/>
    </row>
    <row r="982">
      <c r="C982" s="8"/>
      <c r="I982" s="8"/>
      <c r="J982" s="8"/>
    </row>
    <row r="983">
      <c r="C983" s="8"/>
      <c r="I983" s="8"/>
      <c r="J983" s="8"/>
    </row>
    <row r="984">
      <c r="C984" s="8"/>
      <c r="I984" s="8"/>
      <c r="J984" s="8"/>
    </row>
    <row r="985">
      <c r="C985" s="8"/>
      <c r="I985" s="8"/>
      <c r="J985" s="8"/>
    </row>
    <row r="986">
      <c r="C986" s="8"/>
      <c r="I986" s="8"/>
      <c r="J986" s="8"/>
    </row>
    <row r="987">
      <c r="C987" s="8"/>
      <c r="I987" s="8"/>
      <c r="J987" s="8"/>
    </row>
    <row r="988">
      <c r="C988" s="8"/>
      <c r="I988" s="8"/>
      <c r="J988" s="8"/>
    </row>
    <row r="989">
      <c r="C989" s="8"/>
      <c r="I989" s="8"/>
      <c r="J989" s="8"/>
    </row>
    <row r="990">
      <c r="C990" s="8"/>
      <c r="I990" s="8"/>
      <c r="J990" s="8"/>
    </row>
    <row r="991">
      <c r="C991" s="8"/>
      <c r="I991" s="8"/>
      <c r="J991" s="8"/>
    </row>
    <row r="992">
      <c r="C992" s="8"/>
      <c r="I992" s="8"/>
      <c r="J992" s="8"/>
    </row>
    <row r="993">
      <c r="C993" s="8"/>
      <c r="I993" s="8"/>
      <c r="J993" s="8"/>
    </row>
    <row r="994">
      <c r="C994" s="8"/>
      <c r="I994" s="8"/>
      <c r="J994" s="8"/>
    </row>
    <row r="995">
      <c r="C995" s="8"/>
      <c r="I995" s="8"/>
      <c r="J995" s="8"/>
    </row>
    <row r="996">
      <c r="C996" s="8"/>
      <c r="I996" s="8"/>
      <c r="J996" s="8"/>
    </row>
    <row r="997">
      <c r="C997" s="8"/>
      <c r="I997" s="8"/>
      <c r="J997" s="8"/>
    </row>
    <row r="998">
      <c r="C998" s="8"/>
      <c r="I998" s="8"/>
      <c r="J998" s="8"/>
    </row>
    <row r="999">
      <c r="C999" s="8"/>
      <c r="I999" s="8"/>
      <c r="J999" s="8"/>
    </row>
    <row r="1000">
      <c r="C1000" s="8"/>
      <c r="I1000" s="8"/>
      <c r="J1000" s="8"/>
    </row>
  </sheetData>
  <mergeCells count="1">
    <mergeCell ref="A1:O2"/>
  </mergeCells>
  <dataValidations>
    <dataValidation type="list" allowBlank="1" showErrorMessage="1" sqref="B3">
      <formula1>"Mout,Hop,Gist,Suiker,Fruit,Adjunct"</formula1>
    </dataValidation>
    <dataValidation type="list" allowBlank="1" showErrorMessage="1" sqref="J6:J1000">
      <formula1>Uitleg!$C$2:$C$5</formula1>
    </dataValidation>
    <dataValidation type="list" allowBlank="1" showErrorMessage="1" sqref="I6:I1000">
      <formula1>Uitleg!$B$2:$B$7</formula1>
    </dataValidation>
    <dataValidation type="list" allowBlank="1" showErrorMessage="1" sqref="C6:C1000">
      <formula1>Uitleg!$A$2:$A$3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63"/>
    <col customWidth="1" min="3" max="3" width="14.0"/>
    <col customWidth="1" min="7" max="11" width="13.5"/>
    <col customWidth="1" min="12" max="12" width="3.38"/>
    <col customWidth="1" min="15" max="15" width="13.88"/>
  </cols>
  <sheetData>
    <row r="1">
      <c r="A1" s="1" t="s">
        <v>260</v>
      </c>
    </row>
    <row r="3">
      <c r="A3" s="2" t="s">
        <v>559</v>
      </c>
      <c r="B3" s="2" t="s">
        <v>8</v>
      </c>
      <c r="M3" s="2" t="s">
        <v>560</v>
      </c>
      <c r="N3" s="8">
        <f>SUM(H6:H1000) - SUM(O6:O1000)</f>
        <v>0</v>
      </c>
      <c r="O3" s="2" t="s">
        <v>561</v>
      </c>
    </row>
    <row r="5">
      <c r="A5" s="22" t="s">
        <v>104</v>
      </c>
      <c r="B5" s="22" t="s">
        <v>105</v>
      </c>
      <c r="C5" s="22" t="s">
        <v>106</v>
      </c>
      <c r="D5" s="22" t="s">
        <v>107</v>
      </c>
      <c r="E5" s="22" t="s">
        <v>108</v>
      </c>
      <c r="F5" s="22" t="s">
        <v>111</v>
      </c>
      <c r="G5" s="22" t="s">
        <v>112</v>
      </c>
      <c r="H5" s="22" t="s">
        <v>113</v>
      </c>
      <c r="I5" s="22" t="s">
        <v>115</v>
      </c>
      <c r="J5" s="22" t="s">
        <v>116</v>
      </c>
      <c r="K5" s="22" t="s">
        <v>117</v>
      </c>
      <c r="M5" s="23" t="s">
        <v>118</v>
      </c>
      <c r="N5" s="23" t="s">
        <v>107</v>
      </c>
      <c r="O5" s="23" t="s">
        <v>113</v>
      </c>
      <c r="P5" s="23" t="s">
        <v>111</v>
      </c>
    </row>
    <row r="6">
      <c r="A6" s="2">
        <v>3.72012518E8</v>
      </c>
      <c r="B6" s="2">
        <v>202305.0</v>
      </c>
      <c r="C6" s="2" t="s">
        <v>130</v>
      </c>
      <c r="D6" s="24">
        <v>45013.0</v>
      </c>
      <c r="E6" s="2" t="s">
        <v>131</v>
      </c>
      <c r="F6" s="2" t="s">
        <v>261</v>
      </c>
      <c r="G6" s="27">
        <v>46022.0</v>
      </c>
      <c r="H6" s="2">
        <v>1.0</v>
      </c>
      <c r="I6" s="8"/>
      <c r="J6" s="8"/>
      <c r="K6" s="53"/>
      <c r="M6" s="2" t="s">
        <v>64</v>
      </c>
      <c r="N6" s="24">
        <v>45015.0</v>
      </c>
      <c r="O6" s="2">
        <v>0.4</v>
      </c>
      <c r="P6" s="2" t="s">
        <v>261</v>
      </c>
    </row>
    <row r="7">
      <c r="C7" s="8"/>
      <c r="D7" s="24"/>
      <c r="G7" s="29"/>
      <c r="I7" s="8"/>
      <c r="J7" s="8"/>
      <c r="M7" s="2" t="s">
        <v>66</v>
      </c>
      <c r="N7" s="24">
        <v>45020.0</v>
      </c>
      <c r="O7" s="2">
        <v>0.6</v>
      </c>
      <c r="P7" s="2" t="s">
        <v>261</v>
      </c>
    </row>
    <row r="8">
      <c r="C8" s="28"/>
      <c r="D8" s="28"/>
      <c r="E8" s="28"/>
      <c r="F8" s="28"/>
      <c r="I8" s="8"/>
      <c r="J8" s="8"/>
      <c r="N8" s="28"/>
    </row>
    <row r="9">
      <c r="C9" s="28"/>
      <c r="D9" s="28"/>
      <c r="E9" s="28"/>
      <c r="F9" s="28"/>
      <c r="I9" s="8"/>
      <c r="J9" s="8"/>
      <c r="N9" s="28"/>
    </row>
    <row r="10">
      <c r="C10" s="28"/>
      <c r="D10" s="28"/>
      <c r="E10" s="28"/>
      <c r="F10" s="28"/>
      <c r="I10" s="8"/>
      <c r="J10" s="8"/>
      <c r="N10" s="28"/>
    </row>
    <row r="11">
      <c r="C11" s="28"/>
      <c r="D11" s="28"/>
      <c r="E11" s="28"/>
      <c r="F11" s="28"/>
      <c r="I11" s="8"/>
      <c r="J11" s="8"/>
      <c r="N11" s="28"/>
    </row>
    <row r="12">
      <c r="C12" s="28"/>
      <c r="D12" s="28"/>
      <c r="E12" s="28"/>
      <c r="F12" s="28"/>
      <c r="I12" s="8"/>
      <c r="J12" s="8"/>
      <c r="N12" s="28"/>
    </row>
    <row r="13">
      <c r="C13" s="28"/>
      <c r="D13" s="28"/>
      <c r="E13" s="28"/>
      <c r="F13" s="28"/>
      <c r="I13" s="8"/>
      <c r="J13" s="8"/>
      <c r="N13" s="28"/>
    </row>
    <row r="14">
      <c r="C14" s="28"/>
      <c r="D14" s="28"/>
      <c r="E14" s="28"/>
      <c r="F14" s="28"/>
      <c r="I14" s="8"/>
      <c r="J14" s="8"/>
      <c r="N14" s="28"/>
    </row>
    <row r="15">
      <c r="C15" s="28"/>
      <c r="D15" s="28"/>
      <c r="E15" s="28"/>
      <c r="F15" s="28"/>
      <c r="I15" s="8"/>
      <c r="J15" s="8"/>
      <c r="N15" s="28"/>
    </row>
    <row r="16">
      <c r="C16" s="28"/>
      <c r="D16" s="28"/>
      <c r="E16" s="28"/>
      <c r="F16" s="28"/>
      <c r="I16" s="8"/>
      <c r="J16" s="8"/>
      <c r="N16" s="28"/>
    </row>
    <row r="17">
      <c r="C17" s="28"/>
      <c r="D17" s="28"/>
      <c r="E17" s="28"/>
      <c r="F17" s="28"/>
      <c r="I17" s="8"/>
      <c r="J17" s="8"/>
      <c r="N17" s="28"/>
    </row>
    <row r="18">
      <c r="C18" s="28"/>
      <c r="D18" s="28"/>
      <c r="E18" s="28"/>
      <c r="F18" s="28"/>
      <c r="I18" s="8"/>
      <c r="J18" s="8"/>
      <c r="N18" s="28"/>
    </row>
    <row r="19">
      <c r="C19" s="28"/>
      <c r="D19" s="28"/>
      <c r="E19" s="28"/>
      <c r="F19" s="28"/>
      <c r="I19" s="8"/>
      <c r="J19" s="8"/>
      <c r="N19" s="28"/>
    </row>
    <row r="20">
      <c r="C20" s="28"/>
      <c r="D20" s="28"/>
      <c r="E20" s="28"/>
      <c r="F20" s="28"/>
      <c r="I20" s="8"/>
      <c r="J20" s="8"/>
      <c r="N20" s="28"/>
    </row>
    <row r="21">
      <c r="C21" s="28"/>
      <c r="D21" s="28"/>
      <c r="E21" s="28"/>
      <c r="F21" s="28"/>
      <c r="I21" s="8"/>
      <c r="J21" s="8"/>
      <c r="N21" s="28"/>
    </row>
    <row r="22">
      <c r="C22" s="28"/>
      <c r="D22" s="28"/>
      <c r="E22" s="28"/>
      <c r="F22" s="28"/>
      <c r="I22" s="8"/>
      <c r="J22" s="8"/>
      <c r="N22" s="28"/>
    </row>
    <row r="23">
      <c r="C23" s="28"/>
      <c r="D23" s="28"/>
      <c r="E23" s="28"/>
      <c r="F23" s="28"/>
      <c r="I23" s="8"/>
      <c r="J23" s="8"/>
      <c r="N23" s="28"/>
    </row>
    <row r="24">
      <c r="C24" s="28"/>
      <c r="D24" s="28"/>
      <c r="E24" s="28"/>
      <c r="F24" s="28"/>
      <c r="I24" s="8"/>
      <c r="J24" s="8"/>
      <c r="N24" s="28"/>
    </row>
    <row r="25">
      <c r="C25" s="28"/>
      <c r="D25" s="28"/>
      <c r="E25" s="28"/>
      <c r="F25" s="28"/>
      <c r="I25" s="8"/>
      <c r="J25" s="8"/>
      <c r="N25" s="28"/>
    </row>
    <row r="26">
      <c r="C26" s="28"/>
      <c r="D26" s="28"/>
      <c r="E26" s="28"/>
      <c r="F26" s="28"/>
      <c r="I26" s="8"/>
      <c r="J26" s="8"/>
      <c r="N26" s="28"/>
    </row>
    <row r="27">
      <c r="C27" s="28"/>
      <c r="D27" s="28"/>
      <c r="E27" s="28"/>
      <c r="F27" s="28"/>
      <c r="I27" s="8"/>
      <c r="J27" s="8"/>
      <c r="N27" s="28"/>
    </row>
    <row r="28">
      <c r="C28" s="28"/>
      <c r="D28" s="28"/>
      <c r="E28" s="28"/>
      <c r="F28" s="28"/>
      <c r="I28" s="8"/>
      <c r="J28" s="8"/>
      <c r="N28" s="28"/>
    </row>
    <row r="29">
      <c r="C29" s="28"/>
      <c r="D29" s="28"/>
      <c r="E29" s="28"/>
      <c r="F29" s="28"/>
      <c r="I29" s="8"/>
      <c r="J29" s="8"/>
      <c r="N29" s="28"/>
    </row>
    <row r="30">
      <c r="C30" s="28"/>
      <c r="D30" s="28"/>
      <c r="E30" s="28"/>
      <c r="F30" s="28"/>
      <c r="I30" s="8"/>
      <c r="J30" s="8"/>
      <c r="N30" s="28"/>
    </row>
    <row r="31">
      <c r="C31" s="28"/>
      <c r="D31" s="28"/>
      <c r="E31" s="28"/>
      <c r="F31" s="28"/>
      <c r="I31" s="8"/>
      <c r="J31" s="8"/>
      <c r="N31" s="28"/>
    </row>
    <row r="32">
      <c r="C32" s="28"/>
      <c r="D32" s="28"/>
      <c r="E32" s="28"/>
      <c r="F32" s="28"/>
      <c r="I32" s="8"/>
      <c r="J32" s="8"/>
      <c r="N32" s="28"/>
    </row>
    <row r="33">
      <c r="C33" s="8"/>
      <c r="I33" s="8"/>
      <c r="J33" s="8"/>
      <c r="N33" s="28"/>
    </row>
    <row r="34">
      <c r="C34" s="8"/>
      <c r="I34" s="8"/>
      <c r="J34" s="8"/>
    </row>
    <row r="35">
      <c r="C35" s="8"/>
      <c r="I35" s="8"/>
      <c r="J35" s="8"/>
    </row>
    <row r="36">
      <c r="C36" s="8"/>
      <c r="I36" s="8"/>
      <c r="J36" s="8"/>
    </row>
    <row r="37">
      <c r="C37" s="8"/>
      <c r="I37" s="8"/>
      <c r="J37" s="8"/>
    </row>
    <row r="38">
      <c r="C38" s="8"/>
      <c r="I38" s="8"/>
      <c r="J38" s="8"/>
    </row>
    <row r="39">
      <c r="C39" s="8"/>
      <c r="I39" s="8"/>
      <c r="J39" s="8"/>
    </row>
    <row r="40">
      <c r="C40" s="8"/>
      <c r="I40" s="8"/>
      <c r="J40" s="8"/>
    </row>
    <row r="41">
      <c r="C41" s="8"/>
      <c r="I41" s="8"/>
      <c r="J41" s="8"/>
    </row>
    <row r="42">
      <c r="C42" s="8"/>
      <c r="I42" s="8"/>
      <c r="J42" s="8"/>
    </row>
    <row r="43">
      <c r="C43" s="8"/>
      <c r="I43" s="8"/>
      <c r="J43" s="8"/>
    </row>
    <row r="44">
      <c r="C44" s="8"/>
      <c r="I44" s="8"/>
      <c r="J44" s="8"/>
    </row>
    <row r="45">
      <c r="C45" s="8"/>
      <c r="I45" s="8"/>
      <c r="J45" s="8"/>
    </row>
    <row r="46">
      <c r="C46" s="8"/>
      <c r="I46" s="8"/>
      <c r="J46" s="8"/>
    </row>
    <row r="47">
      <c r="C47" s="8"/>
      <c r="I47" s="8"/>
      <c r="J47" s="8"/>
    </row>
    <row r="48">
      <c r="C48" s="8"/>
      <c r="I48" s="8"/>
      <c r="J48" s="8"/>
    </row>
    <row r="49">
      <c r="C49" s="8"/>
      <c r="I49" s="8"/>
      <c r="J49" s="8"/>
    </row>
    <row r="50">
      <c r="C50" s="8"/>
      <c r="I50" s="8"/>
      <c r="J50" s="8"/>
    </row>
    <row r="51">
      <c r="C51" s="8"/>
      <c r="I51" s="8"/>
      <c r="J51" s="8"/>
    </row>
    <row r="52">
      <c r="C52" s="8"/>
      <c r="I52" s="8"/>
      <c r="J52" s="8"/>
    </row>
    <row r="53">
      <c r="C53" s="8"/>
      <c r="I53" s="8"/>
      <c r="J53" s="8"/>
    </row>
    <row r="54">
      <c r="C54" s="8"/>
      <c r="I54" s="8"/>
      <c r="J54" s="8"/>
    </row>
    <row r="55">
      <c r="C55" s="8"/>
      <c r="I55" s="8"/>
      <c r="J55" s="8"/>
    </row>
    <row r="56">
      <c r="C56" s="8"/>
      <c r="I56" s="8"/>
      <c r="J56" s="8"/>
    </row>
    <row r="57">
      <c r="C57" s="8"/>
      <c r="I57" s="8"/>
      <c r="J57" s="8"/>
    </row>
    <row r="58">
      <c r="C58" s="8"/>
      <c r="I58" s="8"/>
      <c r="J58" s="8"/>
    </row>
    <row r="59">
      <c r="C59" s="8"/>
      <c r="I59" s="8"/>
      <c r="J59" s="8"/>
    </row>
    <row r="60">
      <c r="C60" s="8"/>
      <c r="I60" s="8"/>
      <c r="J60" s="8"/>
    </row>
    <row r="61">
      <c r="C61" s="8"/>
      <c r="I61" s="8"/>
      <c r="J61" s="8"/>
    </row>
    <row r="62">
      <c r="C62" s="8"/>
      <c r="I62" s="8"/>
      <c r="J62" s="8"/>
    </row>
    <row r="63">
      <c r="C63" s="8"/>
      <c r="I63" s="8"/>
      <c r="J63" s="8"/>
    </row>
    <row r="64">
      <c r="C64" s="8"/>
      <c r="I64" s="8"/>
      <c r="J64" s="8"/>
    </row>
    <row r="65">
      <c r="C65" s="8"/>
      <c r="I65" s="8"/>
      <c r="J65" s="8"/>
    </row>
    <row r="66">
      <c r="C66" s="8"/>
      <c r="I66" s="8"/>
      <c r="J66" s="8"/>
    </row>
    <row r="67">
      <c r="C67" s="8"/>
      <c r="I67" s="8"/>
      <c r="J67" s="8"/>
    </row>
    <row r="68">
      <c r="C68" s="8"/>
      <c r="I68" s="8"/>
      <c r="J68" s="8"/>
    </row>
    <row r="69">
      <c r="C69" s="8"/>
      <c r="I69" s="8"/>
      <c r="J69" s="8"/>
    </row>
    <row r="70">
      <c r="C70" s="8"/>
      <c r="I70" s="8"/>
      <c r="J70" s="8"/>
    </row>
    <row r="71">
      <c r="C71" s="8"/>
      <c r="I71" s="8"/>
      <c r="J71" s="8"/>
    </row>
    <row r="72">
      <c r="C72" s="8"/>
      <c r="I72" s="8"/>
      <c r="J72" s="8"/>
    </row>
    <row r="73">
      <c r="C73" s="8"/>
      <c r="I73" s="8"/>
      <c r="J73" s="8"/>
    </row>
    <row r="74">
      <c r="C74" s="8"/>
      <c r="I74" s="8"/>
      <c r="J74" s="8"/>
    </row>
    <row r="75">
      <c r="C75" s="8"/>
      <c r="I75" s="8"/>
      <c r="J75" s="8"/>
    </row>
    <row r="76">
      <c r="C76" s="8"/>
      <c r="I76" s="8"/>
      <c r="J76" s="8"/>
    </row>
    <row r="77">
      <c r="C77" s="8"/>
      <c r="I77" s="8"/>
      <c r="J77" s="8"/>
    </row>
    <row r="78">
      <c r="C78" s="8"/>
      <c r="I78" s="8"/>
      <c r="J78" s="8"/>
    </row>
    <row r="79">
      <c r="C79" s="8"/>
      <c r="I79" s="8"/>
      <c r="J79" s="8"/>
    </row>
    <row r="80">
      <c r="C80" s="8"/>
      <c r="I80" s="8"/>
      <c r="J80" s="8"/>
    </row>
    <row r="81">
      <c r="C81" s="8"/>
      <c r="I81" s="8"/>
      <c r="J81" s="8"/>
    </row>
    <row r="82">
      <c r="C82" s="8"/>
      <c r="I82" s="8"/>
      <c r="J82" s="8"/>
    </row>
    <row r="83">
      <c r="C83" s="8"/>
      <c r="I83" s="8"/>
      <c r="J83" s="8"/>
    </row>
    <row r="84">
      <c r="C84" s="8"/>
      <c r="I84" s="8"/>
      <c r="J84" s="8"/>
    </row>
    <row r="85">
      <c r="C85" s="8"/>
      <c r="I85" s="8"/>
      <c r="J85" s="8"/>
    </row>
    <row r="86">
      <c r="C86" s="8"/>
      <c r="I86" s="8"/>
      <c r="J86" s="8"/>
    </row>
    <row r="87">
      <c r="C87" s="8"/>
      <c r="I87" s="8"/>
      <c r="J87" s="8"/>
    </row>
    <row r="88">
      <c r="C88" s="8"/>
      <c r="I88" s="8"/>
      <c r="J88" s="8"/>
    </row>
    <row r="89">
      <c r="C89" s="8"/>
      <c r="I89" s="8"/>
      <c r="J89" s="8"/>
    </row>
    <row r="90">
      <c r="C90" s="8"/>
      <c r="I90" s="8"/>
      <c r="J90" s="8"/>
    </row>
    <row r="91">
      <c r="C91" s="8"/>
      <c r="I91" s="8"/>
      <c r="J91" s="8"/>
    </row>
    <row r="92">
      <c r="C92" s="8"/>
      <c r="I92" s="8"/>
      <c r="J92" s="8"/>
    </row>
    <row r="93">
      <c r="C93" s="8"/>
      <c r="I93" s="8"/>
      <c r="J93" s="8"/>
    </row>
    <row r="94">
      <c r="C94" s="8"/>
      <c r="I94" s="8"/>
      <c r="J94" s="8"/>
    </row>
    <row r="95">
      <c r="C95" s="8"/>
      <c r="I95" s="8"/>
      <c r="J95" s="8"/>
    </row>
    <row r="96">
      <c r="C96" s="8"/>
      <c r="I96" s="8"/>
      <c r="J96" s="8"/>
    </row>
    <row r="97">
      <c r="C97" s="8"/>
      <c r="I97" s="8"/>
      <c r="J97" s="8"/>
    </row>
    <row r="98">
      <c r="C98" s="8"/>
      <c r="I98" s="8"/>
      <c r="J98" s="8"/>
    </row>
    <row r="99">
      <c r="C99" s="8"/>
      <c r="I99" s="8"/>
      <c r="J99" s="8"/>
    </row>
    <row r="100">
      <c r="C100" s="8"/>
      <c r="I100" s="8"/>
      <c r="J100" s="8"/>
    </row>
    <row r="101">
      <c r="C101" s="8"/>
      <c r="I101" s="8"/>
      <c r="J101" s="8"/>
    </row>
    <row r="102">
      <c r="C102" s="8"/>
      <c r="I102" s="8"/>
      <c r="J102" s="8"/>
    </row>
    <row r="103">
      <c r="C103" s="8"/>
      <c r="I103" s="8"/>
      <c r="J103" s="8"/>
    </row>
    <row r="104">
      <c r="C104" s="8"/>
      <c r="I104" s="8"/>
      <c r="J104" s="8"/>
    </row>
    <row r="105">
      <c r="C105" s="8"/>
      <c r="I105" s="8"/>
      <c r="J105" s="8"/>
    </row>
    <row r="106">
      <c r="C106" s="8"/>
      <c r="I106" s="8"/>
      <c r="J106" s="8"/>
    </row>
    <row r="107">
      <c r="C107" s="8"/>
      <c r="I107" s="8"/>
      <c r="J107" s="8"/>
    </row>
    <row r="108">
      <c r="C108" s="8"/>
      <c r="I108" s="8"/>
      <c r="J108" s="8"/>
    </row>
    <row r="109">
      <c r="C109" s="8"/>
      <c r="I109" s="8"/>
      <c r="J109" s="8"/>
    </row>
    <row r="110">
      <c r="C110" s="8"/>
      <c r="I110" s="8"/>
      <c r="J110" s="8"/>
    </row>
    <row r="111">
      <c r="C111" s="8"/>
      <c r="I111" s="8"/>
      <c r="J111" s="8"/>
    </row>
    <row r="112">
      <c r="C112" s="8"/>
      <c r="I112" s="8"/>
      <c r="J112" s="8"/>
    </row>
    <row r="113">
      <c r="C113" s="8"/>
      <c r="I113" s="8"/>
      <c r="J113" s="8"/>
    </row>
    <row r="114">
      <c r="C114" s="8"/>
      <c r="I114" s="8"/>
      <c r="J114" s="8"/>
    </row>
    <row r="115">
      <c r="C115" s="8"/>
      <c r="I115" s="8"/>
      <c r="J115" s="8"/>
    </row>
    <row r="116">
      <c r="C116" s="8"/>
      <c r="I116" s="8"/>
      <c r="J116" s="8"/>
    </row>
    <row r="117">
      <c r="C117" s="8"/>
      <c r="I117" s="8"/>
      <c r="J117" s="8"/>
    </row>
    <row r="118">
      <c r="C118" s="8"/>
      <c r="I118" s="8"/>
      <c r="J118" s="8"/>
    </row>
    <row r="119">
      <c r="C119" s="8"/>
      <c r="I119" s="8"/>
      <c r="J119" s="8"/>
    </row>
    <row r="120">
      <c r="C120" s="8"/>
      <c r="I120" s="8"/>
      <c r="J120" s="8"/>
    </row>
    <row r="121">
      <c r="C121" s="8"/>
      <c r="I121" s="8"/>
      <c r="J121" s="8"/>
    </row>
    <row r="122">
      <c r="C122" s="8"/>
      <c r="I122" s="8"/>
      <c r="J122" s="8"/>
    </row>
    <row r="123">
      <c r="C123" s="8"/>
      <c r="I123" s="8"/>
      <c r="J123" s="8"/>
    </row>
    <row r="124">
      <c r="C124" s="8"/>
      <c r="I124" s="8"/>
      <c r="J124" s="8"/>
    </row>
    <row r="125">
      <c r="C125" s="8"/>
      <c r="I125" s="8"/>
      <c r="J125" s="8"/>
    </row>
    <row r="126">
      <c r="C126" s="8"/>
      <c r="I126" s="8"/>
      <c r="J126" s="8"/>
    </row>
    <row r="127">
      <c r="C127" s="8"/>
      <c r="I127" s="8"/>
      <c r="J127" s="8"/>
    </row>
    <row r="128">
      <c r="C128" s="8"/>
      <c r="I128" s="8"/>
      <c r="J128" s="8"/>
    </row>
    <row r="129">
      <c r="C129" s="8"/>
      <c r="I129" s="8"/>
      <c r="J129" s="8"/>
    </row>
    <row r="130">
      <c r="C130" s="8"/>
      <c r="I130" s="8"/>
      <c r="J130" s="8"/>
    </row>
    <row r="131">
      <c r="C131" s="8"/>
      <c r="I131" s="8"/>
      <c r="J131" s="8"/>
    </row>
    <row r="132">
      <c r="C132" s="8"/>
      <c r="I132" s="8"/>
      <c r="J132" s="8"/>
    </row>
    <row r="133">
      <c r="C133" s="8"/>
      <c r="I133" s="8"/>
      <c r="J133" s="8"/>
    </row>
    <row r="134">
      <c r="C134" s="8"/>
      <c r="I134" s="8"/>
      <c r="J134" s="8"/>
    </row>
    <row r="135">
      <c r="C135" s="8"/>
      <c r="I135" s="8"/>
      <c r="J135" s="8"/>
    </row>
    <row r="136">
      <c r="C136" s="8"/>
      <c r="I136" s="8"/>
      <c r="J136" s="8"/>
    </row>
    <row r="137">
      <c r="C137" s="8"/>
      <c r="I137" s="8"/>
      <c r="J137" s="8"/>
    </row>
    <row r="138">
      <c r="C138" s="8"/>
      <c r="I138" s="8"/>
      <c r="J138" s="8"/>
    </row>
    <row r="139">
      <c r="C139" s="8"/>
      <c r="I139" s="8"/>
      <c r="J139" s="8"/>
    </row>
    <row r="140">
      <c r="C140" s="8"/>
      <c r="I140" s="8"/>
      <c r="J140" s="8"/>
    </row>
    <row r="141">
      <c r="C141" s="8"/>
      <c r="I141" s="8"/>
      <c r="J141" s="8"/>
    </row>
    <row r="142">
      <c r="C142" s="8"/>
      <c r="I142" s="8"/>
      <c r="J142" s="8"/>
    </row>
    <row r="143">
      <c r="C143" s="8"/>
      <c r="I143" s="8"/>
      <c r="J143" s="8"/>
    </row>
    <row r="144">
      <c r="C144" s="8"/>
      <c r="I144" s="8"/>
      <c r="J144" s="8"/>
    </row>
    <row r="145">
      <c r="C145" s="8"/>
      <c r="I145" s="8"/>
      <c r="J145" s="8"/>
    </row>
    <row r="146">
      <c r="C146" s="8"/>
      <c r="I146" s="8"/>
      <c r="J146" s="8"/>
    </row>
    <row r="147">
      <c r="C147" s="8"/>
      <c r="I147" s="8"/>
      <c r="J147" s="8"/>
    </row>
    <row r="148">
      <c r="C148" s="8"/>
      <c r="I148" s="8"/>
      <c r="J148" s="8"/>
    </row>
    <row r="149">
      <c r="C149" s="8"/>
      <c r="I149" s="8"/>
      <c r="J149" s="8"/>
    </row>
    <row r="150">
      <c r="C150" s="8"/>
      <c r="I150" s="8"/>
      <c r="J150" s="8"/>
    </row>
    <row r="151">
      <c r="C151" s="8"/>
      <c r="I151" s="8"/>
      <c r="J151" s="8"/>
    </row>
    <row r="152">
      <c r="C152" s="8"/>
      <c r="I152" s="8"/>
      <c r="J152" s="8"/>
    </row>
    <row r="153">
      <c r="C153" s="8"/>
      <c r="I153" s="8"/>
      <c r="J153" s="8"/>
    </row>
    <row r="154">
      <c r="C154" s="8"/>
      <c r="I154" s="8"/>
      <c r="J154" s="8"/>
    </row>
    <row r="155">
      <c r="C155" s="8"/>
      <c r="I155" s="8"/>
      <c r="J155" s="8"/>
    </row>
    <row r="156">
      <c r="C156" s="8"/>
      <c r="I156" s="8"/>
      <c r="J156" s="8"/>
    </row>
    <row r="157">
      <c r="C157" s="8"/>
      <c r="I157" s="8"/>
      <c r="J157" s="8"/>
    </row>
    <row r="158">
      <c r="C158" s="8"/>
      <c r="I158" s="8"/>
      <c r="J158" s="8"/>
    </row>
    <row r="159">
      <c r="C159" s="8"/>
      <c r="I159" s="8"/>
      <c r="J159" s="8"/>
    </row>
    <row r="160">
      <c r="C160" s="8"/>
      <c r="I160" s="8"/>
      <c r="J160" s="8"/>
    </row>
    <row r="161">
      <c r="C161" s="8"/>
      <c r="I161" s="8"/>
      <c r="J161" s="8"/>
    </row>
    <row r="162">
      <c r="C162" s="8"/>
      <c r="I162" s="8"/>
      <c r="J162" s="8"/>
    </row>
    <row r="163">
      <c r="C163" s="8"/>
      <c r="I163" s="8"/>
      <c r="J163" s="8"/>
    </row>
    <row r="164">
      <c r="C164" s="8"/>
      <c r="I164" s="8"/>
      <c r="J164" s="8"/>
    </row>
    <row r="165">
      <c r="C165" s="8"/>
      <c r="I165" s="8"/>
      <c r="J165" s="8"/>
    </row>
    <row r="166">
      <c r="C166" s="8"/>
      <c r="I166" s="8"/>
      <c r="J166" s="8"/>
    </row>
    <row r="167">
      <c r="C167" s="8"/>
      <c r="I167" s="8"/>
      <c r="J167" s="8"/>
    </row>
    <row r="168">
      <c r="C168" s="8"/>
      <c r="I168" s="8"/>
      <c r="J168" s="8"/>
    </row>
    <row r="169">
      <c r="C169" s="8"/>
      <c r="I169" s="8"/>
      <c r="J169" s="8"/>
    </row>
    <row r="170">
      <c r="C170" s="8"/>
      <c r="I170" s="8"/>
      <c r="J170" s="8"/>
    </row>
    <row r="171">
      <c r="C171" s="8"/>
      <c r="I171" s="8"/>
      <c r="J171" s="8"/>
    </row>
    <row r="172">
      <c r="C172" s="8"/>
      <c r="I172" s="8"/>
      <c r="J172" s="8"/>
    </row>
    <row r="173">
      <c r="C173" s="8"/>
      <c r="I173" s="8"/>
      <c r="J173" s="8"/>
    </row>
    <row r="174">
      <c r="C174" s="8"/>
      <c r="I174" s="8"/>
      <c r="J174" s="8"/>
    </row>
    <row r="175">
      <c r="C175" s="8"/>
      <c r="I175" s="8"/>
      <c r="J175" s="8"/>
    </row>
    <row r="176">
      <c r="C176" s="8"/>
      <c r="I176" s="8"/>
      <c r="J176" s="8"/>
    </row>
    <row r="177">
      <c r="C177" s="8"/>
      <c r="I177" s="8"/>
      <c r="J177" s="8"/>
    </row>
    <row r="178">
      <c r="C178" s="8"/>
      <c r="I178" s="8"/>
      <c r="J178" s="8"/>
    </row>
    <row r="179">
      <c r="C179" s="8"/>
      <c r="I179" s="8"/>
      <c r="J179" s="8"/>
    </row>
    <row r="180">
      <c r="C180" s="8"/>
      <c r="I180" s="8"/>
      <c r="J180" s="8"/>
    </row>
    <row r="181">
      <c r="C181" s="8"/>
      <c r="I181" s="8"/>
      <c r="J181" s="8"/>
    </row>
    <row r="182">
      <c r="C182" s="8"/>
      <c r="I182" s="8"/>
      <c r="J182" s="8"/>
    </row>
    <row r="183">
      <c r="C183" s="8"/>
      <c r="I183" s="8"/>
      <c r="J183" s="8"/>
    </row>
    <row r="184">
      <c r="C184" s="8"/>
      <c r="I184" s="8"/>
      <c r="J184" s="8"/>
    </row>
    <row r="185">
      <c r="C185" s="8"/>
      <c r="I185" s="8"/>
      <c r="J185" s="8"/>
    </row>
    <row r="186">
      <c r="C186" s="8"/>
      <c r="I186" s="8"/>
      <c r="J186" s="8"/>
    </row>
    <row r="187">
      <c r="C187" s="8"/>
      <c r="I187" s="8"/>
      <c r="J187" s="8"/>
    </row>
    <row r="188">
      <c r="C188" s="8"/>
      <c r="I188" s="8"/>
      <c r="J188" s="8"/>
    </row>
    <row r="189">
      <c r="C189" s="8"/>
      <c r="I189" s="8"/>
      <c r="J189" s="8"/>
    </row>
    <row r="190">
      <c r="C190" s="8"/>
      <c r="I190" s="8"/>
      <c r="J190" s="8"/>
    </row>
    <row r="191">
      <c r="C191" s="8"/>
      <c r="I191" s="8"/>
      <c r="J191" s="8"/>
    </row>
    <row r="192">
      <c r="C192" s="8"/>
      <c r="I192" s="8"/>
      <c r="J192" s="8"/>
    </row>
    <row r="193">
      <c r="C193" s="8"/>
      <c r="I193" s="8"/>
      <c r="J193" s="8"/>
    </row>
    <row r="194">
      <c r="C194" s="8"/>
      <c r="I194" s="8"/>
      <c r="J194" s="8"/>
    </row>
    <row r="195">
      <c r="C195" s="8"/>
      <c r="I195" s="8"/>
      <c r="J195" s="8"/>
    </row>
    <row r="196">
      <c r="C196" s="8"/>
      <c r="I196" s="8"/>
      <c r="J196" s="8"/>
    </row>
    <row r="197">
      <c r="C197" s="8"/>
      <c r="I197" s="8"/>
      <c r="J197" s="8"/>
    </row>
    <row r="198">
      <c r="C198" s="8"/>
      <c r="I198" s="8"/>
      <c r="J198" s="8"/>
    </row>
    <row r="199">
      <c r="C199" s="8"/>
      <c r="I199" s="8"/>
      <c r="J199" s="8"/>
    </row>
    <row r="200">
      <c r="C200" s="8"/>
      <c r="I200" s="8"/>
      <c r="J200" s="8"/>
    </row>
    <row r="201">
      <c r="C201" s="8"/>
      <c r="I201" s="8"/>
      <c r="J201" s="8"/>
    </row>
    <row r="202">
      <c r="C202" s="8"/>
      <c r="I202" s="8"/>
      <c r="J202" s="8"/>
    </row>
    <row r="203">
      <c r="C203" s="8"/>
      <c r="I203" s="8"/>
      <c r="J203" s="8"/>
    </row>
    <row r="204">
      <c r="C204" s="8"/>
      <c r="I204" s="8"/>
      <c r="J204" s="8"/>
    </row>
    <row r="205">
      <c r="C205" s="8"/>
      <c r="I205" s="8"/>
      <c r="J205" s="8"/>
    </row>
    <row r="206">
      <c r="C206" s="8"/>
      <c r="I206" s="8"/>
      <c r="J206" s="8"/>
    </row>
    <row r="207">
      <c r="C207" s="8"/>
      <c r="I207" s="8"/>
      <c r="J207" s="8"/>
    </row>
    <row r="208">
      <c r="C208" s="8"/>
      <c r="I208" s="8"/>
      <c r="J208" s="8"/>
    </row>
    <row r="209">
      <c r="C209" s="8"/>
      <c r="I209" s="8"/>
      <c r="J209" s="8"/>
    </row>
    <row r="210">
      <c r="C210" s="8"/>
      <c r="I210" s="8"/>
      <c r="J210" s="8"/>
    </row>
    <row r="211">
      <c r="C211" s="8"/>
      <c r="I211" s="8"/>
      <c r="J211" s="8"/>
    </row>
    <row r="212">
      <c r="C212" s="8"/>
      <c r="I212" s="8"/>
      <c r="J212" s="8"/>
    </row>
    <row r="213">
      <c r="C213" s="8"/>
      <c r="I213" s="8"/>
      <c r="J213" s="8"/>
    </row>
    <row r="214">
      <c r="C214" s="8"/>
      <c r="I214" s="8"/>
      <c r="J214" s="8"/>
    </row>
    <row r="215">
      <c r="C215" s="8"/>
      <c r="I215" s="8"/>
      <c r="J215" s="8"/>
    </row>
    <row r="216">
      <c r="C216" s="8"/>
      <c r="I216" s="8"/>
      <c r="J216" s="8"/>
    </row>
    <row r="217">
      <c r="C217" s="8"/>
      <c r="I217" s="8"/>
      <c r="J217" s="8"/>
    </row>
    <row r="218">
      <c r="C218" s="8"/>
      <c r="I218" s="8"/>
      <c r="J218" s="8"/>
    </row>
    <row r="219">
      <c r="C219" s="8"/>
      <c r="I219" s="8"/>
      <c r="J219" s="8"/>
    </row>
    <row r="220">
      <c r="C220" s="8"/>
      <c r="I220" s="8"/>
      <c r="J220" s="8"/>
    </row>
    <row r="221">
      <c r="C221" s="8"/>
      <c r="I221" s="8"/>
      <c r="J221" s="8"/>
    </row>
    <row r="222">
      <c r="C222" s="8"/>
      <c r="I222" s="8"/>
      <c r="J222" s="8"/>
    </row>
    <row r="223">
      <c r="C223" s="8"/>
      <c r="I223" s="8"/>
      <c r="J223" s="8"/>
    </row>
    <row r="224">
      <c r="C224" s="8"/>
      <c r="I224" s="8"/>
      <c r="J224" s="8"/>
    </row>
    <row r="225">
      <c r="C225" s="8"/>
      <c r="I225" s="8"/>
      <c r="J225" s="8"/>
    </row>
    <row r="226">
      <c r="C226" s="8"/>
      <c r="I226" s="8"/>
      <c r="J226" s="8"/>
    </row>
    <row r="227">
      <c r="C227" s="8"/>
      <c r="I227" s="8"/>
      <c r="J227" s="8"/>
    </row>
    <row r="228">
      <c r="C228" s="8"/>
      <c r="I228" s="8"/>
      <c r="J228" s="8"/>
    </row>
    <row r="229">
      <c r="C229" s="8"/>
      <c r="I229" s="8"/>
      <c r="J229" s="8"/>
    </row>
    <row r="230">
      <c r="C230" s="8"/>
      <c r="I230" s="8"/>
      <c r="J230" s="8"/>
    </row>
    <row r="231">
      <c r="C231" s="8"/>
      <c r="I231" s="8"/>
      <c r="J231" s="8"/>
    </row>
    <row r="232">
      <c r="C232" s="8"/>
      <c r="I232" s="8"/>
      <c r="J232" s="8"/>
    </row>
    <row r="233">
      <c r="C233" s="8"/>
      <c r="I233" s="8"/>
      <c r="J233" s="8"/>
    </row>
    <row r="234">
      <c r="C234" s="8"/>
      <c r="I234" s="8"/>
      <c r="J234" s="8"/>
    </row>
    <row r="235">
      <c r="C235" s="8"/>
      <c r="I235" s="8"/>
      <c r="J235" s="8"/>
    </row>
    <row r="236">
      <c r="C236" s="8"/>
      <c r="I236" s="8"/>
      <c r="J236" s="8"/>
    </row>
    <row r="237">
      <c r="C237" s="8"/>
      <c r="I237" s="8"/>
      <c r="J237" s="8"/>
    </row>
    <row r="238">
      <c r="C238" s="8"/>
      <c r="I238" s="8"/>
      <c r="J238" s="8"/>
    </row>
    <row r="239">
      <c r="C239" s="8"/>
      <c r="I239" s="8"/>
      <c r="J239" s="8"/>
    </row>
    <row r="240">
      <c r="C240" s="8"/>
      <c r="I240" s="8"/>
      <c r="J240" s="8"/>
    </row>
    <row r="241">
      <c r="C241" s="8"/>
      <c r="I241" s="8"/>
      <c r="J241" s="8"/>
    </row>
    <row r="242">
      <c r="C242" s="8"/>
      <c r="I242" s="8"/>
      <c r="J242" s="8"/>
    </row>
    <row r="243">
      <c r="C243" s="8"/>
      <c r="I243" s="8"/>
      <c r="J243" s="8"/>
    </row>
    <row r="244">
      <c r="C244" s="8"/>
      <c r="I244" s="8"/>
      <c r="J244" s="8"/>
    </row>
    <row r="245">
      <c r="C245" s="8"/>
      <c r="I245" s="8"/>
      <c r="J245" s="8"/>
    </row>
    <row r="246">
      <c r="C246" s="8"/>
      <c r="I246" s="8"/>
      <c r="J246" s="8"/>
    </row>
    <row r="247">
      <c r="C247" s="8"/>
      <c r="I247" s="8"/>
      <c r="J247" s="8"/>
    </row>
    <row r="248">
      <c r="C248" s="8"/>
      <c r="I248" s="8"/>
      <c r="J248" s="8"/>
    </row>
    <row r="249">
      <c r="C249" s="8"/>
      <c r="I249" s="8"/>
      <c r="J249" s="8"/>
    </row>
    <row r="250">
      <c r="C250" s="8"/>
      <c r="I250" s="8"/>
      <c r="J250" s="8"/>
    </row>
    <row r="251">
      <c r="C251" s="8"/>
      <c r="I251" s="8"/>
      <c r="J251" s="8"/>
    </row>
    <row r="252">
      <c r="C252" s="8"/>
      <c r="I252" s="8"/>
      <c r="J252" s="8"/>
    </row>
    <row r="253">
      <c r="C253" s="8"/>
      <c r="I253" s="8"/>
      <c r="J253" s="8"/>
    </row>
    <row r="254">
      <c r="C254" s="8"/>
      <c r="I254" s="8"/>
      <c r="J254" s="8"/>
    </row>
    <row r="255">
      <c r="C255" s="8"/>
      <c r="I255" s="8"/>
      <c r="J255" s="8"/>
    </row>
    <row r="256">
      <c r="C256" s="8"/>
      <c r="I256" s="8"/>
      <c r="J256" s="8"/>
    </row>
    <row r="257">
      <c r="C257" s="8"/>
      <c r="I257" s="8"/>
      <c r="J257" s="8"/>
    </row>
    <row r="258">
      <c r="C258" s="8"/>
      <c r="I258" s="8"/>
      <c r="J258" s="8"/>
    </row>
    <row r="259">
      <c r="C259" s="8"/>
      <c r="I259" s="8"/>
      <c r="J259" s="8"/>
    </row>
    <row r="260">
      <c r="C260" s="8"/>
      <c r="I260" s="8"/>
      <c r="J260" s="8"/>
    </row>
    <row r="261">
      <c r="C261" s="8"/>
      <c r="I261" s="8"/>
      <c r="J261" s="8"/>
    </row>
    <row r="262">
      <c r="C262" s="8"/>
      <c r="I262" s="8"/>
      <c r="J262" s="8"/>
    </row>
    <row r="263">
      <c r="C263" s="8"/>
      <c r="I263" s="8"/>
      <c r="J263" s="8"/>
    </row>
    <row r="264">
      <c r="C264" s="8"/>
      <c r="I264" s="8"/>
      <c r="J264" s="8"/>
    </row>
    <row r="265">
      <c r="C265" s="8"/>
      <c r="I265" s="8"/>
      <c r="J265" s="8"/>
    </row>
    <row r="266">
      <c r="C266" s="8"/>
      <c r="I266" s="8"/>
      <c r="J266" s="8"/>
    </row>
    <row r="267">
      <c r="C267" s="8"/>
      <c r="I267" s="8"/>
      <c r="J267" s="8"/>
    </row>
    <row r="268">
      <c r="C268" s="8"/>
      <c r="I268" s="8"/>
      <c r="J268" s="8"/>
    </row>
    <row r="269">
      <c r="C269" s="8"/>
      <c r="I269" s="8"/>
      <c r="J269" s="8"/>
    </row>
    <row r="270">
      <c r="C270" s="8"/>
      <c r="I270" s="8"/>
      <c r="J270" s="8"/>
    </row>
    <row r="271">
      <c r="C271" s="8"/>
      <c r="I271" s="8"/>
      <c r="J271" s="8"/>
    </row>
    <row r="272">
      <c r="C272" s="8"/>
      <c r="I272" s="8"/>
      <c r="J272" s="8"/>
    </row>
    <row r="273">
      <c r="C273" s="8"/>
      <c r="I273" s="8"/>
      <c r="J273" s="8"/>
    </row>
    <row r="274">
      <c r="C274" s="8"/>
      <c r="I274" s="8"/>
      <c r="J274" s="8"/>
    </row>
    <row r="275">
      <c r="C275" s="8"/>
      <c r="I275" s="8"/>
      <c r="J275" s="8"/>
    </row>
    <row r="276">
      <c r="C276" s="8"/>
      <c r="I276" s="8"/>
      <c r="J276" s="8"/>
    </row>
    <row r="277">
      <c r="C277" s="8"/>
      <c r="I277" s="8"/>
      <c r="J277" s="8"/>
    </row>
    <row r="278">
      <c r="C278" s="8"/>
      <c r="I278" s="8"/>
      <c r="J278" s="8"/>
    </row>
    <row r="279">
      <c r="C279" s="8"/>
      <c r="I279" s="8"/>
      <c r="J279" s="8"/>
    </row>
    <row r="280">
      <c r="C280" s="8"/>
      <c r="I280" s="8"/>
      <c r="J280" s="8"/>
    </row>
    <row r="281">
      <c r="C281" s="8"/>
      <c r="I281" s="8"/>
      <c r="J281" s="8"/>
    </row>
    <row r="282">
      <c r="C282" s="8"/>
      <c r="I282" s="8"/>
      <c r="J282" s="8"/>
    </row>
    <row r="283">
      <c r="C283" s="8"/>
      <c r="I283" s="8"/>
      <c r="J283" s="8"/>
    </row>
    <row r="284">
      <c r="C284" s="8"/>
      <c r="I284" s="8"/>
      <c r="J284" s="8"/>
    </row>
    <row r="285">
      <c r="C285" s="8"/>
      <c r="I285" s="8"/>
      <c r="J285" s="8"/>
    </row>
    <row r="286">
      <c r="C286" s="8"/>
      <c r="I286" s="8"/>
      <c r="J286" s="8"/>
    </row>
    <row r="287">
      <c r="C287" s="8"/>
      <c r="I287" s="8"/>
      <c r="J287" s="8"/>
    </row>
    <row r="288">
      <c r="C288" s="8"/>
      <c r="I288" s="8"/>
      <c r="J288" s="8"/>
    </row>
    <row r="289">
      <c r="C289" s="8"/>
      <c r="I289" s="8"/>
      <c r="J289" s="8"/>
    </row>
    <row r="290">
      <c r="C290" s="8"/>
      <c r="I290" s="8"/>
      <c r="J290" s="8"/>
    </row>
    <row r="291">
      <c r="C291" s="8"/>
      <c r="I291" s="8"/>
      <c r="J291" s="8"/>
    </row>
    <row r="292">
      <c r="C292" s="8"/>
      <c r="I292" s="8"/>
      <c r="J292" s="8"/>
    </row>
    <row r="293">
      <c r="C293" s="8"/>
      <c r="I293" s="8"/>
      <c r="J293" s="8"/>
    </row>
    <row r="294">
      <c r="C294" s="8"/>
      <c r="I294" s="8"/>
      <c r="J294" s="8"/>
    </row>
    <row r="295">
      <c r="C295" s="8"/>
      <c r="I295" s="8"/>
      <c r="J295" s="8"/>
    </row>
    <row r="296">
      <c r="C296" s="8"/>
      <c r="I296" s="8"/>
      <c r="J296" s="8"/>
    </row>
    <row r="297">
      <c r="C297" s="8"/>
      <c r="I297" s="8"/>
      <c r="J297" s="8"/>
    </row>
    <row r="298">
      <c r="C298" s="8"/>
      <c r="I298" s="8"/>
      <c r="J298" s="8"/>
    </row>
    <row r="299">
      <c r="C299" s="8"/>
      <c r="I299" s="8"/>
      <c r="J299" s="8"/>
    </row>
    <row r="300">
      <c r="C300" s="8"/>
      <c r="I300" s="8"/>
      <c r="J300" s="8"/>
    </row>
    <row r="301">
      <c r="C301" s="8"/>
      <c r="I301" s="8"/>
      <c r="J301" s="8"/>
    </row>
    <row r="302">
      <c r="C302" s="8"/>
      <c r="I302" s="8"/>
      <c r="J302" s="8"/>
    </row>
    <row r="303">
      <c r="C303" s="8"/>
      <c r="I303" s="8"/>
      <c r="J303" s="8"/>
    </row>
    <row r="304">
      <c r="C304" s="8"/>
      <c r="I304" s="8"/>
      <c r="J304" s="8"/>
    </row>
    <row r="305">
      <c r="C305" s="8"/>
      <c r="I305" s="8"/>
      <c r="J305" s="8"/>
    </row>
    <row r="306">
      <c r="C306" s="8"/>
      <c r="I306" s="8"/>
      <c r="J306" s="8"/>
    </row>
    <row r="307">
      <c r="C307" s="8"/>
      <c r="I307" s="8"/>
      <c r="J307" s="8"/>
    </row>
    <row r="308">
      <c r="C308" s="8"/>
      <c r="I308" s="8"/>
      <c r="J308" s="8"/>
    </row>
    <row r="309">
      <c r="C309" s="8"/>
      <c r="I309" s="8"/>
      <c r="J309" s="8"/>
    </row>
    <row r="310">
      <c r="C310" s="8"/>
      <c r="I310" s="8"/>
      <c r="J310" s="8"/>
    </row>
    <row r="311">
      <c r="C311" s="8"/>
      <c r="I311" s="8"/>
      <c r="J311" s="8"/>
    </row>
    <row r="312">
      <c r="C312" s="8"/>
      <c r="I312" s="8"/>
      <c r="J312" s="8"/>
    </row>
    <row r="313">
      <c r="C313" s="8"/>
      <c r="I313" s="8"/>
      <c r="J313" s="8"/>
    </row>
    <row r="314">
      <c r="C314" s="8"/>
      <c r="I314" s="8"/>
      <c r="J314" s="8"/>
    </row>
    <row r="315">
      <c r="C315" s="8"/>
      <c r="I315" s="8"/>
      <c r="J315" s="8"/>
    </row>
    <row r="316">
      <c r="C316" s="8"/>
      <c r="I316" s="8"/>
      <c r="J316" s="8"/>
    </row>
    <row r="317">
      <c r="C317" s="8"/>
      <c r="I317" s="8"/>
      <c r="J317" s="8"/>
    </row>
    <row r="318">
      <c r="C318" s="8"/>
      <c r="I318" s="8"/>
      <c r="J318" s="8"/>
    </row>
    <row r="319">
      <c r="C319" s="8"/>
      <c r="I319" s="8"/>
      <c r="J319" s="8"/>
    </row>
    <row r="320">
      <c r="C320" s="8"/>
      <c r="I320" s="8"/>
      <c r="J320" s="8"/>
    </row>
    <row r="321">
      <c r="C321" s="8"/>
      <c r="I321" s="8"/>
      <c r="J321" s="8"/>
    </row>
    <row r="322">
      <c r="C322" s="8"/>
      <c r="I322" s="8"/>
      <c r="J322" s="8"/>
    </row>
    <row r="323">
      <c r="C323" s="8"/>
      <c r="I323" s="8"/>
      <c r="J323" s="8"/>
    </row>
    <row r="324">
      <c r="C324" s="8"/>
      <c r="I324" s="8"/>
      <c r="J324" s="8"/>
    </row>
    <row r="325">
      <c r="C325" s="8"/>
      <c r="I325" s="8"/>
      <c r="J325" s="8"/>
    </row>
    <row r="326">
      <c r="C326" s="8"/>
      <c r="I326" s="8"/>
      <c r="J326" s="8"/>
    </row>
    <row r="327">
      <c r="C327" s="8"/>
      <c r="I327" s="8"/>
      <c r="J327" s="8"/>
    </row>
    <row r="328">
      <c r="C328" s="8"/>
      <c r="I328" s="8"/>
      <c r="J328" s="8"/>
    </row>
    <row r="329">
      <c r="C329" s="8"/>
      <c r="I329" s="8"/>
      <c r="J329" s="8"/>
    </row>
    <row r="330">
      <c r="C330" s="8"/>
      <c r="I330" s="8"/>
      <c r="J330" s="8"/>
    </row>
    <row r="331">
      <c r="C331" s="8"/>
      <c r="I331" s="8"/>
      <c r="J331" s="8"/>
    </row>
    <row r="332">
      <c r="C332" s="8"/>
      <c r="I332" s="8"/>
      <c r="J332" s="8"/>
    </row>
    <row r="333">
      <c r="C333" s="8"/>
      <c r="I333" s="8"/>
      <c r="J333" s="8"/>
    </row>
    <row r="334">
      <c r="C334" s="8"/>
      <c r="I334" s="8"/>
      <c r="J334" s="8"/>
    </row>
    <row r="335">
      <c r="C335" s="8"/>
      <c r="I335" s="8"/>
      <c r="J335" s="8"/>
    </row>
    <row r="336">
      <c r="C336" s="8"/>
      <c r="I336" s="8"/>
      <c r="J336" s="8"/>
    </row>
    <row r="337">
      <c r="C337" s="8"/>
      <c r="I337" s="8"/>
      <c r="J337" s="8"/>
    </row>
    <row r="338">
      <c r="C338" s="8"/>
      <c r="I338" s="8"/>
      <c r="J338" s="8"/>
    </row>
    <row r="339">
      <c r="C339" s="8"/>
      <c r="I339" s="8"/>
      <c r="J339" s="8"/>
    </row>
    <row r="340">
      <c r="C340" s="8"/>
      <c r="I340" s="8"/>
      <c r="J340" s="8"/>
    </row>
    <row r="341">
      <c r="C341" s="8"/>
      <c r="I341" s="8"/>
      <c r="J341" s="8"/>
    </row>
    <row r="342">
      <c r="C342" s="8"/>
      <c r="I342" s="8"/>
      <c r="J342" s="8"/>
    </row>
    <row r="343">
      <c r="C343" s="8"/>
      <c r="I343" s="8"/>
      <c r="J343" s="8"/>
    </row>
    <row r="344">
      <c r="C344" s="8"/>
      <c r="I344" s="8"/>
      <c r="J344" s="8"/>
    </row>
    <row r="345">
      <c r="C345" s="8"/>
      <c r="I345" s="8"/>
      <c r="J345" s="8"/>
    </row>
    <row r="346">
      <c r="C346" s="8"/>
      <c r="I346" s="8"/>
      <c r="J346" s="8"/>
    </row>
    <row r="347">
      <c r="C347" s="8"/>
      <c r="I347" s="8"/>
      <c r="J347" s="8"/>
    </row>
    <row r="348">
      <c r="C348" s="8"/>
      <c r="I348" s="8"/>
      <c r="J348" s="8"/>
    </row>
    <row r="349">
      <c r="C349" s="8"/>
      <c r="I349" s="8"/>
      <c r="J349" s="8"/>
    </row>
    <row r="350">
      <c r="C350" s="8"/>
      <c r="I350" s="8"/>
      <c r="J350" s="8"/>
    </row>
    <row r="351">
      <c r="C351" s="8"/>
      <c r="I351" s="8"/>
      <c r="J351" s="8"/>
    </row>
    <row r="352">
      <c r="C352" s="8"/>
      <c r="I352" s="8"/>
      <c r="J352" s="8"/>
    </row>
    <row r="353">
      <c r="C353" s="8"/>
      <c r="I353" s="8"/>
      <c r="J353" s="8"/>
    </row>
    <row r="354">
      <c r="C354" s="8"/>
      <c r="I354" s="8"/>
      <c r="J354" s="8"/>
    </row>
    <row r="355">
      <c r="C355" s="8"/>
      <c r="I355" s="8"/>
      <c r="J355" s="8"/>
    </row>
    <row r="356">
      <c r="C356" s="8"/>
      <c r="I356" s="8"/>
      <c r="J356" s="8"/>
    </row>
    <row r="357">
      <c r="C357" s="8"/>
      <c r="I357" s="8"/>
      <c r="J357" s="8"/>
    </row>
    <row r="358">
      <c r="C358" s="8"/>
      <c r="I358" s="8"/>
      <c r="J358" s="8"/>
    </row>
    <row r="359">
      <c r="C359" s="8"/>
      <c r="I359" s="8"/>
      <c r="J359" s="8"/>
    </row>
    <row r="360">
      <c r="C360" s="8"/>
      <c r="I360" s="8"/>
      <c r="J360" s="8"/>
    </row>
    <row r="361">
      <c r="C361" s="8"/>
      <c r="I361" s="8"/>
      <c r="J361" s="8"/>
    </row>
    <row r="362">
      <c r="C362" s="8"/>
      <c r="I362" s="8"/>
      <c r="J362" s="8"/>
    </row>
    <row r="363">
      <c r="C363" s="8"/>
      <c r="I363" s="8"/>
      <c r="J363" s="8"/>
    </row>
    <row r="364">
      <c r="C364" s="8"/>
      <c r="I364" s="8"/>
      <c r="J364" s="8"/>
    </row>
    <row r="365">
      <c r="C365" s="8"/>
      <c r="I365" s="8"/>
      <c r="J365" s="8"/>
    </row>
    <row r="366">
      <c r="C366" s="8"/>
      <c r="I366" s="8"/>
      <c r="J366" s="8"/>
    </row>
    <row r="367">
      <c r="C367" s="8"/>
      <c r="I367" s="8"/>
      <c r="J367" s="8"/>
    </row>
    <row r="368">
      <c r="C368" s="8"/>
      <c r="I368" s="8"/>
      <c r="J368" s="8"/>
    </row>
    <row r="369">
      <c r="C369" s="8"/>
      <c r="I369" s="8"/>
      <c r="J369" s="8"/>
    </row>
    <row r="370">
      <c r="C370" s="8"/>
      <c r="I370" s="8"/>
      <c r="J370" s="8"/>
    </row>
    <row r="371">
      <c r="C371" s="8"/>
      <c r="I371" s="8"/>
      <c r="J371" s="8"/>
    </row>
    <row r="372">
      <c r="C372" s="8"/>
      <c r="I372" s="8"/>
      <c r="J372" s="8"/>
    </row>
    <row r="373">
      <c r="C373" s="8"/>
      <c r="I373" s="8"/>
      <c r="J373" s="8"/>
    </row>
    <row r="374">
      <c r="C374" s="8"/>
      <c r="I374" s="8"/>
      <c r="J374" s="8"/>
    </row>
    <row r="375">
      <c r="C375" s="8"/>
      <c r="I375" s="8"/>
      <c r="J375" s="8"/>
    </row>
    <row r="376">
      <c r="C376" s="8"/>
      <c r="I376" s="8"/>
      <c r="J376" s="8"/>
    </row>
    <row r="377">
      <c r="C377" s="8"/>
      <c r="I377" s="8"/>
      <c r="J377" s="8"/>
    </row>
    <row r="378">
      <c r="C378" s="8"/>
      <c r="I378" s="8"/>
      <c r="J378" s="8"/>
    </row>
    <row r="379">
      <c r="C379" s="8"/>
      <c r="I379" s="8"/>
      <c r="J379" s="8"/>
    </row>
    <row r="380">
      <c r="C380" s="8"/>
      <c r="I380" s="8"/>
      <c r="J380" s="8"/>
    </row>
    <row r="381">
      <c r="C381" s="8"/>
      <c r="I381" s="8"/>
      <c r="J381" s="8"/>
    </row>
    <row r="382">
      <c r="C382" s="8"/>
      <c r="I382" s="8"/>
      <c r="J382" s="8"/>
    </row>
    <row r="383">
      <c r="C383" s="8"/>
      <c r="I383" s="8"/>
      <c r="J383" s="8"/>
    </row>
    <row r="384">
      <c r="C384" s="8"/>
      <c r="I384" s="8"/>
      <c r="J384" s="8"/>
    </row>
    <row r="385">
      <c r="C385" s="8"/>
      <c r="I385" s="8"/>
      <c r="J385" s="8"/>
    </row>
    <row r="386">
      <c r="C386" s="8"/>
      <c r="I386" s="8"/>
      <c r="J386" s="8"/>
    </row>
    <row r="387">
      <c r="C387" s="8"/>
      <c r="I387" s="8"/>
      <c r="J387" s="8"/>
    </row>
    <row r="388">
      <c r="C388" s="8"/>
      <c r="I388" s="8"/>
      <c r="J388" s="8"/>
    </row>
    <row r="389">
      <c r="C389" s="8"/>
      <c r="I389" s="8"/>
      <c r="J389" s="8"/>
    </row>
    <row r="390">
      <c r="C390" s="8"/>
      <c r="I390" s="8"/>
      <c r="J390" s="8"/>
    </row>
    <row r="391">
      <c r="C391" s="8"/>
      <c r="I391" s="8"/>
      <c r="J391" s="8"/>
    </row>
    <row r="392">
      <c r="C392" s="8"/>
      <c r="I392" s="8"/>
      <c r="J392" s="8"/>
    </row>
    <row r="393">
      <c r="C393" s="8"/>
      <c r="I393" s="8"/>
      <c r="J393" s="8"/>
    </row>
    <row r="394">
      <c r="C394" s="8"/>
      <c r="I394" s="8"/>
      <c r="J394" s="8"/>
    </row>
    <row r="395">
      <c r="C395" s="8"/>
      <c r="I395" s="8"/>
      <c r="J395" s="8"/>
    </row>
    <row r="396">
      <c r="C396" s="8"/>
      <c r="I396" s="8"/>
      <c r="J396" s="8"/>
    </row>
    <row r="397">
      <c r="C397" s="8"/>
      <c r="I397" s="8"/>
      <c r="J397" s="8"/>
    </row>
    <row r="398">
      <c r="C398" s="8"/>
      <c r="I398" s="8"/>
      <c r="J398" s="8"/>
    </row>
    <row r="399">
      <c r="C399" s="8"/>
      <c r="I399" s="8"/>
      <c r="J399" s="8"/>
    </row>
    <row r="400">
      <c r="C400" s="8"/>
      <c r="I400" s="8"/>
      <c r="J400" s="8"/>
    </row>
    <row r="401">
      <c r="C401" s="8"/>
      <c r="I401" s="8"/>
      <c r="J401" s="8"/>
    </row>
    <row r="402">
      <c r="C402" s="8"/>
      <c r="I402" s="8"/>
      <c r="J402" s="8"/>
    </row>
    <row r="403">
      <c r="C403" s="8"/>
      <c r="I403" s="8"/>
      <c r="J403" s="8"/>
    </row>
    <row r="404">
      <c r="C404" s="8"/>
      <c r="I404" s="8"/>
      <c r="J404" s="8"/>
    </row>
    <row r="405">
      <c r="C405" s="8"/>
      <c r="I405" s="8"/>
      <c r="J405" s="8"/>
    </row>
    <row r="406">
      <c r="C406" s="8"/>
      <c r="I406" s="8"/>
      <c r="J406" s="8"/>
    </row>
    <row r="407">
      <c r="C407" s="8"/>
      <c r="I407" s="8"/>
      <c r="J407" s="8"/>
    </row>
    <row r="408">
      <c r="C408" s="8"/>
      <c r="I408" s="8"/>
      <c r="J408" s="8"/>
    </row>
    <row r="409">
      <c r="C409" s="8"/>
      <c r="I409" s="8"/>
      <c r="J409" s="8"/>
    </row>
    <row r="410">
      <c r="C410" s="8"/>
      <c r="I410" s="8"/>
      <c r="J410" s="8"/>
    </row>
    <row r="411">
      <c r="C411" s="8"/>
      <c r="I411" s="8"/>
      <c r="J411" s="8"/>
    </row>
    <row r="412">
      <c r="C412" s="8"/>
      <c r="I412" s="8"/>
      <c r="J412" s="8"/>
    </row>
    <row r="413">
      <c r="C413" s="8"/>
      <c r="I413" s="8"/>
      <c r="J413" s="8"/>
    </row>
    <row r="414">
      <c r="C414" s="8"/>
      <c r="I414" s="8"/>
      <c r="J414" s="8"/>
    </row>
    <row r="415">
      <c r="C415" s="8"/>
      <c r="I415" s="8"/>
      <c r="J415" s="8"/>
    </row>
    <row r="416">
      <c r="C416" s="8"/>
      <c r="I416" s="8"/>
      <c r="J416" s="8"/>
    </row>
    <row r="417">
      <c r="C417" s="8"/>
      <c r="I417" s="8"/>
      <c r="J417" s="8"/>
    </row>
    <row r="418">
      <c r="C418" s="8"/>
      <c r="I418" s="8"/>
      <c r="J418" s="8"/>
    </row>
    <row r="419">
      <c r="C419" s="8"/>
      <c r="I419" s="8"/>
      <c r="J419" s="8"/>
    </row>
    <row r="420">
      <c r="C420" s="8"/>
      <c r="I420" s="8"/>
      <c r="J420" s="8"/>
    </row>
    <row r="421">
      <c r="C421" s="8"/>
      <c r="I421" s="8"/>
      <c r="J421" s="8"/>
    </row>
    <row r="422">
      <c r="C422" s="8"/>
      <c r="I422" s="8"/>
      <c r="J422" s="8"/>
    </row>
    <row r="423">
      <c r="C423" s="8"/>
      <c r="I423" s="8"/>
      <c r="J423" s="8"/>
    </row>
    <row r="424">
      <c r="C424" s="8"/>
      <c r="I424" s="8"/>
      <c r="J424" s="8"/>
    </row>
    <row r="425">
      <c r="C425" s="8"/>
      <c r="I425" s="8"/>
      <c r="J425" s="8"/>
    </row>
    <row r="426">
      <c r="C426" s="8"/>
      <c r="I426" s="8"/>
      <c r="J426" s="8"/>
    </row>
    <row r="427">
      <c r="C427" s="8"/>
      <c r="I427" s="8"/>
      <c r="J427" s="8"/>
    </row>
    <row r="428">
      <c r="C428" s="8"/>
      <c r="I428" s="8"/>
      <c r="J428" s="8"/>
    </row>
    <row r="429">
      <c r="C429" s="8"/>
      <c r="I429" s="8"/>
      <c r="J429" s="8"/>
    </row>
    <row r="430">
      <c r="C430" s="8"/>
      <c r="I430" s="8"/>
      <c r="J430" s="8"/>
    </row>
    <row r="431">
      <c r="C431" s="8"/>
      <c r="I431" s="8"/>
      <c r="J431" s="8"/>
    </row>
    <row r="432">
      <c r="C432" s="8"/>
      <c r="I432" s="8"/>
      <c r="J432" s="8"/>
    </row>
    <row r="433">
      <c r="C433" s="8"/>
      <c r="I433" s="8"/>
      <c r="J433" s="8"/>
    </row>
    <row r="434">
      <c r="C434" s="8"/>
      <c r="I434" s="8"/>
      <c r="J434" s="8"/>
    </row>
    <row r="435">
      <c r="C435" s="8"/>
      <c r="I435" s="8"/>
      <c r="J435" s="8"/>
    </row>
    <row r="436">
      <c r="C436" s="8"/>
      <c r="I436" s="8"/>
      <c r="J436" s="8"/>
    </row>
    <row r="437">
      <c r="C437" s="8"/>
      <c r="I437" s="8"/>
      <c r="J437" s="8"/>
    </row>
    <row r="438">
      <c r="C438" s="8"/>
      <c r="I438" s="8"/>
      <c r="J438" s="8"/>
    </row>
    <row r="439">
      <c r="C439" s="8"/>
      <c r="I439" s="8"/>
      <c r="J439" s="8"/>
    </row>
    <row r="440">
      <c r="C440" s="8"/>
      <c r="I440" s="8"/>
      <c r="J440" s="8"/>
    </row>
    <row r="441">
      <c r="C441" s="8"/>
      <c r="I441" s="8"/>
      <c r="J441" s="8"/>
    </row>
    <row r="442">
      <c r="C442" s="8"/>
      <c r="I442" s="8"/>
      <c r="J442" s="8"/>
    </row>
    <row r="443">
      <c r="C443" s="8"/>
      <c r="I443" s="8"/>
      <c r="J443" s="8"/>
    </row>
    <row r="444">
      <c r="C444" s="8"/>
      <c r="I444" s="8"/>
      <c r="J444" s="8"/>
    </row>
    <row r="445">
      <c r="C445" s="8"/>
      <c r="I445" s="8"/>
      <c r="J445" s="8"/>
    </row>
    <row r="446">
      <c r="C446" s="8"/>
      <c r="I446" s="8"/>
      <c r="J446" s="8"/>
    </row>
    <row r="447">
      <c r="C447" s="8"/>
      <c r="I447" s="8"/>
      <c r="J447" s="8"/>
    </row>
    <row r="448">
      <c r="C448" s="8"/>
      <c r="I448" s="8"/>
      <c r="J448" s="8"/>
    </row>
    <row r="449">
      <c r="C449" s="8"/>
      <c r="I449" s="8"/>
      <c r="J449" s="8"/>
    </row>
    <row r="450">
      <c r="C450" s="8"/>
      <c r="I450" s="8"/>
      <c r="J450" s="8"/>
    </row>
    <row r="451">
      <c r="C451" s="8"/>
      <c r="I451" s="8"/>
      <c r="J451" s="8"/>
    </row>
    <row r="452">
      <c r="C452" s="8"/>
      <c r="I452" s="8"/>
      <c r="J452" s="8"/>
    </row>
    <row r="453">
      <c r="C453" s="8"/>
      <c r="I453" s="8"/>
      <c r="J453" s="8"/>
    </row>
    <row r="454">
      <c r="C454" s="8"/>
      <c r="I454" s="8"/>
      <c r="J454" s="8"/>
    </row>
    <row r="455">
      <c r="C455" s="8"/>
      <c r="I455" s="8"/>
      <c r="J455" s="8"/>
    </row>
    <row r="456">
      <c r="C456" s="8"/>
      <c r="I456" s="8"/>
      <c r="J456" s="8"/>
    </row>
    <row r="457">
      <c r="C457" s="8"/>
      <c r="I457" s="8"/>
      <c r="J457" s="8"/>
    </row>
    <row r="458">
      <c r="C458" s="8"/>
      <c r="I458" s="8"/>
      <c r="J458" s="8"/>
    </row>
    <row r="459">
      <c r="C459" s="8"/>
      <c r="I459" s="8"/>
      <c r="J459" s="8"/>
    </row>
    <row r="460">
      <c r="C460" s="8"/>
      <c r="I460" s="8"/>
      <c r="J460" s="8"/>
    </row>
    <row r="461">
      <c r="C461" s="8"/>
      <c r="I461" s="8"/>
      <c r="J461" s="8"/>
    </row>
    <row r="462">
      <c r="C462" s="8"/>
      <c r="I462" s="8"/>
      <c r="J462" s="8"/>
    </row>
    <row r="463">
      <c r="C463" s="8"/>
      <c r="I463" s="8"/>
      <c r="J463" s="8"/>
    </row>
    <row r="464">
      <c r="C464" s="8"/>
      <c r="I464" s="8"/>
      <c r="J464" s="8"/>
    </row>
    <row r="465">
      <c r="C465" s="8"/>
      <c r="I465" s="8"/>
      <c r="J465" s="8"/>
    </row>
    <row r="466">
      <c r="C466" s="8"/>
      <c r="I466" s="8"/>
      <c r="J466" s="8"/>
    </row>
    <row r="467">
      <c r="C467" s="8"/>
      <c r="I467" s="8"/>
      <c r="J467" s="8"/>
    </row>
    <row r="468">
      <c r="C468" s="8"/>
      <c r="I468" s="8"/>
      <c r="J468" s="8"/>
    </row>
    <row r="469">
      <c r="C469" s="8"/>
      <c r="I469" s="8"/>
      <c r="J469" s="8"/>
    </row>
    <row r="470">
      <c r="C470" s="8"/>
      <c r="I470" s="8"/>
      <c r="J470" s="8"/>
    </row>
    <row r="471">
      <c r="C471" s="8"/>
      <c r="I471" s="8"/>
      <c r="J471" s="8"/>
    </row>
    <row r="472">
      <c r="C472" s="8"/>
      <c r="I472" s="8"/>
      <c r="J472" s="8"/>
    </row>
    <row r="473">
      <c r="C473" s="8"/>
      <c r="I473" s="8"/>
      <c r="J473" s="8"/>
    </row>
    <row r="474">
      <c r="C474" s="8"/>
      <c r="I474" s="8"/>
      <c r="J474" s="8"/>
    </row>
    <row r="475">
      <c r="C475" s="8"/>
      <c r="I475" s="8"/>
      <c r="J475" s="8"/>
    </row>
    <row r="476">
      <c r="C476" s="8"/>
      <c r="I476" s="8"/>
      <c r="J476" s="8"/>
    </row>
    <row r="477">
      <c r="C477" s="8"/>
      <c r="I477" s="8"/>
      <c r="J477" s="8"/>
    </row>
    <row r="478">
      <c r="C478" s="8"/>
      <c r="I478" s="8"/>
      <c r="J478" s="8"/>
    </row>
    <row r="479">
      <c r="C479" s="8"/>
      <c r="I479" s="8"/>
      <c r="J479" s="8"/>
    </row>
    <row r="480">
      <c r="C480" s="8"/>
      <c r="I480" s="8"/>
      <c r="J480" s="8"/>
    </row>
    <row r="481">
      <c r="C481" s="8"/>
      <c r="I481" s="8"/>
      <c r="J481" s="8"/>
    </row>
    <row r="482">
      <c r="C482" s="8"/>
      <c r="I482" s="8"/>
      <c r="J482" s="8"/>
    </row>
    <row r="483">
      <c r="C483" s="8"/>
      <c r="I483" s="8"/>
      <c r="J483" s="8"/>
    </row>
    <row r="484">
      <c r="C484" s="8"/>
      <c r="I484" s="8"/>
      <c r="J484" s="8"/>
    </row>
    <row r="485">
      <c r="C485" s="8"/>
      <c r="I485" s="8"/>
      <c r="J485" s="8"/>
    </row>
    <row r="486">
      <c r="C486" s="8"/>
      <c r="I486" s="8"/>
      <c r="J486" s="8"/>
    </row>
    <row r="487">
      <c r="C487" s="8"/>
      <c r="I487" s="8"/>
      <c r="J487" s="8"/>
    </row>
    <row r="488">
      <c r="C488" s="8"/>
      <c r="I488" s="8"/>
      <c r="J488" s="8"/>
    </row>
    <row r="489">
      <c r="C489" s="8"/>
      <c r="I489" s="8"/>
      <c r="J489" s="8"/>
    </row>
    <row r="490">
      <c r="C490" s="8"/>
      <c r="I490" s="8"/>
      <c r="J490" s="8"/>
    </row>
    <row r="491">
      <c r="C491" s="8"/>
      <c r="I491" s="8"/>
      <c r="J491" s="8"/>
    </row>
    <row r="492">
      <c r="C492" s="8"/>
      <c r="I492" s="8"/>
      <c r="J492" s="8"/>
    </row>
    <row r="493">
      <c r="C493" s="8"/>
      <c r="I493" s="8"/>
      <c r="J493" s="8"/>
    </row>
    <row r="494">
      <c r="C494" s="8"/>
      <c r="I494" s="8"/>
      <c r="J494" s="8"/>
    </row>
    <row r="495">
      <c r="C495" s="8"/>
      <c r="I495" s="8"/>
      <c r="J495" s="8"/>
    </row>
    <row r="496">
      <c r="C496" s="8"/>
      <c r="I496" s="8"/>
      <c r="J496" s="8"/>
    </row>
    <row r="497">
      <c r="C497" s="8"/>
      <c r="I497" s="8"/>
      <c r="J497" s="8"/>
    </row>
    <row r="498">
      <c r="C498" s="8"/>
      <c r="I498" s="8"/>
      <c r="J498" s="8"/>
    </row>
    <row r="499">
      <c r="C499" s="8"/>
      <c r="I499" s="8"/>
      <c r="J499" s="8"/>
    </row>
    <row r="500">
      <c r="C500" s="8"/>
      <c r="I500" s="8"/>
      <c r="J500" s="8"/>
    </row>
    <row r="501">
      <c r="C501" s="8"/>
      <c r="I501" s="8"/>
      <c r="J501" s="8"/>
    </row>
    <row r="502">
      <c r="C502" s="8"/>
      <c r="I502" s="8"/>
      <c r="J502" s="8"/>
    </row>
    <row r="503">
      <c r="C503" s="8"/>
      <c r="I503" s="8"/>
      <c r="J503" s="8"/>
    </row>
    <row r="504">
      <c r="C504" s="8"/>
      <c r="I504" s="8"/>
      <c r="J504" s="8"/>
    </row>
    <row r="505">
      <c r="C505" s="8"/>
      <c r="I505" s="8"/>
      <c r="J505" s="8"/>
    </row>
    <row r="506">
      <c r="C506" s="8"/>
      <c r="I506" s="8"/>
      <c r="J506" s="8"/>
    </row>
    <row r="507">
      <c r="C507" s="8"/>
      <c r="I507" s="8"/>
      <c r="J507" s="8"/>
    </row>
    <row r="508">
      <c r="C508" s="8"/>
      <c r="I508" s="8"/>
      <c r="J508" s="8"/>
    </row>
    <row r="509">
      <c r="C509" s="8"/>
      <c r="I509" s="8"/>
      <c r="J509" s="8"/>
    </row>
    <row r="510">
      <c r="C510" s="8"/>
      <c r="I510" s="8"/>
      <c r="J510" s="8"/>
    </row>
    <row r="511">
      <c r="C511" s="8"/>
      <c r="I511" s="8"/>
      <c r="J511" s="8"/>
    </row>
    <row r="512">
      <c r="C512" s="8"/>
      <c r="I512" s="8"/>
      <c r="J512" s="8"/>
    </row>
    <row r="513">
      <c r="C513" s="8"/>
      <c r="I513" s="8"/>
      <c r="J513" s="8"/>
    </row>
    <row r="514">
      <c r="C514" s="8"/>
      <c r="I514" s="8"/>
      <c r="J514" s="8"/>
    </row>
    <row r="515">
      <c r="C515" s="8"/>
      <c r="I515" s="8"/>
      <c r="J515" s="8"/>
    </row>
    <row r="516">
      <c r="C516" s="8"/>
      <c r="I516" s="8"/>
      <c r="J516" s="8"/>
    </row>
    <row r="517">
      <c r="C517" s="8"/>
      <c r="I517" s="8"/>
      <c r="J517" s="8"/>
    </row>
    <row r="518">
      <c r="C518" s="8"/>
      <c r="I518" s="8"/>
      <c r="J518" s="8"/>
    </row>
    <row r="519">
      <c r="C519" s="8"/>
      <c r="I519" s="8"/>
      <c r="J519" s="8"/>
    </row>
    <row r="520">
      <c r="C520" s="8"/>
      <c r="I520" s="8"/>
      <c r="J520" s="8"/>
    </row>
    <row r="521">
      <c r="C521" s="8"/>
      <c r="I521" s="8"/>
      <c r="J521" s="8"/>
    </row>
    <row r="522">
      <c r="C522" s="8"/>
      <c r="I522" s="8"/>
      <c r="J522" s="8"/>
    </row>
    <row r="523">
      <c r="C523" s="8"/>
      <c r="I523" s="8"/>
      <c r="J523" s="8"/>
    </row>
    <row r="524">
      <c r="C524" s="8"/>
      <c r="I524" s="8"/>
      <c r="J524" s="8"/>
    </row>
    <row r="525">
      <c r="C525" s="8"/>
      <c r="I525" s="8"/>
      <c r="J525" s="8"/>
    </row>
    <row r="526">
      <c r="C526" s="8"/>
      <c r="I526" s="8"/>
      <c r="J526" s="8"/>
    </row>
    <row r="527">
      <c r="C527" s="8"/>
      <c r="I527" s="8"/>
      <c r="J527" s="8"/>
    </row>
    <row r="528">
      <c r="C528" s="8"/>
      <c r="I528" s="8"/>
      <c r="J528" s="8"/>
    </row>
    <row r="529">
      <c r="C529" s="8"/>
      <c r="I529" s="8"/>
      <c r="J529" s="8"/>
    </row>
    <row r="530">
      <c r="C530" s="8"/>
      <c r="I530" s="8"/>
      <c r="J530" s="8"/>
    </row>
    <row r="531">
      <c r="C531" s="8"/>
      <c r="I531" s="8"/>
      <c r="J531" s="8"/>
    </row>
    <row r="532">
      <c r="C532" s="8"/>
      <c r="I532" s="8"/>
      <c r="J532" s="8"/>
    </row>
    <row r="533">
      <c r="C533" s="8"/>
      <c r="I533" s="8"/>
      <c r="J533" s="8"/>
    </row>
    <row r="534">
      <c r="C534" s="8"/>
      <c r="I534" s="8"/>
      <c r="J534" s="8"/>
    </row>
    <row r="535">
      <c r="C535" s="8"/>
      <c r="I535" s="8"/>
      <c r="J535" s="8"/>
    </row>
    <row r="536">
      <c r="C536" s="8"/>
      <c r="I536" s="8"/>
      <c r="J536" s="8"/>
    </row>
    <row r="537">
      <c r="C537" s="8"/>
      <c r="I537" s="8"/>
      <c r="J537" s="8"/>
    </row>
    <row r="538">
      <c r="C538" s="8"/>
      <c r="I538" s="8"/>
      <c r="J538" s="8"/>
    </row>
    <row r="539">
      <c r="C539" s="8"/>
      <c r="I539" s="8"/>
      <c r="J539" s="8"/>
    </row>
    <row r="540">
      <c r="C540" s="8"/>
      <c r="I540" s="8"/>
      <c r="J540" s="8"/>
    </row>
    <row r="541">
      <c r="C541" s="8"/>
      <c r="I541" s="8"/>
      <c r="J541" s="8"/>
    </row>
    <row r="542">
      <c r="C542" s="8"/>
      <c r="I542" s="8"/>
      <c r="J542" s="8"/>
    </row>
    <row r="543">
      <c r="C543" s="8"/>
      <c r="I543" s="8"/>
      <c r="J543" s="8"/>
    </row>
    <row r="544">
      <c r="C544" s="8"/>
      <c r="I544" s="8"/>
      <c r="J544" s="8"/>
    </row>
    <row r="545">
      <c r="C545" s="8"/>
      <c r="I545" s="8"/>
      <c r="J545" s="8"/>
    </row>
    <row r="546">
      <c r="C546" s="8"/>
      <c r="I546" s="8"/>
      <c r="J546" s="8"/>
    </row>
    <row r="547">
      <c r="C547" s="8"/>
      <c r="I547" s="8"/>
      <c r="J547" s="8"/>
    </row>
    <row r="548">
      <c r="C548" s="8"/>
      <c r="I548" s="8"/>
      <c r="J548" s="8"/>
    </row>
    <row r="549">
      <c r="C549" s="8"/>
      <c r="I549" s="8"/>
      <c r="J549" s="8"/>
    </row>
    <row r="550">
      <c r="C550" s="8"/>
      <c r="I550" s="8"/>
      <c r="J550" s="8"/>
    </row>
    <row r="551">
      <c r="C551" s="8"/>
      <c r="I551" s="8"/>
      <c r="J551" s="8"/>
    </row>
    <row r="552">
      <c r="C552" s="8"/>
      <c r="I552" s="8"/>
      <c r="J552" s="8"/>
    </row>
    <row r="553">
      <c r="C553" s="8"/>
      <c r="I553" s="8"/>
      <c r="J553" s="8"/>
    </row>
    <row r="554">
      <c r="C554" s="8"/>
      <c r="I554" s="8"/>
      <c r="J554" s="8"/>
    </row>
    <row r="555">
      <c r="C555" s="8"/>
      <c r="I555" s="8"/>
      <c r="J555" s="8"/>
    </row>
    <row r="556">
      <c r="C556" s="8"/>
      <c r="I556" s="8"/>
      <c r="J556" s="8"/>
    </row>
    <row r="557">
      <c r="C557" s="8"/>
      <c r="I557" s="8"/>
      <c r="J557" s="8"/>
    </row>
    <row r="558">
      <c r="C558" s="8"/>
      <c r="I558" s="8"/>
      <c r="J558" s="8"/>
    </row>
    <row r="559">
      <c r="C559" s="8"/>
      <c r="I559" s="8"/>
      <c r="J559" s="8"/>
    </row>
    <row r="560">
      <c r="C560" s="8"/>
      <c r="I560" s="8"/>
      <c r="J560" s="8"/>
    </row>
    <row r="561">
      <c r="C561" s="8"/>
      <c r="I561" s="8"/>
      <c r="J561" s="8"/>
    </row>
    <row r="562">
      <c r="C562" s="8"/>
      <c r="I562" s="8"/>
      <c r="J562" s="8"/>
    </row>
    <row r="563">
      <c r="C563" s="8"/>
      <c r="I563" s="8"/>
      <c r="J563" s="8"/>
    </row>
    <row r="564">
      <c r="C564" s="8"/>
      <c r="I564" s="8"/>
      <c r="J564" s="8"/>
    </row>
    <row r="565">
      <c r="C565" s="8"/>
      <c r="I565" s="8"/>
      <c r="J565" s="8"/>
    </row>
    <row r="566">
      <c r="C566" s="8"/>
      <c r="I566" s="8"/>
      <c r="J566" s="8"/>
    </row>
    <row r="567">
      <c r="C567" s="8"/>
      <c r="I567" s="8"/>
      <c r="J567" s="8"/>
    </row>
    <row r="568">
      <c r="C568" s="8"/>
      <c r="I568" s="8"/>
      <c r="J568" s="8"/>
    </row>
    <row r="569">
      <c r="C569" s="8"/>
      <c r="I569" s="8"/>
      <c r="J569" s="8"/>
    </row>
    <row r="570">
      <c r="C570" s="8"/>
      <c r="I570" s="8"/>
      <c r="J570" s="8"/>
    </row>
    <row r="571">
      <c r="C571" s="8"/>
      <c r="I571" s="8"/>
      <c r="J571" s="8"/>
    </row>
    <row r="572">
      <c r="C572" s="8"/>
      <c r="I572" s="8"/>
      <c r="J572" s="8"/>
    </row>
    <row r="573">
      <c r="C573" s="8"/>
      <c r="I573" s="8"/>
      <c r="J573" s="8"/>
    </row>
    <row r="574">
      <c r="C574" s="8"/>
      <c r="I574" s="8"/>
      <c r="J574" s="8"/>
    </row>
    <row r="575">
      <c r="C575" s="8"/>
      <c r="I575" s="8"/>
      <c r="J575" s="8"/>
    </row>
    <row r="576">
      <c r="C576" s="8"/>
      <c r="I576" s="8"/>
      <c r="J576" s="8"/>
    </row>
    <row r="577">
      <c r="C577" s="8"/>
      <c r="I577" s="8"/>
      <c r="J577" s="8"/>
    </row>
    <row r="578">
      <c r="C578" s="8"/>
      <c r="I578" s="8"/>
      <c r="J578" s="8"/>
    </row>
    <row r="579">
      <c r="C579" s="8"/>
      <c r="I579" s="8"/>
      <c r="J579" s="8"/>
    </row>
    <row r="580">
      <c r="C580" s="8"/>
      <c r="I580" s="8"/>
      <c r="J580" s="8"/>
    </row>
    <row r="581">
      <c r="C581" s="8"/>
      <c r="I581" s="8"/>
      <c r="J581" s="8"/>
    </row>
    <row r="582">
      <c r="C582" s="8"/>
      <c r="I582" s="8"/>
      <c r="J582" s="8"/>
    </row>
    <row r="583">
      <c r="C583" s="8"/>
      <c r="I583" s="8"/>
      <c r="J583" s="8"/>
    </row>
    <row r="584">
      <c r="C584" s="8"/>
      <c r="I584" s="8"/>
      <c r="J584" s="8"/>
    </row>
    <row r="585">
      <c r="C585" s="8"/>
      <c r="I585" s="8"/>
      <c r="J585" s="8"/>
    </row>
    <row r="586">
      <c r="C586" s="8"/>
      <c r="I586" s="8"/>
      <c r="J586" s="8"/>
    </row>
    <row r="587">
      <c r="C587" s="8"/>
      <c r="I587" s="8"/>
      <c r="J587" s="8"/>
    </row>
    <row r="588">
      <c r="C588" s="8"/>
      <c r="I588" s="8"/>
      <c r="J588" s="8"/>
    </row>
    <row r="589">
      <c r="C589" s="8"/>
      <c r="I589" s="8"/>
      <c r="J589" s="8"/>
    </row>
    <row r="590">
      <c r="C590" s="8"/>
      <c r="I590" s="8"/>
      <c r="J590" s="8"/>
    </row>
    <row r="591">
      <c r="C591" s="8"/>
      <c r="I591" s="8"/>
      <c r="J591" s="8"/>
    </row>
    <row r="592">
      <c r="C592" s="8"/>
      <c r="I592" s="8"/>
      <c r="J592" s="8"/>
    </row>
    <row r="593">
      <c r="C593" s="8"/>
      <c r="I593" s="8"/>
      <c r="J593" s="8"/>
    </row>
    <row r="594">
      <c r="C594" s="8"/>
      <c r="I594" s="8"/>
      <c r="J594" s="8"/>
    </row>
    <row r="595">
      <c r="C595" s="8"/>
      <c r="I595" s="8"/>
      <c r="J595" s="8"/>
    </row>
    <row r="596">
      <c r="C596" s="8"/>
      <c r="I596" s="8"/>
      <c r="J596" s="8"/>
    </row>
    <row r="597">
      <c r="C597" s="8"/>
      <c r="I597" s="8"/>
      <c r="J597" s="8"/>
    </row>
    <row r="598">
      <c r="C598" s="8"/>
      <c r="I598" s="8"/>
      <c r="J598" s="8"/>
    </row>
    <row r="599">
      <c r="C599" s="8"/>
      <c r="I599" s="8"/>
      <c r="J599" s="8"/>
    </row>
    <row r="600">
      <c r="C600" s="8"/>
      <c r="I600" s="8"/>
      <c r="J600" s="8"/>
    </row>
    <row r="601">
      <c r="C601" s="8"/>
      <c r="I601" s="8"/>
      <c r="J601" s="8"/>
    </row>
    <row r="602">
      <c r="C602" s="8"/>
      <c r="I602" s="8"/>
      <c r="J602" s="8"/>
    </row>
    <row r="603">
      <c r="C603" s="8"/>
      <c r="I603" s="8"/>
      <c r="J603" s="8"/>
    </row>
    <row r="604">
      <c r="C604" s="8"/>
      <c r="I604" s="8"/>
      <c r="J604" s="8"/>
    </row>
    <row r="605">
      <c r="C605" s="8"/>
      <c r="I605" s="8"/>
      <c r="J605" s="8"/>
    </row>
    <row r="606">
      <c r="C606" s="8"/>
      <c r="I606" s="8"/>
      <c r="J606" s="8"/>
    </row>
    <row r="607">
      <c r="C607" s="8"/>
      <c r="I607" s="8"/>
      <c r="J607" s="8"/>
    </row>
    <row r="608">
      <c r="C608" s="8"/>
      <c r="I608" s="8"/>
      <c r="J608" s="8"/>
    </row>
    <row r="609">
      <c r="C609" s="8"/>
      <c r="I609" s="8"/>
      <c r="J609" s="8"/>
    </row>
    <row r="610">
      <c r="C610" s="8"/>
      <c r="I610" s="8"/>
      <c r="J610" s="8"/>
    </row>
    <row r="611">
      <c r="C611" s="8"/>
      <c r="I611" s="8"/>
      <c r="J611" s="8"/>
    </row>
    <row r="612">
      <c r="C612" s="8"/>
      <c r="I612" s="8"/>
      <c r="J612" s="8"/>
    </row>
    <row r="613">
      <c r="C613" s="8"/>
      <c r="I613" s="8"/>
      <c r="J613" s="8"/>
    </row>
    <row r="614">
      <c r="C614" s="8"/>
      <c r="I614" s="8"/>
      <c r="J614" s="8"/>
    </row>
    <row r="615">
      <c r="C615" s="8"/>
      <c r="I615" s="8"/>
      <c r="J615" s="8"/>
    </row>
    <row r="616">
      <c r="C616" s="8"/>
      <c r="I616" s="8"/>
      <c r="J616" s="8"/>
    </row>
    <row r="617">
      <c r="C617" s="8"/>
      <c r="I617" s="8"/>
      <c r="J617" s="8"/>
    </row>
    <row r="618">
      <c r="C618" s="8"/>
      <c r="I618" s="8"/>
      <c r="J618" s="8"/>
    </row>
    <row r="619">
      <c r="C619" s="8"/>
      <c r="I619" s="8"/>
      <c r="J619" s="8"/>
    </row>
    <row r="620">
      <c r="C620" s="8"/>
      <c r="I620" s="8"/>
      <c r="J620" s="8"/>
    </row>
    <row r="621">
      <c r="C621" s="8"/>
      <c r="I621" s="8"/>
      <c r="J621" s="8"/>
    </row>
    <row r="622">
      <c r="C622" s="8"/>
      <c r="I622" s="8"/>
      <c r="J622" s="8"/>
    </row>
    <row r="623">
      <c r="C623" s="8"/>
      <c r="I623" s="8"/>
      <c r="J623" s="8"/>
    </row>
    <row r="624">
      <c r="C624" s="8"/>
      <c r="I624" s="8"/>
      <c r="J624" s="8"/>
    </row>
    <row r="625">
      <c r="C625" s="8"/>
      <c r="I625" s="8"/>
      <c r="J625" s="8"/>
    </row>
    <row r="626">
      <c r="C626" s="8"/>
      <c r="I626" s="8"/>
      <c r="J626" s="8"/>
    </row>
    <row r="627">
      <c r="C627" s="8"/>
      <c r="I627" s="8"/>
      <c r="J627" s="8"/>
    </row>
    <row r="628">
      <c r="C628" s="8"/>
      <c r="I628" s="8"/>
      <c r="J628" s="8"/>
    </row>
    <row r="629">
      <c r="C629" s="8"/>
      <c r="I629" s="8"/>
      <c r="J629" s="8"/>
    </row>
    <row r="630">
      <c r="C630" s="8"/>
      <c r="I630" s="8"/>
      <c r="J630" s="8"/>
    </row>
    <row r="631">
      <c r="C631" s="8"/>
      <c r="I631" s="8"/>
      <c r="J631" s="8"/>
    </row>
    <row r="632">
      <c r="C632" s="8"/>
      <c r="I632" s="8"/>
      <c r="J632" s="8"/>
    </row>
    <row r="633">
      <c r="C633" s="8"/>
      <c r="I633" s="8"/>
      <c r="J633" s="8"/>
    </row>
    <row r="634">
      <c r="C634" s="8"/>
      <c r="I634" s="8"/>
      <c r="J634" s="8"/>
    </row>
    <row r="635">
      <c r="C635" s="8"/>
      <c r="I635" s="8"/>
      <c r="J635" s="8"/>
    </row>
    <row r="636">
      <c r="C636" s="8"/>
      <c r="I636" s="8"/>
      <c r="J636" s="8"/>
    </row>
    <row r="637">
      <c r="C637" s="8"/>
      <c r="I637" s="8"/>
      <c r="J637" s="8"/>
    </row>
    <row r="638">
      <c r="C638" s="8"/>
      <c r="I638" s="8"/>
      <c r="J638" s="8"/>
    </row>
    <row r="639">
      <c r="C639" s="8"/>
      <c r="I639" s="8"/>
      <c r="J639" s="8"/>
    </row>
    <row r="640">
      <c r="C640" s="8"/>
      <c r="I640" s="8"/>
      <c r="J640" s="8"/>
    </row>
    <row r="641">
      <c r="C641" s="8"/>
      <c r="I641" s="8"/>
      <c r="J641" s="8"/>
    </row>
    <row r="642">
      <c r="C642" s="8"/>
      <c r="I642" s="8"/>
      <c r="J642" s="8"/>
    </row>
    <row r="643">
      <c r="C643" s="8"/>
      <c r="I643" s="8"/>
      <c r="J643" s="8"/>
    </row>
    <row r="644">
      <c r="C644" s="8"/>
      <c r="I644" s="8"/>
      <c r="J644" s="8"/>
    </row>
    <row r="645">
      <c r="C645" s="8"/>
      <c r="I645" s="8"/>
      <c r="J645" s="8"/>
    </row>
    <row r="646">
      <c r="C646" s="8"/>
      <c r="I646" s="8"/>
      <c r="J646" s="8"/>
    </row>
    <row r="647">
      <c r="C647" s="8"/>
      <c r="I647" s="8"/>
      <c r="J647" s="8"/>
    </row>
    <row r="648">
      <c r="C648" s="8"/>
      <c r="I648" s="8"/>
      <c r="J648" s="8"/>
    </row>
    <row r="649">
      <c r="C649" s="8"/>
      <c r="I649" s="8"/>
      <c r="J649" s="8"/>
    </row>
    <row r="650">
      <c r="C650" s="8"/>
      <c r="I650" s="8"/>
      <c r="J650" s="8"/>
    </row>
    <row r="651">
      <c r="C651" s="8"/>
      <c r="I651" s="8"/>
      <c r="J651" s="8"/>
    </row>
    <row r="652">
      <c r="C652" s="8"/>
      <c r="I652" s="8"/>
      <c r="J652" s="8"/>
    </row>
    <row r="653">
      <c r="C653" s="8"/>
      <c r="I653" s="8"/>
      <c r="J653" s="8"/>
    </row>
    <row r="654">
      <c r="C654" s="8"/>
      <c r="I654" s="8"/>
      <c r="J654" s="8"/>
    </row>
    <row r="655">
      <c r="C655" s="8"/>
      <c r="I655" s="8"/>
      <c r="J655" s="8"/>
    </row>
    <row r="656">
      <c r="C656" s="8"/>
      <c r="I656" s="8"/>
      <c r="J656" s="8"/>
    </row>
    <row r="657">
      <c r="C657" s="8"/>
      <c r="I657" s="8"/>
      <c r="J657" s="8"/>
    </row>
    <row r="658">
      <c r="C658" s="8"/>
      <c r="I658" s="8"/>
      <c r="J658" s="8"/>
    </row>
    <row r="659">
      <c r="C659" s="8"/>
      <c r="I659" s="8"/>
      <c r="J659" s="8"/>
    </row>
    <row r="660">
      <c r="C660" s="8"/>
      <c r="I660" s="8"/>
      <c r="J660" s="8"/>
    </row>
    <row r="661">
      <c r="C661" s="8"/>
      <c r="I661" s="8"/>
      <c r="J661" s="8"/>
    </row>
    <row r="662">
      <c r="C662" s="8"/>
      <c r="I662" s="8"/>
      <c r="J662" s="8"/>
    </row>
    <row r="663">
      <c r="C663" s="8"/>
      <c r="I663" s="8"/>
      <c r="J663" s="8"/>
    </row>
    <row r="664">
      <c r="C664" s="8"/>
      <c r="I664" s="8"/>
      <c r="J664" s="8"/>
    </row>
    <row r="665">
      <c r="C665" s="8"/>
      <c r="I665" s="8"/>
      <c r="J665" s="8"/>
    </row>
    <row r="666">
      <c r="C666" s="8"/>
      <c r="I666" s="8"/>
      <c r="J666" s="8"/>
    </row>
    <row r="667">
      <c r="C667" s="8"/>
      <c r="I667" s="8"/>
      <c r="J667" s="8"/>
    </row>
    <row r="668">
      <c r="C668" s="8"/>
      <c r="I668" s="8"/>
      <c r="J668" s="8"/>
    </row>
    <row r="669">
      <c r="C669" s="8"/>
      <c r="I669" s="8"/>
      <c r="J669" s="8"/>
    </row>
    <row r="670">
      <c r="C670" s="8"/>
      <c r="I670" s="8"/>
      <c r="J670" s="8"/>
    </row>
    <row r="671">
      <c r="C671" s="8"/>
      <c r="I671" s="8"/>
      <c r="J671" s="8"/>
    </row>
    <row r="672">
      <c r="C672" s="8"/>
      <c r="I672" s="8"/>
      <c r="J672" s="8"/>
    </row>
    <row r="673">
      <c r="C673" s="8"/>
      <c r="I673" s="8"/>
      <c r="J673" s="8"/>
    </row>
    <row r="674">
      <c r="C674" s="8"/>
      <c r="I674" s="8"/>
      <c r="J674" s="8"/>
    </row>
    <row r="675">
      <c r="C675" s="8"/>
      <c r="I675" s="8"/>
      <c r="J675" s="8"/>
    </row>
    <row r="676">
      <c r="C676" s="8"/>
      <c r="I676" s="8"/>
      <c r="J676" s="8"/>
    </row>
    <row r="677">
      <c r="C677" s="8"/>
      <c r="I677" s="8"/>
      <c r="J677" s="8"/>
    </row>
    <row r="678">
      <c r="C678" s="8"/>
      <c r="I678" s="8"/>
      <c r="J678" s="8"/>
    </row>
    <row r="679">
      <c r="C679" s="8"/>
      <c r="I679" s="8"/>
      <c r="J679" s="8"/>
    </row>
    <row r="680">
      <c r="C680" s="8"/>
      <c r="I680" s="8"/>
      <c r="J680" s="8"/>
    </row>
    <row r="681">
      <c r="C681" s="8"/>
      <c r="I681" s="8"/>
      <c r="J681" s="8"/>
    </row>
    <row r="682">
      <c r="C682" s="8"/>
      <c r="I682" s="8"/>
      <c r="J682" s="8"/>
    </row>
    <row r="683">
      <c r="C683" s="8"/>
      <c r="I683" s="8"/>
      <c r="J683" s="8"/>
    </row>
    <row r="684">
      <c r="C684" s="8"/>
      <c r="I684" s="8"/>
      <c r="J684" s="8"/>
    </row>
    <row r="685">
      <c r="C685" s="8"/>
      <c r="I685" s="8"/>
      <c r="J685" s="8"/>
    </row>
    <row r="686">
      <c r="C686" s="8"/>
      <c r="I686" s="8"/>
      <c r="J686" s="8"/>
    </row>
    <row r="687">
      <c r="C687" s="8"/>
      <c r="I687" s="8"/>
      <c r="J687" s="8"/>
    </row>
    <row r="688">
      <c r="C688" s="8"/>
      <c r="I688" s="8"/>
      <c r="J688" s="8"/>
    </row>
    <row r="689">
      <c r="C689" s="8"/>
      <c r="I689" s="8"/>
      <c r="J689" s="8"/>
    </row>
    <row r="690">
      <c r="C690" s="8"/>
      <c r="I690" s="8"/>
      <c r="J690" s="8"/>
    </row>
    <row r="691">
      <c r="C691" s="8"/>
      <c r="I691" s="8"/>
      <c r="J691" s="8"/>
    </row>
    <row r="692">
      <c r="C692" s="8"/>
      <c r="I692" s="8"/>
      <c r="J692" s="8"/>
    </row>
    <row r="693">
      <c r="C693" s="8"/>
      <c r="I693" s="8"/>
      <c r="J693" s="8"/>
    </row>
    <row r="694">
      <c r="C694" s="8"/>
      <c r="I694" s="8"/>
      <c r="J694" s="8"/>
    </row>
    <row r="695">
      <c r="C695" s="8"/>
      <c r="I695" s="8"/>
      <c r="J695" s="8"/>
    </row>
    <row r="696">
      <c r="C696" s="8"/>
      <c r="I696" s="8"/>
      <c r="J696" s="8"/>
    </row>
    <row r="697">
      <c r="C697" s="8"/>
      <c r="I697" s="8"/>
      <c r="J697" s="8"/>
    </row>
    <row r="698">
      <c r="C698" s="8"/>
      <c r="I698" s="8"/>
      <c r="J698" s="8"/>
    </row>
    <row r="699">
      <c r="C699" s="8"/>
      <c r="I699" s="8"/>
      <c r="J699" s="8"/>
    </row>
    <row r="700">
      <c r="C700" s="8"/>
      <c r="I700" s="8"/>
      <c r="J700" s="8"/>
    </row>
    <row r="701">
      <c r="C701" s="8"/>
      <c r="I701" s="8"/>
      <c r="J701" s="8"/>
    </row>
    <row r="702">
      <c r="C702" s="8"/>
      <c r="I702" s="8"/>
      <c r="J702" s="8"/>
    </row>
    <row r="703">
      <c r="C703" s="8"/>
      <c r="I703" s="8"/>
      <c r="J703" s="8"/>
    </row>
    <row r="704">
      <c r="C704" s="8"/>
      <c r="I704" s="8"/>
      <c r="J704" s="8"/>
    </row>
    <row r="705">
      <c r="C705" s="8"/>
      <c r="I705" s="8"/>
      <c r="J705" s="8"/>
    </row>
    <row r="706">
      <c r="C706" s="8"/>
      <c r="I706" s="8"/>
      <c r="J706" s="8"/>
    </row>
    <row r="707">
      <c r="C707" s="8"/>
      <c r="I707" s="8"/>
      <c r="J707" s="8"/>
    </row>
    <row r="708">
      <c r="C708" s="8"/>
      <c r="I708" s="8"/>
      <c r="J708" s="8"/>
    </row>
    <row r="709">
      <c r="C709" s="8"/>
      <c r="I709" s="8"/>
      <c r="J709" s="8"/>
    </row>
    <row r="710">
      <c r="C710" s="8"/>
      <c r="I710" s="8"/>
      <c r="J710" s="8"/>
    </row>
    <row r="711">
      <c r="C711" s="8"/>
      <c r="I711" s="8"/>
      <c r="J711" s="8"/>
    </row>
    <row r="712">
      <c r="C712" s="8"/>
      <c r="I712" s="8"/>
      <c r="J712" s="8"/>
    </row>
    <row r="713">
      <c r="C713" s="8"/>
      <c r="I713" s="8"/>
      <c r="J713" s="8"/>
    </row>
    <row r="714">
      <c r="C714" s="8"/>
      <c r="I714" s="8"/>
      <c r="J714" s="8"/>
    </row>
    <row r="715">
      <c r="C715" s="8"/>
      <c r="I715" s="8"/>
      <c r="J715" s="8"/>
    </row>
    <row r="716">
      <c r="C716" s="8"/>
      <c r="I716" s="8"/>
      <c r="J716" s="8"/>
    </row>
    <row r="717">
      <c r="C717" s="8"/>
      <c r="I717" s="8"/>
      <c r="J717" s="8"/>
    </row>
    <row r="718">
      <c r="C718" s="8"/>
      <c r="I718" s="8"/>
      <c r="J718" s="8"/>
    </row>
    <row r="719">
      <c r="C719" s="8"/>
      <c r="I719" s="8"/>
      <c r="J719" s="8"/>
    </row>
    <row r="720">
      <c r="C720" s="8"/>
      <c r="I720" s="8"/>
      <c r="J720" s="8"/>
    </row>
    <row r="721">
      <c r="C721" s="8"/>
      <c r="I721" s="8"/>
      <c r="J721" s="8"/>
    </row>
    <row r="722">
      <c r="C722" s="8"/>
      <c r="I722" s="8"/>
      <c r="J722" s="8"/>
    </row>
    <row r="723">
      <c r="C723" s="8"/>
      <c r="I723" s="8"/>
      <c r="J723" s="8"/>
    </row>
    <row r="724">
      <c r="C724" s="8"/>
      <c r="I724" s="8"/>
      <c r="J724" s="8"/>
    </row>
    <row r="725">
      <c r="C725" s="8"/>
      <c r="I725" s="8"/>
      <c r="J725" s="8"/>
    </row>
    <row r="726">
      <c r="C726" s="8"/>
      <c r="I726" s="8"/>
      <c r="J726" s="8"/>
    </row>
    <row r="727">
      <c r="C727" s="8"/>
      <c r="I727" s="8"/>
      <c r="J727" s="8"/>
    </row>
    <row r="728">
      <c r="C728" s="8"/>
      <c r="I728" s="8"/>
      <c r="J728" s="8"/>
    </row>
    <row r="729">
      <c r="C729" s="8"/>
      <c r="I729" s="8"/>
      <c r="J729" s="8"/>
    </row>
    <row r="730">
      <c r="C730" s="8"/>
      <c r="I730" s="8"/>
      <c r="J730" s="8"/>
    </row>
    <row r="731">
      <c r="C731" s="8"/>
      <c r="I731" s="8"/>
      <c r="J731" s="8"/>
    </row>
    <row r="732">
      <c r="C732" s="8"/>
      <c r="I732" s="8"/>
      <c r="J732" s="8"/>
    </row>
    <row r="733">
      <c r="C733" s="8"/>
      <c r="I733" s="8"/>
      <c r="J733" s="8"/>
    </row>
    <row r="734">
      <c r="C734" s="8"/>
      <c r="I734" s="8"/>
      <c r="J734" s="8"/>
    </row>
    <row r="735">
      <c r="C735" s="8"/>
      <c r="I735" s="8"/>
      <c r="J735" s="8"/>
    </row>
    <row r="736">
      <c r="C736" s="8"/>
      <c r="I736" s="8"/>
      <c r="J736" s="8"/>
    </row>
    <row r="737">
      <c r="C737" s="8"/>
      <c r="I737" s="8"/>
      <c r="J737" s="8"/>
    </row>
    <row r="738">
      <c r="C738" s="8"/>
      <c r="I738" s="8"/>
      <c r="J738" s="8"/>
    </row>
    <row r="739">
      <c r="C739" s="8"/>
      <c r="I739" s="8"/>
      <c r="J739" s="8"/>
    </row>
    <row r="740">
      <c r="C740" s="8"/>
      <c r="I740" s="8"/>
      <c r="J740" s="8"/>
    </row>
    <row r="741">
      <c r="C741" s="8"/>
      <c r="I741" s="8"/>
      <c r="J741" s="8"/>
    </row>
    <row r="742">
      <c r="C742" s="8"/>
      <c r="I742" s="8"/>
      <c r="J742" s="8"/>
    </row>
    <row r="743">
      <c r="C743" s="8"/>
      <c r="I743" s="8"/>
      <c r="J743" s="8"/>
    </row>
    <row r="744">
      <c r="C744" s="8"/>
      <c r="I744" s="8"/>
      <c r="J744" s="8"/>
    </row>
    <row r="745">
      <c r="C745" s="8"/>
      <c r="I745" s="8"/>
      <c r="J745" s="8"/>
    </row>
    <row r="746">
      <c r="C746" s="8"/>
      <c r="I746" s="8"/>
      <c r="J746" s="8"/>
    </row>
    <row r="747">
      <c r="C747" s="8"/>
      <c r="I747" s="8"/>
      <c r="J747" s="8"/>
    </row>
    <row r="748">
      <c r="C748" s="8"/>
      <c r="I748" s="8"/>
      <c r="J748" s="8"/>
    </row>
    <row r="749">
      <c r="C749" s="8"/>
      <c r="I749" s="8"/>
      <c r="J749" s="8"/>
    </row>
    <row r="750">
      <c r="C750" s="8"/>
      <c r="I750" s="8"/>
      <c r="J750" s="8"/>
    </row>
    <row r="751">
      <c r="C751" s="8"/>
      <c r="I751" s="8"/>
      <c r="J751" s="8"/>
    </row>
    <row r="752">
      <c r="C752" s="8"/>
      <c r="I752" s="8"/>
      <c r="J752" s="8"/>
    </row>
    <row r="753">
      <c r="C753" s="8"/>
      <c r="I753" s="8"/>
      <c r="J753" s="8"/>
    </row>
    <row r="754">
      <c r="C754" s="8"/>
      <c r="I754" s="8"/>
      <c r="J754" s="8"/>
    </row>
    <row r="755">
      <c r="C755" s="8"/>
      <c r="I755" s="8"/>
      <c r="J755" s="8"/>
    </row>
    <row r="756">
      <c r="C756" s="8"/>
      <c r="I756" s="8"/>
      <c r="J756" s="8"/>
    </row>
    <row r="757">
      <c r="C757" s="8"/>
      <c r="I757" s="8"/>
      <c r="J757" s="8"/>
    </row>
    <row r="758">
      <c r="C758" s="8"/>
      <c r="I758" s="8"/>
      <c r="J758" s="8"/>
    </row>
    <row r="759">
      <c r="C759" s="8"/>
      <c r="I759" s="8"/>
      <c r="J759" s="8"/>
    </row>
    <row r="760">
      <c r="C760" s="8"/>
      <c r="I760" s="8"/>
      <c r="J760" s="8"/>
    </row>
    <row r="761">
      <c r="C761" s="8"/>
      <c r="I761" s="8"/>
      <c r="J761" s="8"/>
    </row>
    <row r="762">
      <c r="C762" s="8"/>
      <c r="I762" s="8"/>
      <c r="J762" s="8"/>
    </row>
    <row r="763">
      <c r="C763" s="8"/>
      <c r="I763" s="8"/>
      <c r="J763" s="8"/>
    </row>
    <row r="764">
      <c r="C764" s="8"/>
      <c r="I764" s="8"/>
      <c r="J764" s="8"/>
    </row>
    <row r="765">
      <c r="C765" s="8"/>
      <c r="I765" s="8"/>
      <c r="J765" s="8"/>
    </row>
    <row r="766">
      <c r="C766" s="8"/>
      <c r="I766" s="8"/>
      <c r="J766" s="8"/>
    </row>
    <row r="767">
      <c r="C767" s="8"/>
      <c r="I767" s="8"/>
      <c r="J767" s="8"/>
    </row>
    <row r="768">
      <c r="C768" s="8"/>
      <c r="I768" s="8"/>
      <c r="J768" s="8"/>
    </row>
    <row r="769">
      <c r="C769" s="8"/>
      <c r="I769" s="8"/>
      <c r="J769" s="8"/>
    </row>
    <row r="770">
      <c r="C770" s="8"/>
      <c r="I770" s="8"/>
      <c r="J770" s="8"/>
    </row>
    <row r="771">
      <c r="C771" s="8"/>
      <c r="I771" s="8"/>
      <c r="J771" s="8"/>
    </row>
    <row r="772">
      <c r="C772" s="8"/>
      <c r="I772" s="8"/>
      <c r="J772" s="8"/>
    </row>
    <row r="773">
      <c r="C773" s="8"/>
      <c r="I773" s="8"/>
      <c r="J773" s="8"/>
    </row>
    <row r="774">
      <c r="C774" s="8"/>
      <c r="I774" s="8"/>
      <c r="J774" s="8"/>
    </row>
    <row r="775">
      <c r="C775" s="8"/>
      <c r="I775" s="8"/>
      <c r="J775" s="8"/>
    </row>
    <row r="776">
      <c r="C776" s="8"/>
      <c r="I776" s="8"/>
      <c r="J776" s="8"/>
    </row>
    <row r="777">
      <c r="C777" s="8"/>
      <c r="I777" s="8"/>
      <c r="J777" s="8"/>
    </row>
    <row r="778">
      <c r="C778" s="8"/>
      <c r="I778" s="8"/>
      <c r="J778" s="8"/>
    </row>
    <row r="779">
      <c r="C779" s="8"/>
      <c r="I779" s="8"/>
      <c r="J779" s="8"/>
    </row>
    <row r="780">
      <c r="C780" s="8"/>
      <c r="I780" s="8"/>
      <c r="J780" s="8"/>
    </row>
    <row r="781">
      <c r="C781" s="8"/>
      <c r="I781" s="8"/>
      <c r="J781" s="8"/>
    </row>
    <row r="782">
      <c r="C782" s="8"/>
      <c r="I782" s="8"/>
      <c r="J782" s="8"/>
    </row>
    <row r="783">
      <c r="C783" s="8"/>
      <c r="I783" s="8"/>
      <c r="J783" s="8"/>
    </row>
    <row r="784">
      <c r="C784" s="8"/>
      <c r="I784" s="8"/>
      <c r="J784" s="8"/>
    </row>
    <row r="785">
      <c r="C785" s="8"/>
      <c r="I785" s="8"/>
      <c r="J785" s="8"/>
    </row>
    <row r="786">
      <c r="C786" s="8"/>
      <c r="I786" s="8"/>
      <c r="J786" s="8"/>
    </row>
    <row r="787">
      <c r="C787" s="8"/>
      <c r="I787" s="8"/>
      <c r="J787" s="8"/>
    </row>
    <row r="788">
      <c r="C788" s="8"/>
      <c r="I788" s="8"/>
      <c r="J788" s="8"/>
    </row>
    <row r="789">
      <c r="C789" s="8"/>
      <c r="I789" s="8"/>
      <c r="J789" s="8"/>
    </row>
    <row r="790">
      <c r="C790" s="8"/>
      <c r="I790" s="8"/>
      <c r="J790" s="8"/>
    </row>
    <row r="791">
      <c r="C791" s="8"/>
      <c r="I791" s="8"/>
      <c r="J791" s="8"/>
    </row>
    <row r="792">
      <c r="C792" s="8"/>
      <c r="I792" s="8"/>
      <c r="J792" s="8"/>
    </row>
    <row r="793">
      <c r="C793" s="8"/>
      <c r="I793" s="8"/>
      <c r="J793" s="8"/>
    </row>
    <row r="794">
      <c r="C794" s="8"/>
      <c r="I794" s="8"/>
      <c r="J794" s="8"/>
    </row>
    <row r="795">
      <c r="C795" s="8"/>
      <c r="I795" s="8"/>
      <c r="J795" s="8"/>
    </row>
    <row r="796">
      <c r="C796" s="8"/>
      <c r="I796" s="8"/>
      <c r="J796" s="8"/>
    </row>
    <row r="797">
      <c r="C797" s="8"/>
      <c r="I797" s="8"/>
      <c r="J797" s="8"/>
    </row>
    <row r="798">
      <c r="C798" s="8"/>
      <c r="I798" s="8"/>
      <c r="J798" s="8"/>
    </row>
    <row r="799">
      <c r="C799" s="8"/>
      <c r="I799" s="8"/>
      <c r="J799" s="8"/>
    </row>
    <row r="800">
      <c r="C800" s="8"/>
      <c r="I800" s="8"/>
      <c r="J800" s="8"/>
    </row>
    <row r="801">
      <c r="C801" s="8"/>
      <c r="I801" s="8"/>
      <c r="J801" s="8"/>
    </row>
    <row r="802">
      <c r="C802" s="8"/>
      <c r="I802" s="8"/>
      <c r="J802" s="8"/>
    </row>
    <row r="803">
      <c r="C803" s="8"/>
      <c r="I803" s="8"/>
      <c r="J803" s="8"/>
    </row>
    <row r="804">
      <c r="C804" s="8"/>
      <c r="I804" s="8"/>
      <c r="J804" s="8"/>
    </row>
    <row r="805">
      <c r="C805" s="8"/>
      <c r="I805" s="8"/>
      <c r="J805" s="8"/>
    </row>
    <row r="806">
      <c r="C806" s="8"/>
      <c r="I806" s="8"/>
      <c r="J806" s="8"/>
    </row>
    <row r="807">
      <c r="C807" s="8"/>
      <c r="I807" s="8"/>
      <c r="J807" s="8"/>
    </row>
    <row r="808">
      <c r="C808" s="8"/>
      <c r="I808" s="8"/>
      <c r="J808" s="8"/>
    </row>
    <row r="809">
      <c r="C809" s="8"/>
      <c r="I809" s="8"/>
      <c r="J809" s="8"/>
    </row>
    <row r="810">
      <c r="C810" s="8"/>
      <c r="I810" s="8"/>
      <c r="J810" s="8"/>
    </row>
    <row r="811">
      <c r="C811" s="8"/>
      <c r="I811" s="8"/>
      <c r="J811" s="8"/>
    </row>
    <row r="812">
      <c r="C812" s="8"/>
      <c r="I812" s="8"/>
      <c r="J812" s="8"/>
    </row>
    <row r="813">
      <c r="C813" s="8"/>
      <c r="I813" s="8"/>
      <c r="J813" s="8"/>
    </row>
    <row r="814">
      <c r="C814" s="8"/>
      <c r="I814" s="8"/>
      <c r="J814" s="8"/>
    </row>
    <row r="815">
      <c r="C815" s="8"/>
      <c r="I815" s="8"/>
      <c r="J815" s="8"/>
    </row>
    <row r="816">
      <c r="C816" s="8"/>
      <c r="I816" s="8"/>
      <c r="J816" s="8"/>
    </row>
    <row r="817">
      <c r="C817" s="8"/>
      <c r="I817" s="8"/>
      <c r="J817" s="8"/>
    </row>
    <row r="818">
      <c r="C818" s="8"/>
      <c r="I818" s="8"/>
      <c r="J818" s="8"/>
    </row>
    <row r="819">
      <c r="C819" s="8"/>
      <c r="I819" s="8"/>
      <c r="J819" s="8"/>
    </row>
    <row r="820">
      <c r="C820" s="8"/>
      <c r="I820" s="8"/>
      <c r="J820" s="8"/>
    </row>
    <row r="821">
      <c r="C821" s="8"/>
      <c r="I821" s="8"/>
      <c r="J821" s="8"/>
    </row>
    <row r="822">
      <c r="C822" s="8"/>
      <c r="I822" s="8"/>
      <c r="J822" s="8"/>
    </row>
    <row r="823">
      <c r="C823" s="8"/>
      <c r="I823" s="8"/>
      <c r="J823" s="8"/>
    </row>
    <row r="824">
      <c r="C824" s="8"/>
      <c r="I824" s="8"/>
      <c r="J824" s="8"/>
    </row>
    <row r="825">
      <c r="C825" s="8"/>
      <c r="I825" s="8"/>
      <c r="J825" s="8"/>
    </row>
    <row r="826">
      <c r="C826" s="8"/>
      <c r="I826" s="8"/>
      <c r="J826" s="8"/>
    </row>
    <row r="827">
      <c r="C827" s="8"/>
      <c r="I827" s="8"/>
      <c r="J827" s="8"/>
    </row>
    <row r="828">
      <c r="C828" s="8"/>
      <c r="I828" s="8"/>
      <c r="J828" s="8"/>
    </row>
    <row r="829">
      <c r="C829" s="8"/>
      <c r="I829" s="8"/>
      <c r="J829" s="8"/>
    </row>
    <row r="830">
      <c r="C830" s="8"/>
      <c r="I830" s="8"/>
      <c r="J830" s="8"/>
    </row>
    <row r="831">
      <c r="C831" s="8"/>
      <c r="I831" s="8"/>
      <c r="J831" s="8"/>
    </row>
    <row r="832">
      <c r="C832" s="8"/>
      <c r="I832" s="8"/>
      <c r="J832" s="8"/>
    </row>
    <row r="833">
      <c r="C833" s="8"/>
      <c r="I833" s="8"/>
      <c r="J833" s="8"/>
    </row>
    <row r="834">
      <c r="C834" s="8"/>
      <c r="I834" s="8"/>
      <c r="J834" s="8"/>
    </row>
    <row r="835">
      <c r="C835" s="8"/>
      <c r="I835" s="8"/>
      <c r="J835" s="8"/>
    </row>
    <row r="836">
      <c r="C836" s="8"/>
      <c r="I836" s="8"/>
      <c r="J836" s="8"/>
    </row>
    <row r="837">
      <c r="C837" s="8"/>
      <c r="I837" s="8"/>
      <c r="J837" s="8"/>
    </row>
    <row r="838">
      <c r="C838" s="8"/>
      <c r="I838" s="8"/>
      <c r="J838" s="8"/>
    </row>
    <row r="839">
      <c r="C839" s="8"/>
      <c r="I839" s="8"/>
      <c r="J839" s="8"/>
    </row>
    <row r="840">
      <c r="C840" s="8"/>
      <c r="I840" s="8"/>
      <c r="J840" s="8"/>
    </row>
    <row r="841">
      <c r="C841" s="8"/>
      <c r="I841" s="8"/>
      <c r="J841" s="8"/>
    </row>
    <row r="842">
      <c r="C842" s="8"/>
      <c r="I842" s="8"/>
      <c r="J842" s="8"/>
    </row>
    <row r="843">
      <c r="C843" s="8"/>
      <c r="I843" s="8"/>
      <c r="J843" s="8"/>
    </row>
    <row r="844">
      <c r="C844" s="8"/>
      <c r="I844" s="8"/>
      <c r="J844" s="8"/>
    </row>
    <row r="845">
      <c r="C845" s="8"/>
      <c r="I845" s="8"/>
      <c r="J845" s="8"/>
    </row>
    <row r="846">
      <c r="C846" s="8"/>
      <c r="I846" s="8"/>
      <c r="J846" s="8"/>
    </row>
    <row r="847">
      <c r="C847" s="8"/>
      <c r="I847" s="8"/>
      <c r="J847" s="8"/>
    </row>
    <row r="848">
      <c r="C848" s="8"/>
      <c r="I848" s="8"/>
      <c r="J848" s="8"/>
    </row>
    <row r="849">
      <c r="C849" s="8"/>
      <c r="I849" s="8"/>
      <c r="J849" s="8"/>
    </row>
    <row r="850">
      <c r="C850" s="8"/>
      <c r="I850" s="8"/>
      <c r="J850" s="8"/>
    </row>
    <row r="851">
      <c r="C851" s="8"/>
      <c r="I851" s="8"/>
      <c r="J851" s="8"/>
    </row>
    <row r="852">
      <c r="C852" s="8"/>
      <c r="I852" s="8"/>
      <c r="J852" s="8"/>
    </row>
    <row r="853">
      <c r="C853" s="8"/>
      <c r="I853" s="8"/>
      <c r="J853" s="8"/>
    </row>
    <row r="854">
      <c r="C854" s="8"/>
      <c r="I854" s="8"/>
      <c r="J854" s="8"/>
    </row>
    <row r="855">
      <c r="C855" s="8"/>
      <c r="I855" s="8"/>
      <c r="J855" s="8"/>
    </row>
    <row r="856">
      <c r="C856" s="8"/>
      <c r="I856" s="8"/>
      <c r="J856" s="8"/>
    </row>
    <row r="857">
      <c r="C857" s="8"/>
      <c r="I857" s="8"/>
      <c r="J857" s="8"/>
    </row>
    <row r="858">
      <c r="C858" s="8"/>
      <c r="I858" s="8"/>
      <c r="J858" s="8"/>
    </row>
    <row r="859">
      <c r="C859" s="8"/>
      <c r="I859" s="8"/>
      <c r="J859" s="8"/>
    </row>
    <row r="860">
      <c r="C860" s="8"/>
      <c r="I860" s="8"/>
      <c r="J860" s="8"/>
    </row>
    <row r="861">
      <c r="C861" s="8"/>
      <c r="I861" s="8"/>
      <c r="J861" s="8"/>
    </row>
    <row r="862">
      <c r="C862" s="8"/>
      <c r="I862" s="8"/>
      <c r="J862" s="8"/>
    </row>
    <row r="863">
      <c r="C863" s="8"/>
      <c r="I863" s="8"/>
      <c r="J863" s="8"/>
    </row>
    <row r="864">
      <c r="C864" s="8"/>
      <c r="I864" s="8"/>
      <c r="J864" s="8"/>
    </row>
    <row r="865">
      <c r="C865" s="8"/>
      <c r="I865" s="8"/>
      <c r="J865" s="8"/>
    </row>
    <row r="866">
      <c r="C866" s="8"/>
      <c r="I866" s="8"/>
      <c r="J866" s="8"/>
    </row>
    <row r="867">
      <c r="C867" s="8"/>
      <c r="I867" s="8"/>
      <c r="J867" s="8"/>
    </row>
    <row r="868">
      <c r="C868" s="8"/>
      <c r="I868" s="8"/>
      <c r="J868" s="8"/>
    </row>
    <row r="869">
      <c r="C869" s="8"/>
      <c r="I869" s="8"/>
      <c r="J869" s="8"/>
    </row>
    <row r="870">
      <c r="C870" s="8"/>
      <c r="I870" s="8"/>
      <c r="J870" s="8"/>
    </row>
    <row r="871">
      <c r="C871" s="8"/>
      <c r="I871" s="8"/>
      <c r="J871" s="8"/>
    </row>
    <row r="872">
      <c r="C872" s="8"/>
      <c r="I872" s="8"/>
      <c r="J872" s="8"/>
    </row>
    <row r="873">
      <c r="C873" s="8"/>
      <c r="I873" s="8"/>
      <c r="J873" s="8"/>
    </row>
    <row r="874">
      <c r="C874" s="8"/>
      <c r="I874" s="8"/>
      <c r="J874" s="8"/>
    </row>
    <row r="875">
      <c r="C875" s="8"/>
      <c r="I875" s="8"/>
      <c r="J875" s="8"/>
    </row>
    <row r="876">
      <c r="C876" s="8"/>
      <c r="I876" s="8"/>
      <c r="J876" s="8"/>
    </row>
    <row r="877">
      <c r="C877" s="8"/>
      <c r="I877" s="8"/>
      <c r="J877" s="8"/>
    </row>
    <row r="878">
      <c r="C878" s="8"/>
      <c r="I878" s="8"/>
      <c r="J878" s="8"/>
    </row>
    <row r="879">
      <c r="C879" s="8"/>
      <c r="I879" s="8"/>
      <c r="J879" s="8"/>
    </row>
    <row r="880">
      <c r="C880" s="8"/>
      <c r="I880" s="8"/>
      <c r="J880" s="8"/>
    </row>
    <row r="881">
      <c r="C881" s="8"/>
      <c r="I881" s="8"/>
      <c r="J881" s="8"/>
    </row>
    <row r="882">
      <c r="C882" s="8"/>
      <c r="I882" s="8"/>
      <c r="J882" s="8"/>
    </row>
    <row r="883">
      <c r="C883" s="8"/>
      <c r="I883" s="8"/>
      <c r="J883" s="8"/>
    </row>
    <row r="884">
      <c r="C884" s="8"/>
      <c r="I884" s="8"/>
      <c r="J884" s="8"/>
    </row>
    <row r="885">
      <c r="C885" s="8"/>
      <c r="I885" s="8"/>
      <c r="J885" s="8"/>
    </row>
    <row r="886">
      <c r="C886" s="8"/>
      <c r="I886" s="8"/>
      <c r="J886" s="8"/>
    </row>
    <row r="887">
      <c r="C887" s="8"/>
      <c r="I887" s="8"/>
      <c r="J887" s="8"/>
    </row>
    <row r="888">
      <c r="C888" s="8"/>
      <c r="I888" s="8"/>
      <c r="J888" s="8"/>
    </row>
    <row r="889">
      <c r="C889" s="8"/>
      <c r="I889" s="8"/>
      <c r="J889" s="8"/>
    </row>
    <row r="890">
      <c r="C890" s="8"/>
      <c r="I890" s="8"/>
      <c r="J890" s="8"/>
    </row>
    <row r="891">
      <c r="C891" s="8"/>
      <c r="I891" s="8"/>
      <c r="J891" s="8"/>
    </row>
    <row r="892">
      <c r="C892" s="8"/>
      <c r="I892" s="8"/>
      <c r="J892" s="8"/>
    </row>
    <row r="893">
      <c r="C893" s="8"/>
      <c r="I893" s="8"/>
      <c r="J893" s="8"/>
    </row>
    <row r="894">
      <c r="C894" s="8"/>
      <c r="I894" s="8"/>
      <c r="J894" s="8"/>
    </row>
    <row r="895">
      <c r="C895" s="8"/>
      <c r="I895" s="8"/>
      <c r="J895" s="8"/>
    </row>
    <row r="896">
      <c r="C896" s="8"/>
      <c r="I896" s="8"/>
      <c r="J896" s="8"/>
    </row>
    <row r="897">
      <c r="C897" s="8"/>
      <c r="I897" s="8"/>
      <c r="J897" s="8"/>
    </row>
    <row r="898">
      <c r="C898" s="8"/>
      <c r="I898" s="8"/>
      <c r="J898" s="8"/>
    </row>
    <row r="899">
      <c r="C899" s="8"/>
      <c r="I899" s="8"/>
      <c r="J899" s="8"/>
    </row>
    <row r="900">
      <c r="C900" s="8"/>
      <c r="I900" s="8"/>
      <c r="J900" s="8"/>
    </row>
    <row r="901">
      <c r="C901" s="8"/>
      <c r="I901" s="8"/>
      <c r="J901" s="8"/>
    </row>
    <row r="902">
      <c r="C902" s="8"/>
      <c r="I902" s="8"/>
      <c r="J902" s="8"/>
    </row>
    <row r="903">
      <c r="C903" s="8"/>
      <c r="I903" s="8"/>
      <c r="J903" s="8"/>
    </row>
    <row r="904">
      <c r="C904" s="8"/>
      <c r="I904" s="8"/>
      <c r="J904" s="8"/>
    </row>
    <row r="905">
      <c r="C905" s="8"/>
      <c r="I905" s="8"/>
      <c r="J905" s="8"/>
    </row>
    <row r="906">
      <c r="C906" s="8"/>
      <c r="I906" s="8"/>
      <c r="J906" s="8"/>
    </row>
    <row r="907">
      <c r="C907" s="8"/>
      <c r="I907" s="8"/>
      <c r="J907" s="8"/>
    </row>
    <row r="908">
      <c r="C908" s="8"/>
      <c r="I908" s="8"/>
      <c r="J908" s="8"/>
    </row>
    <row r="909">
      <c r="C909" s="8"/>
      <c r="I909" s="8"/>
      <c r="J909" s="8"/>
    </row>
    <row r="910">
      <c r="C910" s="8"/>
      <c r="I910" s="8"/>
      <c r="J910" s="8"/>
    </row>
    <row r="911">
      <c r="C911" s="8"/>
      <c r="I911" s="8"/>
      <c r="J911" s="8"/>
    </row>
    <row r="912">
      <c r="C912" s="8"/>
      <c r="I912" s="8"/>
      <c r="J912" s="8"/>
    </row>
    <row r="913">
      <c r="C913" s="8"/>
      <c r="I913" s="8"/>
      <c r="J913" s="8"/>
    </row>
    <row r="914">
      <c r="C914" s="8"/>
      <c r="I914" s="8"/>
      <c r="J914" s="8"/>
    </row>
    <row r="915">
      <c r="C915" s="8"/>
      <c r="I915" s="8"/>
      <c r="J915" s="8"/>
    </row>
    <row r="916">
      <c r="C916" s="8"/>
      <c r="I916" s="8"/>
      <c r="J916" s="8"/>
    </row>
    <row r="917">
      <c r="C917" s="8"/>
      <c r="I917" s="8"/>
      <c r="J917" s="8"/>
    </row>
    <row r="918">
      <c r="C918" s="8"/>
      <c r="I918" s="8"/>
      <c r="J918" s="8"/>
    </row>
    <row r="919">
      <c r="C919" s="8"/>
      <c r="I919" s="8"/>
      <c r="J919" s="8"/>
    </row>
    <row r="920">
      <c r="C920" s="8"/>
      <c r="I920" s="8"/>
      <c r="J920" s="8"/>
    </row>
    <row r="921">
      <c r="C921" s="8"/>
      <c r="I921" s="8"/>
      <c r="J921" s="8"/>
    </row>
    <row r="922">
      <c r="C922" s="8"/>
      <c r="I922" s="8"/>
      <c r="J922" s="8"/>
    </row>
    <row r="923">
      <c r="C923" s="8"/>
      <c r="I923" s="8"/>
      <c r="J923" s="8"/>
    </row>
    <row r="924">
      <c r="C924" s="8"/>
      <c r="I924" s="8"/>
      <c r="J924" s="8"/>
    </row>
    <row r="925">
      <c r="C925" s="8"/>
      <c r="I925" s="8"/>
      <c r="J925" s="8"/>
    </row>
    <row r="926">
      <c r="C926" s="8"/>
      <c r="I926" s="8"/>
      <c r="J926" s="8"/>
    </row>
    <row r="927">
      <c r="C927" s="8"/>
      <c r="I927" s="8"/>
      <c r="J927" s="8"/>
    </row>
    <row r="928">
      <c r="C928" s="8"/>
      <c r="I928" s="8"/>
      <c r="J928" s="8"/>
    </row>
    <row r="929">
      <c r="C929" s="8"/>
      <c r="I929" s="8"/>
      <c r="J929" s="8"/>
    </row>
    <row r="930">
      <c r="C930" s="8"/>
      <c r="I930" s="8"/>
      <c r="J930" s="8"/>
    </row>
    <row r="931">
      <c r="C931" s="8"/>
      <c r="I931" s="8"/>
      <c r="J931" s="8"/>
    </row>
    <row r="932">
      <c r="C932" s="8"/>
      <c r="I932" s="8"/>
      <c r="J932" s="8"/>
    </row>
    <row r="933">
      <c r="C933" s="8"/>
      <c r="I933" s="8"/>
      <c r="J933" s="8"/>
    </row>
    <row r="934">
      <c r="C934" s="8"/>
      <c r="I934" s="8"/>
      <c r="J934" s="8"/>
    </row>
    <row r="935">
      <c r="C935" s="8"/>
      <c r="I935" s="8"/>
      <c r="J935" s="8"/>
    </row>
    <row r="936">
      <c r="C936" s="8"/>
      <c r="I936" s="8"/>
      <c r="J936" s="8"/>
    </row>
    <row r="937">
      <c r="C937" s="8"/>
      <c r="I937" s="8"/>
      <c r="J937" s="8"/>
    </row>
    <row r="938">
      <c r="C938" s="8"/>
      <c r="I938" s="8"/>
      <c r="J938" s="8"/>
    </row>
    <row r="939">
      <c r="C939" s="8"/>
      <c r="I939" s="8"/>
      <c r="J939" s="8"/>
    </row>
    <row r="940">
      <c r="C940" s="8"/>
      <c r="I940" s="8"/>
      <c r="J940" s="8"/>
    </row>
    <row r="941">
      <c r="C941" s="8"/>
      <c r="I941" s="8"/>
      <c r="J941" s="8"/>
    </row>
    <row r="942">
      <c r="C942" s="8"/>
      <c r="I942" s="8"/>
      <c r="J942" s="8"/>
    </row>
    <row r="943">
      <c r="C943" s="8"/>
      <c r="I943" s="8"/>
      <c r="J943" s="8"/>
    </row>
    <row r="944">
      <c r="C944" s="8"/>
      <c r="I944" s="8"/>
      <c r="J944" s="8"/>
    </row>
    <row r="945">
      <c r="C945" s="8"/>
      <c r="I945" s="8"/>
      <c r="J945" s="8"/>
    </row>
    <row r="946">
      <c r="C946" s="8"/>
      <c r="I946" s="8"/>
      <c r="J946" s="8"/>
    </row>
    <row r="947">
      <c r="C947" s="8"/>
      <c r="I947" s="8"/>
      <c r="J947" s="8"/>
    </row>
    <row r="948">
      <c r="C948" s="8"/>
      <c r="I948" s="8"/>
      <c r="J948" s="8"/>
    </row>
    <row r="949">
      <c r="C949" s="8"/>
      <c r="I949" s="8"/>
      <c r="J949" s="8"/>
    </row>
    <row r="950">
      <c r="C950" s="8"/>
      <c r="I950" s="8"/>
      <c r="J950" s="8"/>
    </row>
    <row r="951">
      <c r="C951" s="8"/>
      <c r="I951" s="8"/>
      <c r="J951" s="8"/>
    </row>
    <row r="952">
      <c r="C952" s="8"/>
      <c r="I952" s="8"/>
      <c r="J952" s="8"/>
    </row>
    <row r="953">
      <c r="C953" s="8"/>
      <c r="I953" s="8"/>
      <c r="J953" s="8"/>
    </row>
    <row r="954">
      <c r="C954" s="8"/>
      <c r="I954" s="8"/>
      <c r="J954" s="8"/>
    </row>
    <row r="955">
      <c r="C955" s="8"/>
      <c r="I955" s="8"/>
      <c r="J955" s="8"/>
    </row>
    <row r="956">
      <c r="C956" s="8"/>
      <c r="I956" s="8"/>
      <c r="J956" s="8"/>
    </row>
    <row r="957">
      <c r="C957" s="8"/>
      <c r="I957" s="8"/>
      <c r="J957" s="8"/>
    </row>
    <row r="958">
      <c r="C958" s="8"/>
      <c r="I958" s="8"/>
      <c r="J958" s="8"/>
    </row>
    <row r="959">
      <c r="C959" s="8"/>
      <c r="I959" s="8"/>
      <c r="J959" s="8"/>
    </row>
    <row r="960">
      <c r="C960" s="8"/>
      <c r="I960" s="8"/>
      <c r="J960" s="8"/>
    </row>
    <row r="961">
      <c r="C961" s="8"/>
      <c r="I961" s="8"/>
      <c r="J961" s="8"/>
    </row>
    <row r="962">
      <c r="C962" s="8"/>
      <c r="I962" s="8"/>
      <c r="J962" s="8"/>
    </row>
    <row r="963">
      <c r="C963" s="8"/>
      <c r="I963" s="8"/>
      <c r="J963" s="8"/>
    </row>
    <row r="964">
      <c r="C964" s="8"/>
      <c r="I964" s="8"/>
      <c r="J964" s="8"/>
    </row>
    <row r="965">
      <c r="C965" s="8"/>
      <c r="I965" s="8"/>
      <c r="J965" s="8"/>
    </row>
    <row r="966">
      <c r="C966" s="8"/>
      <c r="I966" s="8"/>
      <c r="J966" s="8"/>
    </row>
    <row r="967">
      <c r="C967" s="8"/>
      <c r="I967" s="8"/>
      <c r="J967" s="8"/>
    </row>
    <row r="968">
      <c r="C968" s="8"/>
      <c r="I968" s="8"/>
      <c r="J968" s="8"/>
    </row>
    <row r="969">
      <c r="C969" s="8"/>
      <c r="I969" s="8"/>
      <c r="J969" s="8"/>
    </row>
    <row r="970">
      <c r="C970" s="8"/>
      <c r="I970" s="8"/>
      <c r="J970" s="8"/>
    </row>
    <row r="971">
      <c r="C971" s="8"/>
      <c r="I971" s="8"/>
      <c r="J971" s="8"/>
    </row>
    <row r="972">
      <c r="C972" s="8"/>
      <c r="I972" s="8"/>
      <c r="J972" s="8"/>
    </row>
    <row r="973">
      <c r="C973" s="8"/>
      <c r="I973" s="8"/>
      <c r="J973" s="8"/>
    </row>
    <row r="974">
      <c r="C974" s="8"/>
      <c r="I974" s="8"/>
      <c r="J974" s="8"/>
    </row>
    <row r="975">
      <c r="C975" s="8"/>
      <c r="I975" s="8"/>
      <c r="J975" s="8"/>
    </row>
    <row r="976">
      <c r="C976" s="8"/>
      <c r="I976" s="8"/>
      <c r="J976" s="8"/>
    </row>
    <row r="977">
      <c r="C977" s="8"/>
      <c r="I977" s="8"/>
      <c r="J977" s="8"/>
    </row>
    <row r="978">
      <c r="C978" s="8"/>
      <c r="I978" s="8"/>
      <c r="J978" s="8"/>
    </row>
    <row r="979">
      <c r="C979" s="8"/>
      <c r="I979" s="8"/>
      <c r="J979" s="8"/>
    </row>
    <row r="980">
      <c r="C980" s="8"/>
      <c r="I980" s="8"/>
      <c r="J980" s="8"/>
    </row>
    <row r="981">
      <c r="C981" s="8"/>
      <c r="I981" s="8"/>
      <c r="J981" s="8"/>
    </row>
    <row r="982">
      <c r="C982" s="8"/>
      <c r="I982" s="8"/>
      <c r="J982" s="8"/>
    </row>
    <row r="983">
      <c r="C983" s="8"/>
      <c r="I983" s="8"/>
      <c r="J983" s="8"/>
    </row>
    <row r="984">
      <c r="C984" s="8"/>
      <c r="I984" s="8"/>
      <c r="J984" s="8"/>
    </row>
    <row r="985">
      <c r="C985" s="8"/>
      <c r="I985" s="8"/>
      <c r="J985" s="8"/>
    </row>
    <row r="986">
      <c r="C986" s="8"/>
      <c r="I986" s="8"/>
      <c r="J986" s="8"/>
    </row>
    <row r="987">
      <c r="C987" s="8"/>
      <c r="I987" s="8"/>
      <c r="J987" s="8"/>
    </row>
    <row r="988">
      <c r="C988" s="8"/>
      <c r="I988" s="8"/>
      <c r="J988" s="8"/>
    </row>
    <row r="989">
      <c r="C989" s="8"/>
      <c r="I989" s="8"/>
      <c r="J989" s="8"/>
    </row>
    <row r="990">
      <c r="C990" s="8"/>
      <c r="I990" s="8"/>
      <c r="J990" s="8"/>
    </row>
    <row r="991">
      <c r="C991" s="8"/>
      <c r="I991" s="8"/>
      <c r="J991" s="8"/>
    </row>
    <row r="992">
      <c r="C992" s="8"/>
      <c r="I992" s="8"/>
      <c r="J992" s="8"/>
    </row>
    <row r="993">
      <c r="C993" s="8"/>
      <c r="I993" s="8"/>
      <c r="J993" s="8"/>
    </row>
    <row r="994">
      <c r="C994" s="8"/>
      <c r="I994" s="8"/>
      <c r="J994" s="8"/>
    </row>
    <row r="995">
      <c r="C995" s="8"/>
      <c r="I995" s="8"/>
      <c r="J995" s="8"/>
    </row>
    <row r="996">
      <c r="C996" s="8"/>
      <c r="I996" s="8"/>
      <c r="J996" s="8"/>
    </row>
    <row r="997">
      <c r="C997" s="8"/>
      <c r="I997" s="8"/>
      <c r="J997" s="8"/>
    </row>
    <row r="998">
      <c r="C998" s="8"/>
      <c r="I998" s="8"/>
      <c r="J998" s="8"/>
    </row>
    <row r="999">
      <c r="C999" s="8"/>
      <c r="I999" s="8"/>
      <c r="J999" s="8"/>
    </row>
    <row r="1000">
      <c r="C1000" s="8"/>
      <c r="I1000" s="8"/>
      <c r="J1000" s="8"/>
    </row>
  </sheetData>
  <mergeCells count="1">
    <mergeCell ref="A1:O2"/>
  </mergeCells>
  <dataValidations>
    <dataValidation type="list" allowBlank="1" showErrorMessage="1" sqref="B3">
      <formula1>"Mout,Hop,Gist,Suiker,Fruit,Adjunct"</formula1>
    </dataValidation>
    <dataValidation type="list" allowBlank="1" showErrorMessage="1" sqref="J6:J1000">
      <formula1>Uitleg!$C$2:$C$5</formula1>
    </dataValidation>
    <dataValidation type="list" allowBlank="1" showErrorMessage="1" sqref="I6:I1000">
      <formula1>Uitleg!$B$2:$B$7</formula1>
    </dataValidation>
    <dataValidation type="list" allowBlank="1" showErrorMessage="1" sqref="C6:C1000">
      <formula1>Uitleg!$A$2:$A$3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63"/>
    <col customWidth="1" min="3" max="3" width="14.0"/>
    <col customWidth="1" min="7" max="11" width="13.5"/>
    <col customWidth="1" min="12" max="12" width="3.38"/>
    <col customWidth="1" min="15" max="15" width="13.88"/>
  </cols>
  <sheetData>
    <row r="1">
      <c r="A1" s="1" t="s">
        <v>262</v>
      </c>
    </row>
    <row r="3">
      <c r="A3" s="2" t="s">
        <v>559</v>
      </c>
      <c r="B3" s="2" t="s">
        <v>8</v>
      </c>
      <c r="M3" s="2" t="s">
        <v>560</v>
      </c>
      <c r="N3" s="8">
        <f>SUM(H6:H1000) - SUM(O6:O1000)</f>
        <v>0</v>
      </c>
      <c r="O3" s="2" t="s">
        <v>561</v>
      </c>
    </row>
    <row r="5">
      <c r="A5" s="22" t="s">
        <v>104</v>
      </c>
      <c r="B5" s="22" t="s">
        <v>105</v>
      </c>
      <c r="C5" s="22" t="s">
        <v>106</v>
      </c>
      <c r="D5" s="22" t="s">
        <v>107</v>
      </c>
      <c r="E5" s="22" t="s">
        <v>108</v>
      </c>
      <c r="F5" s="22" t="s">
        <v>111</v>
      </c>
      <c r="G5" s="22" t="s">
        <v>112</v>
      </c>
      <c r="H5" s="22" t="s">
        <v>113</v>
      </c>
      <c r="I5" s="22" t="s">
        <v>115</v>
      </c>
      <c r="J5" s="22" t="s">
        <v>116</v>
      </c>
      <c r="K5" s="22" t="s">
        <v>117</v>
      </c>
      <c r="M5" s="23" t="s">
        <v>118</v>
      </c>
      <c r="N5" s="23" t="s">
        <v>107</v>
      </c>
      <c r="O5" s="23" t="s">
        <v>113</v>
      </c>
      <c r="P5" s="23" t="s">
        <v>111</v>
      </c>
    </row>
    <row r="6">
      <c r="A6" s="2">
        <v>3.72012518E8</v>
      </c>
      <c r="B6" s="2">
        <v>202305.0</v>
      </c>
      <c r="C6" s="2" t="s">
        <v>130</v>
      </c>
      <c r="D6" s="24">
        <v>45013.0</v>
      </c>
      <c r="E6" s="2" t="s">
        <v>131</v>
      </c>
      <c r="F6" s="2" t="s">
        <v>263</v>
      </c>
      <c r="G6" s="27">
        <v>45754.0</v>
      </c>
      <c r="H6" s="2">
        <v>0.2</v>
      </c>
      <c r="I6" s="8"/>
      <c r="J6" s="8"/>
      <c r="K6" s="53"/>
      <c r="M6" s="2" t="s">
        <v>65</v>
      </c>
      <c r="N6" s="24">
        <v>45015.0</v>
      </c>
      <c r="O6" s="2">
        <v>0.2</v>
      </c>
      <c r="P6" s="2" t="s">
        <v>263</v>
      </c>
    </row>
    <row r="7">
      <c r="C7" s="8"/>
      <c r="D7" s="24"/>
      <c r="G7" s="29"/>
      <c r="I7" s="8"/>
      <c r="J7" s="8"/>
      <c r="N7" s="24"/>
    </row>
    <row r="8">
      <c r="C8" s="28"/>
      <c r="D8" s="28"/>
      <c r="E8" s="28"/>
      <c r="F8" s="28"/>
      <c r="I8" s="8"/>
      <c r="J8" s="8"/>
      <c r="N8" s="28"/>
    </row>
    <row r="9">
      <c r="C9" s="28"/>
      <c r="D9" s="28"/>
      <c r="E9" s="28"/>
      <c r="F9" s="28"/>
      <c r="I9" s="8"/>
      <c r="J9" s="8"/>
      <c r="N9" s="28"/>
    </row>
    <row r="10">
      <c r="C10" s="28"/>
      <c r="D10" s="28"/>
      <c r="E10" s="28"/>
      <c r="F10" s="28"/>
      <c r="I10" s="8"/>
      <c r="J10" s="8"/>
      <c r="N10" s="28"/>
    </row>
    <row r="11">
      <c r="C11" s="28"/>
      <c r="D11" s="28"/>
      <c r="E11" s="28"/>
      <c r="F11" s="28"/>
      <c r="I11" s="8"/>
      <c r="J11" s="8"/>
      <c r="N11" s="28"/>
    </row>
    <row r="12">
      <c r="C12" s="28"/>
      <c r="D12" s="28"/>
      <c r="E12" s="28"/>
      <c r="F12" s="28"/>
      <c r="I12" s="8"/>
      <c r="J12" s="8"/>
      <c r="N12" s="28"/>
    </row>
    <row r="13">
      <c r="C13" s="28"/>
      <c r="D13" s="28"/>
      <c r="E13" s="28"/>
      <c r="F13" s="28"/>
      <c r="I13" s="8"/>
      <c r="J13" s="8"/>
      <c r="N13" s="28"/>
    </row>
    <row r="14">
      <c r="C14" s="28"/>
      <c r="D14" s="28"/>
      <c r="E14" s="28"/>
      <c r="F14" s="28"/>
      <c r="I14" s="8"/>
      <c r="J14" s="8"/>
      <c r="N14" s="28"/>
    </row>
    <row r="15">
      <c r="C15" s="28"/>
      <c r="D15" s="28"/>
      <c r="E15" s="28"/>
      <c r="F15" s="28"/>
      <c r="I15" s="8"/>
      <c r="J15" s="8"/>
      <c r="N15" s="28"/>
    </row>
    <row r="16">
      <c r="C16" s="28"/>
      <c r="D16" s="28"/>
      <c r="E16" s="28"/>
      <c r="F16" s="28"/>
      <c r="I16" s="8"/>
      <c r="J16" s="8"/>
      <c r="N16" s="28"/>
    </row>
    <row r="17">
      <c r="C17" s="28"/>
      <c r="D17" s="28"/>
      <c r="E17" s="28"/>
      <c r="F17" s="28"/>
      <c r="I17" s="8"/>
      <c r="J17" s="8"/>
      <c r="N17" s="28"/>
    </row>
    <row r="18">
      <c r="C18" s="28"/>
      <c r="D18" s="28"/>
      <c r="E18" s="28"/>
      <c r="F18" s="28"/>
      <c r="I18" s="8"/>
      <c r="J18" s="8"/>
      <c r="N18" s="28"/>
    </row>
    <row r="19">
      <c r="C19" s="28"/>
      <c r="D19" s="28"/>
      <c r="E19" s="28"/>
      <c r="F19" s="28"/>
      <c r="I19" s="8"/>
      <c r="J19" s="8"/>
      <c r="N19" s="28"/>
    </row>
    <row r="20">
      <c r="C20" s="28"/>
      <c r="D20" s="28"/>
      <c r="E20" s="28"/>
      <c r="F20" s="28"/>
      <c r="I20" s="8"/>
      <c r="J20" s="8"/>
      <c r="N20" s="28"/>
    </row>
    <row r="21">
      <c r="C21" s="28"/>
      <c r="D21" s="28"/>
      <c r="E21" s="28"/>
      <c r="F21" s="28"/>
      <c r="I21" s="8"/>
      <c r="J21" s="8"/>
      <c r="N21" s="28"/>
    </row>
    <row r="22">
      <c r="C22" s="28"/>
      <c r="D22" s="28"/>
      <c r="E22" s="28"/>
      <c r="F22" s="28"/>
      <c r="I22" s="8"/>
      <c r="J22" s="8"/>
      <c r="N22" s="28"/>
    </row>
    <row r="23">
      <c r="C23" s="28"/>
      <c r="D23" s="28"/>
      <c r="E23" s="28"/>
      <c r="F23" s="28"/>
      <c r="I23" s="8"/>
      <c r="J23" s="8"/>
      <c r="N23" s="28"/>
    </row>
    <row r="24">
      <c r="C24" s="28"/>
      <c r="D24" s="28"/>
      <c r="E24" s="28"/>
      <c r="F24" s="28"/>
      <c r="I24" s="8"/>
      <c r="J24" s="8"/>
      <c r="N24" s="28"/>
    </row>
    <row r="25">
      <c r="C25" s="28"/>
      <c r="D25" s="28"/>
      <c r="E25" s="28"/>
      <c r="F25" s="28"/>
      <c r="I25" s="8"/>
      <c r="J25" s="8"/>
      <c r="N25" s="28"/>
    </row>
    <row r="26">
      <c r="C26" s="28"/>
      <c r="D26" s="28"/>
      <c r="E26" s="28"/>
      <c r="F26" s="28"/>
      <c r="I26" s="8"/>
      <c r="J26" s="8"/>
      <c r="N26" s="28"/>
    </row>
    <row r="27">
      <c r="C27" s="28"/>
      <c r="D27" s="28"/>
      <c r="E27" s="28"/>
      <c r="F27" s="28"/>
      <c r="I27" s="8"/>
      <c r="J27" s="8"/>
      <c r="N27" s="28"/>
    </row>
    <row r="28">
      <c r="C28" s="28"/>
      <c r="D28" s="28"/>
      <c r="E28" s="28"/>
      <c r="F28" s="28"/>
      <c r="I28" s="8"/>
      <c r="J28" s="8"/>
      <c r="N28" s="28"/>
    </row>
    <row r="29">
      <c r="C29" s="28"/>
      <c r="D29" s="28"/>
      <c r="E29" s="28"/>
      <c r="F29" s="28"/>
      <c r="I29" s="8"/>
      <c r="J29" s="8"/>
      <c r="N29" s="28"/>
    </row>
    <row r="30">
      <c r="C30" s="28"/>
      <c r="D30" s="28"/>
      <c r="E30" s="28"/>
      <c r="F30" s="28"/>
      <c r="I30" s="8"/>
      <c r="J30" s="8"/>
      <c r="N30" s="28"/>
    </row>
    <row r="31">
      <c r="C31" s="28"/>
      <c r="D31" s="28"/>
      <c r="E31" s="28"/>
      <c r="F31" s="28"/>
      <c r="I31" s="8"/>
      <c r="J31" s="8"/>
      <c r="N31" s="28"/>
    </row>
    <row r="32">
      <c r="C32" s="28"/>
      <c r="D32" s="28"/>
      <c r="E32" s="28"/>
      <c r="F32" s="28"/>
      <c r="I32" s="8"/>
      <c r="J32" s="8"/>
      <c r="N32" s="28"/>
    </row>
    <row r="33">
      <c r="C33" s="8"/>
      <c r="I33" s="8"/>
      <c r="J33" s="8"/>
      <c r="N33" s="28"/>
    </row>
    <row r="34">
      <c r="C34" s="8"/>
      <c r="I34" s="8"/>
      <c r="J34" s="8"/>
    </row>
    <row r="35">
      <c r="C35" s="8"/>
      <c r="I35" s="8"/>
      <c r="J35" s="8"/>
    </row>
    <row r="36">
      <c r="C36" s="8"/>
      <c r="I36" s="8"/>
      <c r="J36" s="8"/>
    </row>
    <row r="37">
      <c r="C37" s="8"/>
      <c r="I37" s="8"/>
      <c r="J37" s="8"/>
    </row>
    <row r="38">
      <c r="C38" s="8"/>
      <c r="I38" s="8"/>
      <c r="J38" s="8"/>
    </row>
    <row r="39">
      <c r="C39" s="8"/>
      <c r="I39" s="8"/>
      <c r="J39" s="8"/>
    </row>
    <row r="40">
      <c r="C40" s="8"/>
      <c r="I40" s="8"/>
      <c r="J40" s="8"/>
    </row>
    <row r="41">
      <c r="C41" s="8"/>
      <c r="I41" s="8"/>
      <c r="J41" s="8"/>
    </row>
    <row r="42">
      <c r="C42" s="8"/>
      <c r="I42" s="8"/>
      <c r="J42" s="8"/>
    </row>
    <row r="43">
      <c r="C43" s="8"/>
      <c r="I43" s="8"/>
      <c r="J43" s="8"/>
    </row>
    <row r="44">
      <c r="C44" s="8"/>
      <c r="I44" s="8"/>
      <c r="J44" s="8"/>
    </row>
    <row r="45">
      <c r="C45" s="8"/>
      <c r="I45" s="8"/>
      <c r="J45" s="8"/>
    </row>
    <row r="46">
      <c r="C46" s="8"/>
      <c r="I46" s="8"/>
      <c r="J46" s="8"/>
    </row>
    <row r="47">
      <c r="C47" s="8"/>
      <c r="I47" s="8"/>
      <c r="J47" s="8"/>
    </row>
    <row r="48">
      <c r="C48" s="8"/>
      <c r="I48" s="8"/>
      <c r="J48" s="8"/>
    </row>
    <row r="49">
      <c r="C49" s="8"/>
      <c r="I49" s="8"/>
      <c r="J49" s="8"/>
    </row>
    <row r="50">
      <c r="C50" s="8"/>
      <c r="I50" s="8"/>
      <c r="J50" s="8"/>
    </row>
    <row r="51">
      <c r="C51" s="8"/>
      <c r="I51" s="8"/>
      <c r="J51" s="8"/>
    </row>
    <row r="52">
      <c r="C52" s="8"/>
      <c r="I52" s="8"/>
      <c r="J52" s="8"/>
    </row>
    <row r="53">
      <c r="C53" s="8"/>
      <c r="I53" s="8"/>
      <c r="J53" s="8"/>
    </row>
    <row r="54">
      <c r="C54" s="8"/>
      <c r="I54" s="8"/>
      <c r="J54" s="8"/>
    </row>
    <row r="55">
      <c r="C55" s="8"/>
      <c r="I55" s="8"/>
      <c r="J55" s="8"/>
    </row>
    <row r="56">
      <c r="C56" s="8"/>
      <c r="I56" s="8"/>
      <c r="J56" s="8"/>
    </row>
    <row r="57">
      <c r="C57" s="8"/>
      <c r="I57" s="8"/>
      <c r="J57" s="8"/>
    </row>
    <row r="58">
      <c r="C58" s="8"/>
      <c r="I58" s="8"/>
      <c r="J58" s="8"/>
    </row>
    <row r="59">
      <c r="C59" s="8"/>
      <c r="I59" s="8"/>
      <c r="J59" s="8"/>
    </row>
    <row r="60">
      <c r="C60" s="8"/>
      <c r="I60" s="8"/>
      <c r="J60" s="8"/>
    </row>
    <row r="61">
      <c r="C61" s="8"/>
      <c r="I61" s="8"/>
      <c r="J61" s="8"/>
    </row>
    <row r="62">
      <c r="C62" s="8"/>
      <c r="I62" s="8"/>
      <c r="J62" s="8"/>
    </row>
    <row r="63">
      <c r="C63" s="8"/>
      <c r="I63" s="8"/>
      <c r="J63" s="8"/>
    </row>
    <row r="64">
      <c r="C64" s="8"/>
      <c r="I64" s="8"/>
      <c r="J64" s="8"/>
    </row>
    <row r="65">
      <c r="C65" s="8"/>
      <c r="I65" s="8"/>
      <c r="J65" s="8"/>
    </row>
    <row r="66">
      <c r="C66" s="8"/>
      <c r="I66" s="8"/>
      <c r="J66" s="8"/>
    </row>
    <row r="67">
      <c r="C67" s="8"/>
      <c r="I67" s="8"/>
      <c r="J67" s="8"/>
    </row>
    <row r="68">
      <c r="C68" s="8"/>
      <c r="I68" s="8"/>
      <c r="J68" s="8"/>
    </row>
    <row r="69">
      <c r="C69" s="8"/>
      <c r="I69" s="8"/>
      <c r="J69" s="8"/>
    </row>
    <row r="70">
      <c r="C70" s="8"/>
      <c r="I70" s="8"/>
      <c r="J70" s="8"/>
    </row>
    <row r="71">
      <c r="C71" s="8"/>
      <c r="I71" s="8"/>
      <c r="J71" s="8"/>
    </row>
    <row r="72">
      <c r="C72" s="8"/>
      <c r="I72" s="8"/>
      <c r="J72" s="8"/>
    </row>
    <row r="73">
      <c r="C73" s="8"/>
      <c r="I73" s="8"/>
      <c r="J73" s="8"/>
    </row>
    <row r="74">
      <c r="C74" s="8"/>
      <c r="I74" s="8"/>
      <c r="J74" s="8"/>
    </row>
    <row r="75">
      <c r="C75" s="8"/>
      <c r="I75" s="8"/>
      <c r="J75" s="8"/>
    </row>
    <row r="76">
      <c r="C76" s="8"/>
      <c r="I76" s="8"/>
      <c r="J76" s="8"/>
    </row>
    <row r="77">
      <c r="C77" s="8"/>
      <c r="I77" s="8"/>
      <c r="J77" s="8"/>
    </row>
    <row r="78">
      <c r="C78" s="8"/>
      <c r="I78" s="8"/>
      <c r="J78" s="8"/>
    </row>
    <row r="79">
      <c r="C79" s="8"/>
      <c r="I79" s="8"/>
      <c r="J79" s="8"/>
    </row>
    <row r="80">
      <c r="C80" s="8"/>
      <c r="I80" s="8"/>
      <c r="J80" s="8"/>
    </row>
    <row r="81">
      <c r="C81" s="8"/>
      <c r="I81" s="8"/>
      <c r="J81" s="8"/>
    </row>
    <row r="82">
      <c r="C82" s="8"/>
      <c r="I82" s="8"/>
      <c r="J82" s="8"/>
    </row>
    <row r="83">
      <c r="C83" s="8"/>
      <c r="I83" s="8"/>
      <c r="J83" s="8"/>
    </row>
    <row r="84">
      <c r="C84" s="8"/>
      <c r="I84" s="8"/>
      <c r="J84" s="8"/>
    </row>
    <row r="85">
      <c r="C85" s="8"/>
      <c r="I85" s="8"/>
      <c r="J85" s="8"/>
    </row>
    <row r="86">
      <c r="C86" s="8"/>
      <c r="I86" s="8"/>
      <c r="J86" s="8"/>
    </row>
    <row r="87">
      <c r="C87" s="8"/>
      <c r="I87" s="8"/>
      <c r="J87" s="8"/>
    </row>
    <row r="88">
      <c r="C88" s="8"/>
      <c r="I88" s="8"/>
      <c r="J88" s="8"/>
    </row>
    <row r="89">
      <c r="C89" s="8"/>
      <c r="I89" s="8"/>
      <c r="J89" s="8"/>
    </row>
    <row r="90">
      <c r="C90" s="8"/>
      <c r="I90" s="8"/>
      <c r="J90" s="8"/>
    </row>
    <row r="91">
      <c r="C91" s="8"/>
      <c r="I91" s="8"/>
      <c r="J91" s="8"/>
    </row>
    <row r="92">
      <c r="C92" s="8"/>
      <c r="I92" s="8"/>
      <c r="J92" s="8"/>
    </row>
    <row r="93">
      <c r="C93" s="8"/>
      <c r="I93" s="8"/>
      <c r="J93" s="8"/>
    </row>
    <row r="94">
      <c r="C94" s="8"/>
      <c r="I94" s="8"/>
      <c r="J94" s="8"/>
    </row>
    <row r="95">
      <c r="C95" s="8"/>
      <c r="I95" s="8"/>
      <c r="J95" s="8"/>
    </row>
    <row r="96">
      <c r="C96" s="8"/>
      <c r="I96" s="8"/>
      <c r="J96" s="8"/>
    </row>
    <row r="97">
      <c r="C97" s="8"/>
      <c r="I97" s="8"/>
      <c r="J97" s="8"/>
    </row>
    <row r="98">
      <c r="C98" s="8"/>
      <c r="I98" s="8"/>
      <c r="J98" s="8"/>
    </row>
    <row r="99">
      <c r="C99" s="8"/>
      <c r="I99" s="8"/>
      <c r="J99" s="8"/>
    </row>
    <row r="100">
      <c r="C100" s="8"/>
      <c r="I100" s="8"/>
      <c r="J100" s="8"/>
    </row>
    <row r="101">
      <c r="C101" s="8"/>
      <c r="I101" s="8"/>
      <c r="J101" s="8"/>
    </row>
    <row r="102">
      <c r="C102" s="8"/>
      <c r="I102" s="8"/>
      <c r="J102" s="8"/>
    </row>
    <row r="103">
      <c r="C103" s="8"/>
      <c r="I103" s="8"/>
      <c r="J103" s="8"/>
    </row>
    <row r="104">
      <c r="C104" s="8"/>
      <c r="I104" s="8"/>
      <c r="J104" s="8"/>
    </row>
    <row r="105">
      <c r="C105" s="8"/>
      <c r="I105" s="8"/>
      <c r="J105" s="8"/>
    </row>
    <row r="106">
      <c r="C106" s="8"/>
      <c r="I106" s="8"/>
      <c r="J106" s="8"/>
    </row>
    <row r="107">
      <c r="C107" s="8"/>
      <c r="I107" s="8"/>
      <c r="J107" s="8"/>
    </row>
    <row r="108">
      <c r="C108" s="8"/>
      <c r="I108" s="8"/>
      <c r="J108" s="8"/>
    </row>
    <row r="109">
      <c r="C109" s="8"/>
      <c r="I109" s="8"/>
      <c r="J109" s="8"/>
    </row>
    <row r="110">
      <c r="C110" s="8"/>
      <c r="I110" s="8"/>
      <c r="J110" s="8"/>
    </row>
    <row r="111">
      <c r="C111" s="8"/>
      <c r="I111" s="8"/>
      <c r="J111" s="8"/>
    </row>
    <row r="112">
      <c r="C112" s="8"/>
      <c r="I112" s="8"/>
      <c r="J112" s="8"/>
    </row>
    <row r="113">
      <c r="C113" s="8"/>
      <c r="I113" s="8"/>
      <c r="J113" s="8"/>
    </row>
    <row r="114">
      <c r="C114" s="8"/>
      <c r="I114" s="8"/>
      <c r="J114" s="8"/>
    </row>
    <row r="115">
      <c r="C115" s="8"/>
      <c r="I115" s="8"/>
      <c r="J115" s="8"/>
    </row>
    <row r="116">
      <c r="C116" s="8"/>
      <c r="I116" s="8"/>
      <c r="J116" s="8"/>
    </row>
    <row r="117">
      <c r="C117" s="8"/>
      <c r="I117" s="8"/>
      <c r="J117" s="8"/>
    </row>
    <row r="118">
      <c r="C118" s="8"/>
      <c r="I118" s="8"/>
      <c r="J118" s="8"/>
    </row>
    <row r="119">
      <c r="C119" s="8"/>
      <c r="I119" s="8"/>
      <c r="J119" s="8"/>
    </row>
    <row r="120">
      <c r="C120" s="8"/>
      <c r="I120" s="8"/>
      <c r="J120" s="8"/>
    </row>
    <row r="121">
      <c r="C121" s="8"/>
      <c r="I121" s="8"/>
      <c r="J121" s="8"/>
    </row>
    <row r="122">
      <c r="C122" s="8"/>
      <c r="I122" s="8"/>
      <c r="J122" s="8"/>
    </row>
    <row r="123">
      <c r="C123" s="8"/>
      <c r="I123" s="8"/>
      <c r="J123" s="8"/>
    </row>
    <row r="124">
      <c r="C124" s="8"/>
      <c r="I124" s="8"/>
      <c r="J124" s="8"/>
    </row>
    <row r="125">
      <c r="C125" s="8"/>
      <c r="I125" s="8"/>
      <c r="J125" s="8"/>
    </row>
    <row r="126">
      <c r="C126" s="8"/>
      <c r="I126" s="8"/>
      <c r="J126" s="8"/>
    </row>
    <row r="127">
      <c r="C127" s="8"/>
      <c r="I127" s="8"/>
      <c r="J127" s="8"/>
    </row>
    <row r="128">
      <c r="C128" s="8"/>
      <c r="I128" s="8"/>
      <c r="J128" s="8"/>
    </row>
    <row r="129">
      <c r="C129" s="8"/>
      <c r="I129" s="8"/>
      <c r="J129" s="8"/>
    </row>
    <row r="130">
      <c r="C130" s="8"/>
      <c r="I130" s="8"/>
      <c r="J130" s="8"/>
    </row>
    <row r="131">
      <c r="C131" s="8"/>
      <c r="I131" s="8"/>
      <c r="J131" s="8"/>
    </row>
    <row r="132">
      <c r="C132" s="8"/>
      <c r="I132" s="8"/>
      <c r="J132" s="8"/>
    </row>
    <row r="133">
      <c r="C133" s="8"/>
      <c r="I133" s="8"/>
      <c r="J133" s="8"/>
    </row>
    <row r="134">
      <c r="C134" s="8"/>
      <c r="I134" s="8"/>
      <c r="J134" s="8"/>
    </row>
    <row r="135">
      <c r="C135" s="8"/>
      <c r="I135" s="8"/>
      <c r="J135" s="8"/>
    </row>
    <row r="136">
      <c r="C136" s="8"/>
      <c r="I136" s="8"/>
      <c r="J136" s="8"/>
    </row>
    <row r="137">
      <c r="C137" s="8"/>
      <c r="I137" s="8"/>
      <c r="J137" s="8"/>
    </row>
    <row r="138">
      <c r="C138" s="8"/>
      <c r="I138" s="8"/>
      <c r="J138" s="8"/>
    </row>
    <row r="139">
      <c r="C139" s="8"/>
      <c r="I139" s="8"/>
      <c r="J139" s="8"/>
    </row>
    <row r="140">
      <c r="C140" s="8"/>
      <c r="I140" s="8"/>
      <c r="J140" s="8"/>
    </row>
    <row r="141">
      <c r="C141" s="8"/>
      <c r="I141" s="8"/>
      <c r="J141" s="8"/>
    </row>
    <row r="142">
      <c r="C142" s="8"/>
      <c r="I142" s="8"/>
      <c r="J142" s="8"/>
    </row>
    <row r="143">
      <c r="C143" s="8"/>
      <c r="I143" s="8"/>
      <c r="J143" s="8"/>
    </row>
    <row r="144">
      <c r="C144" s="8"/>
      <c r="I144" s="8"/>
      <c r="J144" s="8"/>
    </row>
    <row r="145">
      <c r="C145" s="8"/>
      <c r="I145" s="8"/>
      <c r="J145" s="8"/>
    </row>
    <row r="146">
      <c r="C146" s="8"/>
      <c r="I146" s="8"/>
      <c r="J146" s="8"/>
    </row>
    <row r="147">
      <c r="C147" s="8"/>
      <c r="I147" s="8"/>
      <c r="J147" s="8"/>
    </row>
    <row r="148">
      <c r="C148" s="8"/>
      <c r="I148" s="8"/>
      <c r="J148" s="8"/>
    </row>
    <row r="149">
      <c r="C149" s="8"/>
      <c r="I149" s="8"/>
      <c r="J149" s="8"/>
    </row>
    <row r="150">
      <c r="C150" s="8"/>
      <c r="I150" s="8"/>
      <c r="J150" s="8"/>
    </row>
    <row r="151">
      <c r="C151" s="8"/>
      <c r="I151" s="8"/>
      <c r="J151" s="8"/>
    </row>
    <row r="152">
      <c r="C152" s="8"/>
      <c r="I152" s="8"/>
      <c r="J152" s="8"/>
    </row>
    <row r="153">
      <c r="C153" s="8"/>
      <c r="I153" s="8"/>
      <c r="J153" s="8"/>
    </row>
    <row r="154">
      <c r="C154" s="8"/>
      <c r="I154" s="8"/>
      <c r="J154" s="8"/>
    </row>
    <row r="155">
      <c r="C155" s="8"/>
      <c r="I155" s="8"/>
      <c r="J155" s="8"/>
    </row>
    <row r="156">
      <c r="C156" s="8"/>
      <c r="I156" s="8"/>
      <c r="J156" s="8"/>
    </row>
    <row r="157">
      <c r="C157" s="8"/>
      <c r="I157" s="8"/>
      <c r="J157" s="8"/>
    </row>
    <row r="158">
      <c r="C158" s="8"/>
      <c r="I158" s="8"/>
      <c r="J158" s="8"/>
    </row>
    <row r="159">
      <c r="C159" s="8"/>
      <c r="I159" s="8"/>
      <c r="J159" s="8"/>
    </row>
    <row r="160">
      <c r="C160" s="8"/>
      <c r="I160" s="8"/>
      <c r="J160" s="8"/>
    </row>
    <row r="161">
      <c r="C161" s="8"/>
      <c r="I161" s="8"/>
      <c r="J161" s="8"/>
    </row>
    <row r="162">
      <c r="C162" s="8"/>
      <c r="I162" s="8"/>
      <c r="J162" s="8"/>
    </row>
    <row r="163">
      <c r="C163" s="8"/>
      <c r="I163" s="8"/>
      <c r="J163" s="8"/>
    </row>
    <row r="164">
      <c r="C164" s="8"/>
      <c r="I164" s="8"/>
      <c r="J164" s="8"/>
    </row>
    <row r="165">
      <c r="C165" s="8"/>
      <c r="I165" s="8"/>
      <c r="J165" s="8"/>
    </row>
    <row r="166">
      <c r="C166" s="8"/>
      <c r="I166" s="8"/>
      <c r="J166" s="8"/>
    </row>
    <row r="167">
      <c r="C167" s="8"/>
      <c r="I167" s="8"/>
      <c r="J167" s="8"/>
    </row>
    <row r="168">
      <c r="C168" s="8"/>
      <c r="I168" s="8"/>
      <c r="J168" s="8"/>
    </row>
    <row r="169">
      <c r="C169" s="8"/>
      <c r="I169" s="8"/>
      <c r="J169" s="8"/>
    </row>
    <row r="170">
      <c r="C170" s="8"/>
      <c r="I170" s="8"/>
      <c r="J170" s="8"/>
    </row>
    <row r="171">
      <c r="C171" s="8"/>
      <c r="I171" s="8"/>
      <c r="J171" s="8"/>
    </row>
    <row r="172">
      <c r="C172" s="8"/>
      <c r="I172" s="8"/>
      <c r="J172" s="8"/>
    </row>
    <row r="173">
      <c r="C173" s="8"/>
      <c r="I173" s="8"/>
      <c r="J173" s="8"/>
    </row>
    <row r="174">
      <c r="C174" s="8"/>
      <c r="I174" s="8"/>
      <c r="J174" s="8"/>
    </row>
    <row r="175">
      <c r="C175" s="8"/>
      <c r="I175" s="8"/>
      <c r="J175" s="8"/>
    </row>
    <row r="176">
      <c r="C176" s="8"/>
      <c r="I176" s="8"/>
      <c r="J176" s="8"/>
    </row>
    <row r="177">
      <c r="C177" s="8"/>
      <c r="I177" s="8"/>
      <c r="J177" s="8"/>
    </row>
    <row r="178">
      <c r="C178" s="8"/>
      <c r="I178" s="8"/>
      <c r="J178" s="8"/>
    </row>
    <row r="179">
      <c r="C179" s="8"/>
      <c r="I179" s="8"/>
      <c r="J179" s="8"/>
    </row>
    <row r="180">
      <c r="C180" s="8"/>
      <c r="I180" s="8"/>
      <c r="J180" s="8"/>
    </row>
    <row r="181">
      <c r="C181" s="8"/>
      <c r="I181" s="8"/>
      <c r="J181" s="8"/>
    </row>
    <row r="182">
      <c r="C182" s="8"/>
      <c r="I182" s="8"/>
      <c r="J182" s="8"/>
    </row>
    <row r="183">
      <c r="C183" s="8"/>
      <c r="I183" s="8"/>
      <c r="J183" s="8"/>
    </row>
    <row r="184">
      <c r="C184" s="8"/>
      <c r="I184" s="8"/>
      <c r="J184" s="8"/>
    </row>
    <row r="185">
      <c r="C185" s="8"/>
      <c r="I185" s="8"/>
      <c r="J185" s="8"/>
    </row>
    <row r="186">
      <c r="C186" s="8"/>
      <c r="I186" s="8"/>
      <c r="J186" s="8"/>
    </row>
    <row r="187">
      <c r="C187" s="8"/>
      <c r="I187" s="8"/>
      <c r="J187" s="8"/>
    </row>
    <row r="188">
      <c r="C188" s="8"/>
      <c r="I188" s="8"/>
      <c r="J188" s="8"/>
    </row>
    <row r="189">
      <c r="C189" s="8"/>
      <c r="I189" s="8"/>
      <c r="J189" s="8"/>
    </row>
    <row r="190">
      <c r="C190" s="8"/>
      <c r="I190" s="8"/>
      <c r="J190" s="8"/>
    </row>
    <row r="191">
      <c r="C191" s="8"/>
      <c r="I191" s="8"/>
      <c r="J191" s="8"/>
    </row>
    <row r="192">
      <c r="C192" s="8"/>
      <c r="I192" s="8"/>
      <c r="J192" s="8"/>
    </row>
    <row r="193">
      <c r="C193" s="8"/>
      <c r="I193" s="8"/>
      <c r="J193" s="8"/>
    </row>
    <row r="194">
      <c r="C194" s="8"/>
      <c r="I194" s="8"/>
      <c r="J194" s="8"/>
    </row>
    <row r="195">
      <c r="C195" s="8"/>
      <c r="I195" s="8"/>
      <c r="J195" s="8"/>
    </row>
    <row r="196">
      <c r="C196" s="8"/>
      <c r="I196" s="8"/>
      <c r="J196" s="8"/>
    </row>
    <row r="197">
      <c r="C197" s="8"/>
      <c r="I197" s="8"/>
      <c r="J197" s="8"/>
    </row>
    <row r="198">
      <c r="C198" s="8"/>
      <c r="I198" s="8"/>
      <c r="J198" s="8"/>
    </row>
    <row r="199">
      <c r="C199" s="8"/>
      <c r="I199" s="8"/>
      <c r="J199" s="8"/>
    </row>
    <row r="200">
      <c r="C200" s="8"/>
      <c r="I200" s="8"/>
      <c r="J200" s="8"/>
    </row>
    <row r="201">
      <c r="C201" s="8"/>
      <c r="I201" s="8"/>
      <c r="J201" s="8"/>
    </row>
    <row r="202">
      <c r="C202" s="8"/>
      <c r="I202" s="8"/>
      <c r="J202" s="8"/>
    </row>
    <row r="203">
      <c r="C203" s="8"/>
      <c r="I203" s="8"/>
      <c r="J203" s="8"/>
    </row>
    <row r="204">
      <c r="C204" s="8"/>
      <c r="I204" s="8"/>
      <c r="J204" s="8"/>
    </row>
    <row r="205">
      <c r="C205" s="8"/>
      <c r="I205" s="8"/>
      <c r="J205" s="8"/>
    </row>
    <row r="206">
      <c r="C206" s="8"/>
      <c r="I206" s="8"/>
      <c r="J206" s="8"/>
    </row>
    <row r="207">
      <c r="C207" s="8"/>
      <c r="I207" s="8"/>
      <c r="J207" s="8"/>
    </row>
    <row r="208">
      <c r="C208" s="8"/>
      <c r="I208" s="8"/>
      <c r="J208" s="8"/>
    </row>
    <row r="209">
      <c r="C209" s="8"/>
      <c r="I209" s="8"/>
      <c r="J209" s="8"/>
    </row>
    <row r="210">
      <c r="C210" s="8"/>
      <c r="I210" s="8"/>
      <c r="J210" s="8"/>
    </row>
    <row r="211">
      <c r="C211" s="8"/>
      <c r="I211" s="8"/>
      <c r="J211" s="8"/>
    </row>
    <row r="212">
      <c r="C212" s="8"/>
      <c r="I212" s="8"/>
      <c r="J212" s="8"/>
    </row>
    <row r="213">
      <c r="C213" s="8"/>
      <c r="I213" s="8"/>
      <c r="J213" s="8"/>
    </row>
    <row r="214">
      <c r="C214" s="8"/>
      <c r="I214" s="8"/>
      <c r="J214" s="8"/>
    </row>
    <row r="215">
      <c r="C215" s="8"/>
      <c r="I215" s="8"/>
      <c r="J215" s="8"/>
    </row>
    <row r="216">
      <c r="C216" s="8"/>
      <c r="I216" s="8"/>
      <c r="J216" s="8"/>
    </row>
    <row r="217">
      <c r="C217" s="8"/>
      <c r="I217" s="8"/>
      <c r="J217" s="8"/>
    </row>
    <row r="218">
      <c r="C218" s="8"/>
      <c r="I218" s="8"/>
      <c r="J218" s="8"/>
    </row>
    <row r="219">
      <c r="C219" s="8"/>
      <c r="I219" s="8"/>
      <c r="J219" s="8"/>
    </row>
    <row r="220">
      <c r="C220" s="8"/>
      <c r="I220" s="8"/>
      <c r="J220" s="8"/>
    </row>
    <row r="221">
      <c r="C221" s="8"/>
      <c r="I221" s="8"/>
      <c r="J221" s="8"/>
    </row>
    <row r="222">
      <c r="C222" s="8"/>
      <c r="I222" s="8"/>
      <c r="J222" s="8"/>
    </row>
    <row r="223">
      <c r="C223" s="8"/>
      <c r="I223" s="8"/>
      <c r="J223" s="8"/>
    </row>
    <row r="224">
      <c r="C224" s="8"/>
      <c r="I224" s="8"/>
      <c r="J224" s="8"/>
    </row>
    <row r="225">
      <c r="C225" s="8"/>
      <c r="I225" s="8"/>
      <c r="J225" s="8"/>
    </row>
    <row r="226">
      <c r="C226" s="8"/>
      <c r="I226" s="8"/>
      <c r="J226" s="8"/>
    </row>
    <row r="227">
      <c r="C227" s="8"/>
      <c r="I227" s="8"/>
      <c r="J227" s="8"/>
    </row>
    <row r="228">
      <c r="C228" s="8"/>
      <c r="I228" s="8"/>
      <c r="J228" s="8"/>
    </row>
    <row r="229">
      <c r="C229" s="8"/>
      <c r="I229" s="8"/>
      <c r="J229" s="8"/>
    </row>
    <row r="230">
      <c r="C230" s="8"/>
      <c r="I230" s="8"/>
      <c r="J230" s="8"/>
    </row>
    <row r="231">
      <c r="C231" s="8"/>
      <c r="I231" s="8"/>
      <c r="J231" s="8"/>
    </row>
    <row r="232">
      <c r="C232" s="8"/>
      <c r="I232" s="8"/>
      <c r="J232" s="8"/>
    </row>
    <row r="233">
      <c r="C233" s="8"/>
      <c r="I233" s="8"/>
      <c r="J233" s="8"/>
    </row>
    <row r="234">
      <c r="C234" s="8"/>
      <c r="I234" s="8"/>
      <c r="J234" s="8"/>
    </row>
    <row r="235">
      <c r="C235" s="8"/>
      <c r="I235" s="8"/>
      <c r="J235" s="8"/>
    </row>
    <row r="236">
      <c r="C236" s="8"/>
      <c r="I236" s="8"/>
      <c r="J236" s="8"/>
    </row>
    <row r="237">
      <c r="C237" s="8"/>
      <c r="I237" s="8"/>
      <c r="J237" s="8"/>
    </row>
    <row r="238">
      <c r="C238" s="8"/>
      <c r="I238" s="8"/>
      <c r="J238" s="8"/>
    </row>
    <row r="239">
      <c r="C239" s="8"/>
      <c r="I239" s="8"/>
      <c r="J239" s="8"/>
    </row>
    <row r="240">
      <c r="C240" s="8"/>
      <c r="I240" s="8"/>
      <c r="J240" s="8"/>
    </row>
    <row r="241">
      <c r="C241" s="8"/>
      <c r="I241" s="8"/>
      <c r="J241" s="8"/>
    </row>
    <row r="242">
      <c r="C242" s="8"/>
      <c r="I242" s="8"/>
      <c r="J242" s="8"/>
    </row>
    <row r="243">
      <c r="C243" s="8"/>
      <c r="I243" s="8"/>
      <c r="J243" s="8"/>
    </row>
    <row r="244">
      <c r="C244" s="8"/>
      <c r="I244" s="8"/>
      <c r="J244" s="8"/>
    </row>
    <row r="245">
      <c r="C245" s="8"/>
      <c r="I245" s="8"/>
      <c r="J245" s="8"/>
    </row>
    <row r="246">
      <c r="C246" s="8"/>
      <c r="I246" s="8"/>
      <c r="J246" s="8"/>
    </row>
    <row r="247">
      <c r="C247" s="8"/>
      <c r="I247" s="8"/>
      <c r="J247" s="8"/>
    </row>
    <row r="248">
      <c r="C248" s="8"/>
      <c r="I248" s="8"/>
      <c r="J248" s="8"/>
    </row>
    <row r="249">
      <c r="C249" s="8"/>
      <c r="I249" s="8"/>
      <c r="J249" s="8"/>
    </row>
    <row r="250">
      <c r="C250" s="8"/>
      <c r="I250" s="8"/>
      <c r="J250" s="8"/>
    </row>
    <row r="251">
      <c r="C251" s="8"/>
      <c r="I251" s="8"/>
      <c r="J251" s="8"/>
    </row>
    <row r="252">
      <c r="C252" s="8"/>
      <c r="I252" s="8"/>
      <c r="J252" s="8"/>
    </row>
    <row r="253">
      <c r="C253" s="8"/>
      <c r="I253" s="8"/>
      <c r="J253" s="8"/>
    </row>
    <row r="254">
      <c r="C254" s="8"/>
      <c r="I254" s="8"/>
      <c r="J254" s="8"/>
    </row>
    <row r="255">
      <c r="C255" s="8"/>
      <c r="I255" s="8"/>
      <c r="J255" s="8"/>
    </row>
    <row r="256">
      <c r="C256" s="8"/>
      <c r="I256" s="8"/>
      <c r="J256" s="8"/>
    </row>
    <row r="257">
      <c r="C257" s="8"/>
      <c r="I257" s="8"/>
      <c r="J257" s="8"/>
    </row>
    <row r="258">
      <c r="C258" s="8"/>
      <c r="I258" s="8"/>
      <c r="J258" s="8"/>
    </row>
    <row r="259">
      <c r="C259" s="8"/>
      <c r="I259" s="8"/>
      <c r="J259" s="8"/>
    </row>
    <row r="260">
      <c r="C260" s="8"/>
      <c r="I260" s="8"/>
      <c r="J260" s="8"/>
    </row>
    <row r="261">
      <c r="C261" s="8"/>
      <c r="I261" s="8"/>
      <c r="J261" s="8"/>
    </row>
    <row r="262">
      <c r="C262" s="8"/>
      <c r="I262" s="8"/>
      <c r="J262" s="8"/>
    </row>
    <row r="263">
      <c r="C263" s="8"/>
      <c r="I263" s="8"/>
      <c r="J263" s="8"/>
    </row>
    <row r="264">
      <c r="C264" s="8"/>
      <c r="I264" s="8"/>
      <c r="J264" s="8"/>
    </row>
    <row r="265">
      <c r="C265" s="8"/>
      <c r="I265" s="8"/>
      <c r="J265" s="8"/>
    </row>
    <row r="266">
      <c r="C266" s="8"/>
      <c r="I266" s="8"/>
      <c r="J266" s="8"/>
    </row>
    <row r="267">
      <c r="C267" s="8"/>
      <c r="I267" s="8"/>
      <c r="J267" s="8"/>
    </row>
    <row r="268">
      <c r="C268" s="8"/>
      <c r="I268" s="8"/>
      <c r="J268" s="8"/>
    </row>
    <row r="269">
      <c r="C269" s="8"/>
      <c r="I269" s="8"/>
      <c r="J269" s="8"/>
    </row>
    <row r="270">
      <c r="C270" s="8"/>
      <c r="I270" s="8"/>
      <c r="J270" s="8"/>
    </row>
    <row r="271">
      <c r="C271" s="8"/>
      <c r="I271" s="8"/>
      <c r="J271" s="8"/>
    </row>
    <row r="272">
      <c r="C272" s="8"/>
      <c r="I272" s="8"/>
      <c r="J272" s="8"/>
    </row>
    <row r="273">
      <c r="C273" s="8"/>
      <c r="I273" s="8"/>
      <c r="J273" s="8"/>
    </row>
    <row r="274">
      <c r="C274" s="8"/>
      <c r="I274" s="8"/>
      <c r="J274" s="8"/>
    </row>
    <row r="275">
      <c r="C275" s="8"/>
      <c r="I275" s="8"/>
      <c r="J275" s="8"/>
    </row>
    <row r="276">
      <c r="C276" s="8"/>
      <c r="I276" s="8"/>
      <c r="J276" s="8"/>
    </row>
    <row r="277">
      <c r="C277" s="8"/>
      <c r="I277" s="8"/>
      <c r="J277" s="8"/>
    </row>
    <row r="278">
      <c r="C278" s="8"/>
      <c r="I278" s="8"/>
      <c r="J278" s="8"/>
    </row>
    <row r="279">
      <c r="C279" s="8"/>
      <c r="I279" s="8"/>
      <c r="J279" s="8"/>
    </row>
    <row r="280">
      <c r="C280" s="8"/>
      <c r="I280" s="8"/>
      <c r="J280" s="8"/>
    </row>
    <row r="281">
      <c r="C281" s="8"/>
      <c r="I281" s="8"/>
      <c r="J281" s="8"/>
    </row>
    <row r="282">
      <c r="C282" s="8"/>
      <c r="I282" s="8"/>
      <c r="J282" s="8"/>
    </row>
    <row r="283">
      <c r="C283" s="8"/>
      <c r="I283" s="8"/>
      <c r="J283" s="8"/>
    </row>
    <row r="284">
      <c r="C284" s="8"/>
      <c r="I284" s="8"/>
      <c r="J284" s="8"/>
    </row>
    <row r="285">
      <c r="C285" s="8"/>
      <c r="I285" s="8"/>
      <c r="J285" s="8"/>
    </row>
    <row r="286">
      <c r="C286" s="8"/>
      <c r="I286" s="8"/>
      <c r="J286" s="8"/>
    </row>
    <row r="287">
      <c r="C287" s="8"/>
      <c r="I287" s="8"/>
      <c r="J287" s="8"/>
    </row>
    <row r="288">
      <c r="C288" s="8"/>
      <c r="I288" s="8"/>
      <c r="J288" s="8"/>
    </row>
    <row r="289">
      <c r="C289" s="8"/>
      <c r="I289" s="8"/>
      <c r="J289" s="8"/>
    </row>
    <row r="290">
      <c r="C290" s="8"/>
      <c r="I290" s="8"/>
      <c r="J290" s="8"/>
    </row>
    <row r="291">
      <c r="C291" s="8"/>
      <c r="I291" s="8"/>
      <c r="J291" s="8"/>
    </row>
    <row r="292">
      <c r="C292" s="8"/>
      <c r="I292" s="8"/>
      <c r="J292" s="8"/>
    </row>
    <row r="293">
      <c r="C293" s="8"/>
      <c r="I293" s="8"/>
      <c r="J293" s="8"/>
    </row>
    <row r="294">
      <c r="C294" s="8"/>
      <c r="I294" s="8"/>
      <c r="J294" s="8"/>
    </row>
    <row r="295">
      <c r="C295" s="8"/>
      <c r="I295" s="8"/>
      <c r="J295" s="8"/>
    </row>
    <row r="296">
      <c r="C296" s="8"/>
      <c r="I296" s="8"/>
      <c r="J296" s="8"/>
    </row>
    <row r="297">
      <c r="C297" s="8"/>
      <c r="I297" s="8"/>
      <c r="J297" s="8"/>
    </row>
    <row r="298">
      <c r="C298" s="8"/>
      <c r="I298" s="8"/>
      <c r="J298" s="8"/>
    </row>
    <row r="299">
      <c r="C299" s="8"/>
      <c r="I299" s="8"/>
      <c r="J299" s="8"/>
    </row>
    <row r="300">
      <c r="C300" s="8"/>
      <c r="I300" s="8"/>
      <c r="J300" s="8"/>
    </row>
    <row r="301">
      <c r="C301" s="8"/>
      <c r="I301" s="8"/>
      <c r="J301" s="8"/>
    </row>
    <row r="302">
      <c r="C302" s="8"/>
      <c r="I302" s="8"/>
      <c r="J302" s="8"/>
    </row>
    <row r="303">
      <c r="C303" s="8"/>
      <c r="I303" s="8"/>
      <c r="J303" s="8"/>
    </row>
    <row r="304">
      <c r="C304" s="8"/>
      <c r="I304" s="8"/>
      <c r="J304" s="8"/>
    </row>
    <row r="305">
      <c r="C305" s="8"/>
      <c r="I305" s="8"/>
      <c r="J305" s="8"/>
    </row>
    <row r="306">
      <c r="C306" s="8"/>
      <c r="I306" s="8"/>
      <c r="J306" s="8"/>
    </row>
    <row r="307">
      <c r="C307" s="8"/>
      <c r="I307" s="8"/>
      <c r="J307" s="8"/>
    </row>
    <row r="308">
      <c r="C308" s="8"/>
      <c r="I308" s="8"/>
      <c r="J308" s="8"/>
    </row>
    <row r="309">
      <c r="C309" s="8"/>
      <c r="I309" s="8"/>
      <c r="J309" s="8"/>
    </row>
    <row r="310">
      <c r="C310" s="8"/>
      <c r="I310" s="8"/>
      <c r="J310" s="8"/>
    </row>
    <row r="311">
      <c r="C311" s="8"/>
      <c r="I311" s="8"/>
      <c r="J311" s="8"/>
    </row>
    <row r="312">
      <c r="C312" s="8"/>
      <c r="I312" s="8"/>
      <c r="J312" s="8"/>
    </row>
    <row r="313">
      <c r="C313" s="8"/>
      <c r="I313" s="8"/>
      <c r="J313" s="8"/>
    </row>
    <row r="314">
      <c r="C314" s="8"/>
      <c r="I314" s="8"/>
      <c r="J314" s="8"/>
    </row>
    <row r="315">
      <c r="C315" s="8"/>
      <c r="I315" s="8"/>
      <c r="J315" s="8"/>
    </row>
    <row r="316">
      <c r="C316" s="8"/>
      <c r="I316" s="8"/>
      <c r="J316" s="8"/>
    </row>
    <row r="317">
      <c r="C317" s="8"/>
      <c r="I317" s="8"/>
      <c r="J317" s="8"/>
    </row>
    <row r="318">
      <c r="C318" s="8"/>
      <c r="I318" s="8"/>
      <c r="J318" s="8"/>
    </row>
    <row r="319">
      <c r="C319" s="8"/>
      <c r="I319" s="8"/>
      <c r="J319" s="8"/>
    </row>
    <row r="320">
      <c r="C320" s="8"/>
      <c r="I320" s="8"/>
      <c r="J320" s="8"/>
    </row>
    <row r="321">
      <c r="C321" s="8"/>
      <c r="I321" s="8"/>
      <c r="J321" s="8"/>
    </row>
    <row r="322">
      <c r="C322" s="8"/>
      <c r="I322" s="8"/>
      <c r="J322" s="8"/>
    </row>
    <row r="323">
      <c r="C323" s="8"/>
      <c r="I323" s="8"/>
      <c r="J323" s="8"/>
    </row>
    <row r="324">
      <c r="C324" s="8"/>
      <c r="I324" s="8"/>
      <c r="J324" s="8"/>
    </row>
    <row r="325">
      <c r="C325" s="8"/>
      <c r="I325" s="8"/>
      <c r="J325" s="8"/>
    </row>
    <row r="326">
      <c r="C326" s="8"/>
      <c r="I326" s="8"/>
      <c r="J326" s="8"/>
    </row>
    <row r="327">
      <c r="C327" s="8"/>
      <c r="I327" s="8"/>
      <c r="J327" s="8"/>
    </row>
    <row r="328">
      <c r="C328" s="8"/>
      <c r="I328" s="8"/>
      <c r="J328" s="8"/>
    </row>
    <row r="329">
      <c r="C329" s="8"/>
      <c r="I329" s="8"/>
      <c r="J329" s="8"/>
    </row>
    <row r="330">
      <c r="C330" s="8"/>
      <c r="I330" s="8"/>
      <c r="J330" s="8"/>
    </row>
    <row r="331">
      <c r="C331" s="8"/>
      <c r="I331" s="8"/>
      <c r="J331" s="8"/>
    </row>
    <row r="332">
      <c r="C332" s="8"/>
      <c r="I332" s="8"/>
      <c r="J332" s="8"/>
    </row>
    <row r="333">
      <c r="C333" s="8"/>
      <c r="I333" s="8"/>
      <c r="J333" s="8"/>
    </row>
    <row r="334">
      <c r="C334" s="8"/>
      <c r="I334" s="8"/>
      <c r="J334" s="8"/>
    </row>
    <row r="335">
      <c r="C335" s="8"/>
      <c r="I335" s="8"/>
      <c r="J335" s="8"/>
    </row>
    <row r="336">
      <c r="C336" s="8"/>
      <c r="I336" s="8"/>
      <c r="J336" s="8"/>
    </row>
    <row r="337">
      <c r="C337" s="8"/>
      <c r="I337" s="8"/>
      <c r="J337" s="8"/>
    </row>
    <row r="338">
      <c r="C338" s="8"/>
      <c r="I338" s="8"/>
      <c r="J338" s="8"/>
    </row>
    <row r="339">
      <c r="C339" s="8"/>
      <c r="I339" s="8"/>
      <c r="J339" s="8"/>
    </row>
    <row r="340">
      <c r="C340" s="8"/>
      <c r="I340" s="8"/>
      <c r="J340" s="8"/>
    </row>
    <row r="341">
      <c r="C341" s="8"/>
      <c r="I341" s="8"/>
      <c r="J341" s="8"/>
    </row>
    <row r="342">
      <c r="C342" s="8"/>
      <c r="I342" s="8"/>
      <c r="J342" s="8"/>
    </row>
    <row r="343">
      <c r="C343" s="8"/>
      <c r="I343" s="8"/>
      <c r="J343" s="8"/>
    </row>
    <row r="344">
      <c r="C344" s="8"/>
      <c r="I344" s="8"/>
      <c r="J344" s="8"/>
    </row>
    <row r="345">
      <c r="C345" s="8"/>
      <c r="I345" s="8"/>
      <c r="J345" s="8"/>
    </row>
    <row r="346">
      <c r="C346" s="8"/>
      <c r="I346" s="8"/>
      <c r="J346" s="8"/>
    </row>
    <row r="347">
      <c r="C347" s="8"/>
      <c r="I347" s="8"/>
      <c r="J347" s="8"/>
    </row>
    <row r="348">
      <c r="C348" s="8"/>
      <c r="I348" s="8"/>
      <c r="J348" s="8"/>
    </row>
    <row r="349">
      <c r="C349" s="8"/>
      <c r="I349" s="8"/>
      <c r="J349" s="8"/>
    </row>
    <row r="350">
      <c r="C350" s="8"/>
      <c r="I350" s="8"/>
      <c r="J350" s="8"/>
    </row>
    <row r="351">
      <c r="C351" s="8"/>
      <c r="I351" s="8"/>
      <c r="J351" s="8"/>
    </row>
    <row r="352">
      <c r="C352" s="8"/>
      <c r="I352" s="8"/>
      <c r="J352" s="8"/>
    </row>
    <row r="353">
      <c r="C353" s="8"/>
      <c r="I353" s="8"/>
      <c r="J353" s="8"/>
    </row>
    <row r="354">
      <c r="C354" s="8"/>
      <c r="I354" s="8"/>
      <c r="J354" s="8"/>
    </row>
    <row r="355">
      <c r="C355" s="8"/>
      <c r="I355" s="8"/>
      <c r="J355" s="8"/>
    </row>
    <row r="356">
      <c r="C356" s="8"/>
      <c r="I356" s="8"/>
      <c r="J356" s="8"/>
    </row>
    <row r="357">
      <c r="C357" s="8"/>
      <c r="I357" s="8"/>
      <c r="J357" s="8"/>
    </row>
    <row r="358">
      <c r="C358" s="8"/>
      <c r="I358" s="8"/>
      <c r="J358" s="8"/>
    </row>
    <row r="359">
      <c r="C359" s="8"/>
      <c r="I359" s="8"/>
      <c r="J359" s="8"/>
    </row>
    <row r="360">
      <c r="C360" s="8"/>
      <c r="I360" s="8"/>
      <c r="J360" s="8"/>
    </row>
    <row r="361">
      <c r="C361" s="8"/>
      <c r="I361" s="8"/>
      <c r="J361" s="8"/>
    </row>
    <row r="362">
      <c r="C362" s="8"/>
      <c r="I362" s="8"/>
      <c r="J362" s="8"/>
    </row>
    <row r="363">
      <c r="C363" s="8"/>
      <c r="I363" s="8"/>
      <c r="J363" s="8"/>
    </row>
    <row r="364">
      <c r="C364" s="8"/>
      <c r="I364" s="8"/>
      <c r="J364" s="8"/>
    </row>
    <row r="365">
      <c r="C365" s="8"/>
      <c r="I365" s="8"/>
      <c r="J365" s="8"/>
    </row>
    <row r="366">
      <c r="C366" s="8"/>
      <c r="I366" s="8"/>
      <c r="J366" s="8"/>
    </row>
    <row r="367">
      <c r="C367" s="8"/>
      <c r="I367" s="8"/>
      <c r="J367" s="8"/>
    </row>
    <row r="368">
      <c r="C368" s="8"/>
      <c r="I368" s="8"/>
      <c r="J368" s="8"/>
    </row>
    <row r="369">
      <c r="C369" s="8"/>
      <c r="I369" s="8"/>
      <c r="J369" s="8"/>
    </row>
    <row r="370">
      <c r="C370" s="8"/>
      <c r="I370" s="8"/>
      <c r="J370" s="8"/>
    </row>
    <row r="371">
      <c r="C371" s="8"/>
      <c r="I371" s="8"/>
      <c r="J371" s="8"/>
    </row>
    <row r="372">
      <c r="C372" s="8"/>
      <c r="I372" s="8"/>
      <c r="J372" s="8"/>
    </row>
    <row r="373">
      <c r="C373" s="8"/>
      <c r="I373" s="8"/>
      <c r="J373" s="8"/>
    </row>
    <row r="374">
      <c r="C374" s="8"/>
      <c r="I374" s="8"/>
      <c r="J374" s="8"/>
    </row>
    <row r="375">
      <c r="C375" s="8"/>
      <c r="I375" s="8"/>
      <c r="J375" s="8"/>
    </row>
    <row r="376">
      <c r="C376" s="8"/>
      <c r="I376" s="8"/>
      <c r="J376" s="8"/>
    </row>
    <row r="377">
      <c r="C377" s="8"/>
      <c r="I377" s="8"/>
      <c r="J377" s="8"/>
    </row>
    <row r="378">
      <c r="C378" s="8"/>
      <c r="I378" s="8"/>
      <c r="J378" s="8"/>
    </row>
    <row r="379">
      <c r="C379" s="8"/>
      <c r="I379" s="8"/>
      <c r="J379" s="8"/>
    </row>
    <row r="380">
      <c r="C380" s="8"/>
      <c r="I380" s="8"/>
      <c r="J380" s="8"/>
    </row>
    <row r="381">
      <c r="C381" s="8"/>
      <c r="I381" s="8"/>
      <c r="J381" s="8"/>
    </row>
    <row r="382">
      <c r="C382" s="8"/>
      <c r="I382" s="8"/>
      <c r="J382" s="8"/>
    </row>
    <row r="383">
      <c r="C383" s="8"/>
      <c r="I383" s="8"/>
      <c r="J383" s="8"/>
    </row>
    <row r="384">
      <c r="C384" s="8"/>
      <c r="I384" s="8"/>
      <c r="J384" s="8"/>
    </row>
    <row r="385">
      <c r="C385" s="8"/>
      <c r="I385" s="8"/>
      <c r="J385" s="8"/>
    </row>
    <row r="386">
      <c r="C386" s="8"/>
      <c r="I386" s="8"/>
      <c r="J386" s="8"/>
    </row>
    <row r="387">
      <c r="C387" s="8"/>
      <c r="I387" s="8"/>
      <c r="J387" s="8"/>
    </row>
    <row r="388">
      <c r="C388" s="8"/>
      <c r="I388" s="8"/>
      <c r="J388" s="8"/>
    </row>
    <row r="389">
      <c r="C389" s="8"/>
      <c r="I389" s="8"/>
      <c r="J389" s="8"/>
    </row>
    <row r="390">
      <c r="C390" s="8"/>
      <c r="I390" s="8"/>
      <c r="J390" s="8"/>
    </row>
    <row r="391">
      <c r="C391" s="8"/>
      <c r="I391" s="8"/>
      <c r="J391" s="8"/>
    </row>
    <row r="392">
      <c r="C392" s="8"/>
      <c r="I392" s="8"/>
      <c r="J392" s="8"/>
    </row>
    <row r="393">
      <c r="C393" s="8"/>
      <c r="I393" s="8"/>
      <c r="J393" s="8"/>
    </row>
    <row r="394">
      <c r="C394" s="8"/>
      <c r="I394" s="8"/>
      <c r="J394" s="8"/>
    </row>
    <row r="395">
      <c r="C395" s="8"/>
      <c r="I395" s="8"/>
      <c r="J395" s="8"/>
    </row>
    <row r="396">
      <c r="C396" s="8"/>
      <c r="I396" s="8"/>
      <c r="J396" s="8"/>
    </row>
    <row r="397">
      <c r="C397" s="8"/>
      <c r="I397" s="8"/>
      <c r="J397" s="8"/>
    </row>
    <row r="398">
      <c r="C398" s="8"/>
      <c r="I398" s="8"/>
      <c r="J398" s="8"/>
    </row>
    <row r="399">
      <c r="C399" s="8"/>
      <c r="I399" s="8"/>
      <c r="J399" s="8"/>
    </row>
    <row r="400">
      <c r="C400" s="8"/>
      <c r="I400" s="8"/>
      <c r="J400" s="8"/>
    </row>
    <row r="401">
      <c r="C401" s="8"/>
      <c r="I401" s="8"/>
      <c r="J401" s="8"/>
    </row>
    <row r="402">
      <c r="C402" s="8"/>
      <c r="I402" s="8"/>
      <c r="J402" s="8"/>
    </row>
    <row r="403">
      <c r="C403" s="8"/>
      <c r="I403" s="8"/>
      <c r="J403" s="8"/>
    </row>
    <row r="404">
      <c r="C404" s="8"/>
      <c r="I404" s="8"/>
      <c r="J404" s="8"/>
    </row>
    <row r="405">
      <c r="C405" s="8"/>
      <c r="I405" s="8"/>
      <c r="J405" s="8"/>
    </row>
    <row r="406">
      <c r="C406" s="8"/>
      <c r="I406" s="8"/>
      <c r="J406" s="8"/>
    </row>
    <row r="407">
      <c r="C407" s="8"/>
      <c r="I407" s="8"/>
      <c r="J407" s="8"/>
    </row>
    <row r="408">
      <c r="C408" s="8"/>
      <c r="I408" s="8"/>
      <c r="J408" s="8"/>
    </row>
    <row r="409">
      <c r="C409" s="8"/>
      <c r="I409" s="8"/>
      <c r="J409" s="8"/>
    </row>
    <row r="410">
      <c r="C410" s="8"/>
      <c r="I410" s="8"/>
      <c r="J410" s="8"/>
    </row>
    <row r="411">
      <c r="C411" s="8"/>
      <c r="I411" s="8"/>
      <c r="J411" s="8"/>
    </row>
    <row r="412">
      <c r="C412" s="8"/>
      <c r="I412" s="8"/>
      <c r="J412" s="8"/>
    </row>
    <row r="413">
      <c r="C413" s="8"/>
      <c r="I413" s="8"/>
      <c r="J413" s="8"/>
    </row>
    <row r="414">
      <c r="C414" s="8"/>
      <c r="I414" s="8"/>
      <c r="J414" s="8"/>
    </row>
    <row r="415">
      <c r="C415" s="8"/>
      <c r="I415" s="8"/>
      <c r="J415" s="8"/>
    </row>
    <row r="416">
      <c r="C416" s="8"/>
      <c r="I416" s="8"/>
      <c r="J416" s="8"/>
    </row>
    <row r="417">
      <c r="C417" s="8"/>
      <c r="I417" s="8"/>
      <c r="J417" s="8"/>
    </row>
    <row r="418">
      <c r="C418" s="8"/>
      <c r="I418" s="8"/>
      <c r="J418" s="8"/>
    </row>
    <row r="419">
      <c r="C419" s="8"/>
      <c r="I419" s="8"/>
      <c r="J419" s="8"/>
    </row>
    <row r="420">
      <c r="C420" s="8"/>
      <c r="I420" s="8"/>
      <c r="J420" s="8"/>
    </row>
    <row r="421">
      <c r="C421" s="8"/>
      <c r="I421" s="8"/>
      <c r="J421" s="8"/>
    </row>
    <row r="422">
      <c r="C422" s="8"/>
      <c r="I422" s="8"/>
      <c r="J422" s="8"/>
    </row>
    <row r="423">
      <c r="C423" s="8"/>
      <c r="I423" s="8"/>
      <c r="J423" s="8"/>
    </row>
    <row r="424">
      <c r="C424" s="8"/>
      <c r="I424" s="8"/>
      <c r="J424" s="8"/>
    </row>
    <row r="425">
      <c r="C425" s="8"/>
      <c r="I425" s="8"/>
      <c r="J425" s="8"/>
    </row>
    <row r="426">
      <c r="C426" s="8"/>
      <c r="I426" s="8"/>
      <c r="J426" s="8"/>
    </row>
    <row r="427">
      <c r="C427" s="8"/>
      <c r="I427" s="8"/>
      <c r="J427" s="8"/>
    </row>
    <row r="428">
      <c r="C428" s="8"/>
      <c r="I428" s="8"/>
      <c r="J428" s="8"/>
    </row>
    <row r="429">
      <c r="C429" s="8"/>
      <c r="I429" s="8"/>
      <c r="J429" s="8"/>
    </row>
    <row r="430">
      <c r="C430" s="8"/>
      <c r="I430" s="8"/>
      <c r="J430" s="8"/>
    </row>
    <row r="431">
      <c r="C431" s="8"/>
      <c r="I431" s="8"/>
      <c r="J431" s="8"/>
    </row>
    <row r="432">
      <c r="C432" s="8"/>
      <c r="I432" s="8"/>
      <c r="J432" s="8"/>
    </row>
    <row r="433">
      <c r="C433" s="8"/>
      <c r="I433" s="8"/>
      <c r="J433" s="8"/>
    </row>
    <row r="434">
      <c r="C434" s="8"/>
      <c r="I434" s="8"/>
      <c r="J434" s="8"/>
    </row>
    <row r="435">
      <c r="C435" s="8"/>
      <c r="I435" s="8"/>
      <c r="J435" s="8"/>
    </row>
    <row r="436">
      <c r="C436" s="8"/>
      <c r="I436" s="8"/>
      <c r="J436" s="8"/>
    </row>
    <row r="437">
      <c r="C437" s="8"/>
      <c r="I437" s="8"/>
      <c r="J437" s="8"/>
    </row>
    <row r="438">
      <c r="C438" s="8"/>
      <c r="I438" s="8"/>
      <c r="J438" s="8"/>
    </row>
    <row r="439">
      <c r="C439" s="8"/>
      <c r="I439" s="8"/>
      <c r="J439" s="8"/>
    </row>
    <row r="440">
      <c r="C440" s="8"/>
      <c r="I440" s="8"/>
      <c r="J440" s="8"/>
    </row>
    <row r="441">
      <c r="C441" s="8"/>
      <c r="I441" s="8"/>
      <c r="J441" s="8"/>
    </row>
    <row r="442">
      <c r="C442" s="8"/>
      <c r="I442" s="8"/>
      <c r="J442" s="8"/>
    </row>
    <row r="443">
      <c r="C443" s="8"/>
      <c r="I443" s="8"/>
      <c r="J443" s="8"/>
    </row>
    <row r="444">
      <c r="C444" s="8"/>
      <c r="I444" s="8"/>
      <c r="J444" s="8"/>
    </row>
    <row r="445">
      <c r="C445" s="8"/>
      <c r="I445" s="8"/>
      <c r="J445" s="8"/>
    </row>
    <row r="446">
      <c r="C446" s="8"/>
      <c r="I446" s="8"/>
      <c r="J446" s="8"/>
    </row>
    <row r="447">
      <c r="C447" s="8"/>
      <c r="I447" s="8"/>
      <c r="J447" s="8"/>
    </row>
    <row r="448">
      <c r="C448" s="8"/>
      <c r="I448" s="8"/>
      <c r="J448" s="8"/>
    </row>
    <row r="449">
      <c r="C449" s="8"/>
      <c r="I449" s="8"/>
      <c r="J449" s="8"/>
    </row>
    <row r="450">
      <c r="C450" s="8"/>
      <c r="I450" s="8"/>
      <c r="J450" s="8"/>
    </row>
    <row r="451">
      <c r="C451" s="8"/>
      <c r="I451" s="8"/>
      <c r="J451" s="8"/>
    </row>
    <row r="452">
      <c r="C452" s="8"/>
      <c r="I452" s="8"/>
      <c r="J452" s="8"/>
    </row>
    <row r="453">
      <c r="C453" s="8"/>
      <c r="I453" s="8"/>
      <c r="J453" s="8"/>
    </row>
    <row r="454">
      <c r="C454" s="8"/>
      <c r="I454" s="8"/>
      <c r="J454" s="8"/>
    </row>
    <row r="455">
      <c r="C455" s="8"/>
      <c r="I455" s="8"/>
      <c r="J455" s="8"/>
    </row>
    <row r="456">
      <c r="C456" s="8"/>
      <c r="I456" s="8"/>
      <c r="J456" s="8"/>
    </row>
    <row r="457">
      <c r="C457" s="8"/>
      <c r="I457" s="8"/>
      <c r="J457" s="8"/>
    </row>
    <row r="458">
      <c r="C458" s="8"/>
      <c r="I458" s="8"/>
      <c r="J458" s="8"/>
    </row>
    <row r="459">
      <c r="C459" s="8"/>
      <c r="I459" s="8"/>
      <c r="J459" s="8"/>
    </row>
    <row r="460">
      <c r="C460" s="8"/>
      <c r="I460" s="8"/>
      <c r="J460" s="8"/>
    </row>
    <row r="461">
      <c r="C461" s="8"/>
      <c r="I461" s="8"/>
      <c r="J461" s="8"/>
    </row>
    <row r="462">
      <c r="C462" s="8"/>
      <c r="I462" s="8"/>
      <c r="J462" s="8"/>
    </row>
    <row r="463">
      <c r="C463" s="8"/>
      <c r="I463" s="8"/>
      <c r="J463" s="8"/>
    </row>
    <row r="464">
      <c r="C464" s="8"/>
      <c r="I464" s="8"/>
      <c r="J464" s="8"/>
    </row>
    <row r="465">
      <c r="C465" s="8"/>
      <c r="I465" s="8"/>
      <c r="J465" s="8"/>
    </row>
    <row r="466">
      <c r="C466" s="8"/>
      <c r="I466" s="8"/>
      <c r="J466" s="8"/>
    </row>
    <row r="467">
      <c r="C467" s="8"/>
      <c r="I467" s="8"/>
      <c r="J467" s="8"/>
    </row>
    <row r="468">
      <c r="C468" s="8"/>
      <c r="I468" s="8"/>
      <c r="J468" s="8"/>
    </row>
    <row r="469">
      <c r="C469" s="8"/>
      <c r="I469" s="8"/>
      <c r="J469" s="8"/>
    </row>
    <row r="470">
      <c r="C470" s="8"/>
      <c r="I470" s="8"/>
      <c r="J470" s="8"/>
    </row>
    <row r="471">
      <c r="C471" s="8"/>
      <c r="I471" s="8"/>
      <c r="J471" s="8"/>
    </row>
    <row r="472">
      <c r="C472" s="8"/>
      <c r="I472" s="8"/>
      <c r="J472" s="8"/>
    </row>
    <row r="473">
      <c r="C473" s="8"/>
      <c r="I473" s="8"/>
      <c r="J473" s="8"/>
    </row>
    <row r="474">
      <c r="C474" s="8"/>
      <c r="I474" s="8"/>
      <c r="J474" s="8"/>
    </row>
    <row r="475">
      <c r="C475" s="8"/>
      <c r="I475" s="8"/>
      <c r="J475" s="8"/>
    </row>
    <row r="476">
      <c r="C476" s="8"/>
      <c r="I476" s="8"/>
      <c r="J476" s="8"/>
    </row>
    <row r="477">
      <c r="C477" s="8"/>
      <c r="I477" s="8"/>
      <c r="J477" s="8"/>
    </row>
    <row r="478">
      <c r="C478" s="8"/>
      <c r="I478" s="8"/>
      <c r="J478" s="8"/>
    </row>
    <row r="479">
      <c r="C479" s="8"/>
      <c r="I479" s="8"/>
      <c r="J479" s="8"/>
    </row>
    <row r="480">
      <c r="C480" s="8"/>
      <c r="I480" s="8"/>
      <c r="J480" s="8"/>
    </row>
    <row r="481">
      <c r="C481" s="8"/>
      <c r="I481" s="8"/>
      <c r="J481" s="8"/>
    </row>
    <row r="482">
      <c r="C482" s="8"/>
      <c r="I482" s="8"/>
      <c r="J482" s="8"/>
    </row>
    <row r="483">
      <c r="C483" s="8"/>
      <c r="I483" s="8"/>
      <c r="J483" s="8"/>
    </row>
    <row r="484">
      <c r="C484" s="8"/>
      <c r="I484" s="8"/>
      <c r="J484" s="8"/>
    </row>
    <row r="485">
      <c r="C485" s="8"/>
      <c r="I485" s="8"/>
      <c r="J485" s="8"/>
    </row>
    <row r="486">
      <c r="C486" s="8"/>
      <c r="I486" s="8"/>
      <c r="J486" s="8"/>
    </row>
    <row r="487">
      <c r="C487" s="8"/>
      <c r="I487" s="8"/>
      <c r="J487" s="8"/>
    </row>
    <row r="488">
      <c r="C488" s="8"/>
      <c r="I488" s="8"/>
      <c r="J488" s="8"/>
    </row>
    <row r="489">
      <c r="C489" s="8"/>
      <c r="I489" s="8"/>
      <c r="J489" s="8"/>
    </row>
    <row r="490">
      <c r="C490" s="8"/>
      <c r="I490" s="8"/>
      <c r="J490" s="8"/>
    </row>
    <row r="491">
      <c r="C491" s="8"/>
      <c r="I491" s="8"/>
      <c r="J491" s="8"/>
    </row>
    <row r="492">
      <c r="C492" s="8"/>
      <c r="I492" s="8"/>
      <c r="J492" s="8"/>
    </row>
    <row r="493">
      <c r="C493" s="8"/>
      <c r="I493" s="8"/>
      <c r="J493" s="8"/>
    </row>
    <row r="494">
      <c r="C494" s="8"/>
      <c r="I494" s="8"/>
      <c r="J494" s="8"/>
    </row>
    <row r="495">
      <c r="C495" s="8"/>
      <c r="I495" s="8"/>
      <c r="J495" s="8"/>
    </row>
    <row r="496">
      <c r="C496" s="8"/>
      <c r="I496" s="8"/>
      <c r="J496" s="8"/>
    </row>
    <row r="497">
      <c r="C497" s="8"/>
      <c r="I497" s="8"/>
      <c r="J497" s="8"/>
    </row>
    <row r="498">
      <c r="C498" s="8"/>
      <c r="I498" s="8"/>
      <c r="J498" s="8"/>
    </row>
    <row r="499">
      <c r="C499" s="8"/>
      <c r="I499" s="8"/>
      <c r="J499" s="8"/>
    </row>
    <row r="500">
      <c r="C500" s="8"/>
      <c r="I500" s="8"/>
      <c r="J500" s="8"/>
    </row>
    <row r="501">
      <c r="C501" s="8"/>
      <c r="I501" s="8"/>
      <c r="J501" s="8"/>
    </row>
    <row r="502">
      <c r="C502" s="8"/>
      <c r="I502" s="8"/>
      <c r="J502" s="8"/>
    </row>
    <row r="503">
      <c r="C503" s="8"/>
      <c r="I503" s="8"/>
      <c r="J503" s="8"/>
    </row>
    <row r="504">
      <c r="C504" s="8"/>
      <c r="I504" s="8"/>
      <c r="J504" s="8"/>
    </row>
    <row r="505">
      <c r="C505" s="8"/>
      <c r="I505" s="8"/>
      <c r="J505" s="8"/>
    </row>
    <row r="506">
      <c r="C506" s="8"/>
      <c r="I506" s="8"/>
      <c r="J506" s="8"/>
    </row>
    <row r="507">
      <c r="C507" s="8"/>
      <c r="I507" s="8"/>
      <c r="J507" s="8"/>
    </row>
    <row r="508">
      <c r="C508" s="8"/>
      <c r="I508" s="8"/>
      <c r="J508" s="8"/>
    </row>
    <row r="509">
      <c r="C509" s="8"/>
      <c r="I509" s="8"/>
      <c r="J509" s="8"/>
    </row>
    <row r="510">
      <c r="C510" s="8"/>
      <c r="I510" s="8"/>
      <c r="J510" s="8"/>
    </row>
    <row r="511">
      <c r="C511" s="8"/>
      <c r="I511" s="8"/>
      <c r="J511" s="8"/>
    </row>
    <row r="512">
      <c r="C512" s="8"/>
      <c r="I512" s="8"/>
      <c r="J512" s="8"/>
    </row>
    <row r="513">
      <c r="C513" s="8"/>
      <c r="I513" s="8"/>
      <c r="J513" s="8"/>
    </row>
    <row r="514">
      <c r="C514" s="8"/>
      <c r="I514" s="8"/>
      <c r="J514" s="8"/>
    </row>
    <row r="515">
      <c r="C515" s="8"/>
      <c r="I515" s="8"/>
      <c r="J515" s="8"/>
    </row>
    <row r="516">
      <c r="C516" s="8"/>
      <c r="I516" s="8"/>
      <c r="J516" s="8"/>
    </row>
    <row r="517">
      <c r="C517" s="8"/>
      <c r="I517" s="8"/>
      <c r="J517" s="8"/>
    </row>
    <row r="518">
      <c r="C518" s="8"/>
      <c r="I518" s="8"/>
      <c r="J518" s="8"/>
    </row>
    <row r="519">
      <c r="C519" s="8"/>
      <c r="I519" s="8"/>
      <c r="J519" s="8"/>
    </row>
    <row r="520">
      <c r="C520" s="8"/>
      <c r="I520" s="8"/>
      <c r="J520" s="8"/>
    </row>
    <row r="521">
      <c r="C521" s="8"/>
      <c r="I521" s="8"/>
      <c r="J521" s="8"/>
    </row>
    <row r="522">
      <c r="C522" s="8"/>
      <c r="I522" s="8"/>
      <c r="J522" s="8"/>
    </row>
    <row r="523">
      <c r="C523" s="8"/>
      <c r="I523" s="8"/>
      <c r="J523" s="8"/>
    </row>
    <row r="524">
      <c r="C524" s="8"/>
      <c r="I524" s="8"/>
      <c r="J524" s="8"/>
    </row>
    <row r="525">
      <c r="C525" s="8"/>
      <c r="I525" s="8"/>
      <c r="J525" s="8"/>
    </row>
    <row r="526">
      <c r="C526" s="8"/>
      <c r="I526" s="8"/>
      <c r="J526" s="8"/>
    </row>
    <row r="527">
      <c r="C527" s="8"/>
      <c r="I527" s="8"/>
      <c r="J527" s="8"/>
    </row>
    <row r="528">
      <c r="C528" s="8"/>
      <c r="I528" s="8"/>
      <c r="J528" s="8"/>
    </row>
    <row r="529">
      <c r="C529" s="8"/>
      <c r="I529" s="8"/>
      <c r="J529" s="8"/>
    </row>
    <row r="530">
      <c r="C530" s="8"/>
      <c r="I530" s="8"/>
      <c r="J530" s="8"/>
    </row>
    <row r="531">
      <c r="C531" s="8"/>
      <c r="I531" s="8"/>
      <c r="J531" s="8"/>
    </row>
    <row r="532">
      <c r="C532" s="8"/>
      <c r="I532" s="8"/>
      <c r="J532" s="8"/>
    </row>
    <row r="533">
      <c r="C533" s="8"/>
      <c r="I533" s="8"/>
      <c r="J533" s="8"/>
    </row>
    <row r="534">
      <c r="C534" s="8"/>
      <c r="I534" s="8"/>
      <c r="J534" s="8"/>
    </row>
    <row r="535">
      <c r="C535" s="8"/>
      <c r="I535" s="8"/>
      <c r="J535" s="8"/>
    </row>
    <row r="536">
      <c r="C536" s="8"/>
      <c r="I536" s="8"/>
      <c r="J536" s="8"/>
    </row>
    <row r="537">
      <c r="C537" s="8"/>
      <c r="I537" s="8"/>
      <c r="J537" s="8"/>
    </row>
    <row r="538">
      <c r="C538" s="8"/>
      <c r="I538" s="8"/>
      <c r="J538" s="8"/>
    </row>
    <row r="539">
      <c r="C539" s="8"/>
      <c r="I539" s="8"/>
      <c r="J539" s="8"/>
    </row>
    <row r="540">
      <c r="C540" s="8"/>
      <c r="I540" s="8"/>
      <c r="J540" s="8"/>
    </row>
    <row r="541">
      <c r="C541" s="8"/>
      <c r="I541" s="8"/>
      <c r="J541" s="8"/>
    </row>
    <row r="542">
      <c r="C542" s="8"/>
      <c r="I542" s="8"/>
      <c r="J542" s="8"/>
    </row>
    <row r="543">
      <c r="C543" s="8"/>
      <c r="I543" s="8"/>
      <c r="J543" s="8"/>
    </row>
    <row r="544">
      <c r="C544" s="8"/>
      <c r="I544" s="8"/>
      <c r="J544" s="8"/>
    </row>
    <row r="545">
      <c r="C545" s="8"/>
      <c r="I545" s="8"/>
      <c r="J545" s="8"/>
    </row>
    <row r="546">
      <c r="C546" s="8"/>
      <c r="I546" s="8"/>
      <c r="J546" s="8"/>
    </row>
    <row r="547">
      <c r="C547" s="8"/>
      <c r="I547" s="8"/>
      <c r="J547" s="8"/>
    </row>
    <row r="548">
      <c r="C548" s="8"/>
      <c r="I548" s="8"/>
      <c r="J548" s="8"/>
    </row>
    <row r="549">
      <c r="C549" s="8"/>
      <c r="I549" s="8"/>
      <c r="J549" s="8"/>
    </row>
    <row r="550">
      <c r="C550" s="8"/>
      <c r="I550" s="8"/>
      <c r="J550" s="8"/>
    </row>
    <row r="551">
      <c r="C551" s="8"/>
      <c r="I551" s="8"/>
      <c r="J551" s="8"/>
    </row>
    <row r="552">
      <c r="C552" s="8"/>
      <c r="I552" s="8"/>
      <c r="J552" s="8"/>
    </row>
    <row r="553">
      <c r="C553" s="8"/>
      <c r="I553" s="8"/>
      <c r="J553" s="8"/>
    </row>
    <row r="554">
      <c r="C554" s="8"/>
      <c r="I554" s="8"/>
      <c r="J554" s="8"/>
    </row>
    <row r="555">
      <c r="C555" s="8"/>
      <c r="I555" s="8"/>
      <c r="J555" s="8"/>
    </row>
    <row r="556">
      <c r="C556" s="8"/>
      <c r="I556" s="8"/>
      <c r="J556" s="8"/>
    </row>
    <row r="557">
      <c r="C557" s="8"/>
      <c r="I557" s="8"/>
      <c r="J557" s="8"/>
    </row>
    <row r="558">
      <c r="C558" s="8"/>
      <c r="I558" s="8"/>
      <c r="J558" s="8"/>
    </row>
    <row r="559">
      <c r="C559" s="8"/>
      <c r="I559" s="8"/>
      <c r="J559" s="8"/>
    </row>
    <row r="560">
      <c r="C560" s="8"/>
      <c r="I560" s="8"/>
      <c r="J560" s="8"/>
    </row>
    <row r="561">
      <c r="C561" s="8"/>
      <c r="I561" s="8"/>
      <c r="J561" s="8"/>
    </row>
    <row r="562">
      <c r="C562" s="8"/>
      <c r="I562" s="8"/>
      <c r="J562" s="8"/>
    </row>
    <row r="563">
      <c r="C563" s="8"/>
      <c r="I563" s="8"/>
      <c r="J563" s="8"/>
    </row>
    <row r="564">
      <c r="C564" s="8"/>
      <c r="I564" s="8"/>
      <c r="J564" s="8"/>
    </row>
    <row r="565">
      <c r="C565" s="8"/>
      <c r="I565" s="8"/>
      <c r="J565" s="8"/>
    </row>
    <row r="566">
      <c r="C566" s="8"/>
      <c r="I566" s="8"/>
      <c r="J566" s="8"/>
    </row>
    <row r="567">
      <c r="C567" s="8"/>
      <c r="I567" s="8"/>
      <c r="J567" s="8"/>
    </row>
    <row r="568">
      <c r="C568" s="8"/>
      <c r="I568" s="8"/>
      <c r="J568" s="8"/>
    </row>
    <row r="569">
      <c r="C569" s="8"/>
      <c r="I569" s="8"/>
      <c r="J569" s="8"/>
    </row>
    <row r="570">
      <c r="C570" s="8"/>
      <c r="I570" s="8"/>
      <c r="J570" s="8"/>
    </row>
    <row r="571">
      <c r="C571" s="8"/>
      <c r="I571" s="8"/>
      <c r="J571" s="8"/>
    </row>
    <row r="572">
      <c r="C572" s="8"/>
      <c r="I572" s="8"/>
      <c r="J572" s="8"/>
    </row>
    <row r="573">
      <c r="C573" s="8"/>
      <c r="I573" s="8"/>
      <c r="J573" s="8"/>
    </row>
    <row r="574">
      <c r="C574" s="8"/>
      <c r="I574" s="8"/>
      <c r="J574" s="8"/>
    </row>
    <row r="575">
      <c r="C575" s="8"/>
      <c r="I575" s="8"/>
      <c r="J575" s="8"/>
    </row>
    <row r="576">
      <c r="C576" s="8"/>
      <c r="I576" s="8"/>
      <c r="J576" s="8"/>
    </row>
    <row r="577">
      <c r="C577" s="8"/>
      <c r="I577" s="8"/>
      <c r="J577" s="8"/>
    </row>
    <row r="578">
      <c r="C578" s="8"/>
      <c r="I578" s="8"/>
      <c r="J578" s="8"/>
    </row>
    <row r="579">
      <c r="C579" s="8"/>
      <c r="I579" s="8"/>
      <c r="J579" s="8"/>
    </row>
    <row r="580">
      <c r="C580" s="8"/>
      <c r="I580" s="8"/>
      <c r="J580" s="8"/>
    </row>
    <row r="581">
      <c r="C581" s="8"/>
      <c r="I581" s="8"/>
      <c r="J581" s="8"/>
    </row>
    <row r="582">
      <c r="C582" s="8"/>
      <c r="I582" s="8"/>
      <c r="J582" s="8"/>
    </row>
    <row r="583">
      <c r="C583" s="8"/>
      <c r="I583" s="8"/>
      <c r="J583" s="8"/>
    </row>
    <row r="584">
      <c r="C584" s="8"/>
      <c r="I584" s="8"/>
      <c r="J584" s="8"/>
    </row>
    <row r="585">
      <c r="C585" s="8"/>
      <c r="I585" s="8"/>
      <c r="J585" s="8"/>
    </row>
    <row r="586">
      <c r="C586" s="8"/>
      <c r="I586" s="8"/>
      <c r="J586" s="8"/>
    </row>
    <row r="587">
      <c r="C587" s="8"/>
      <c r="I587" s="8"/>
      <c r="J587" s="8"/>
    </row>
    <row r="588">
      <c r="C588" s="8"/>
      <c r="I588" s="8"/>
      <c r="J588" s="8"/>
    </row>
    <row r="589">
      <c r="C589" s="8"/>
      <c r="I589" s="8"/>
      <c r="J589" s="8"/>
    </row>
    <row r="590">
      <c r="C590" s="8"/>
      <c r="I590" s="8"/>
      <c r="J590" s="8"/>
    </row>
    <row r="591">
      <c r="C591" s="8"/>
      <c r="I591" s="8"/>
      <c r="J591" s="8"/>
    </row>
    <row r="592">
      <c r="C592" s="8"/>
      <c r="I592" s="8"/>
      <c r="J592" s="8"/>
    </row>
    <row r="593">
      <c r="C593" s="8"/>
      <c r="I593" s="8"/>
      <c r="J593" s="8"/>
    </row>
    <row r="594">
      <c r="C594" s="8"/>
      <c r="I594" s="8"/>
      <c r="J594" s="8"/>
    </row>
    <row r="595">
      <c r="C595" s="8"/>
      <c r="I595" s="8"/>
      <c r="J595" s="8"/>
    </row>
    <row r="596">
      <c r="C596" s="8"/>
      <c r="I596" s="8"/>
      <c r="J596" s="8"/>
    </row>
    <row r="597">
      <c r="C597" s="8"/>
      <c r="I597" s="8"/>
      <c r="J597" s="8"/>
    </row>
    <row r="598">
      <c r="C598" s="8"/>
      <c r="I598" s="8"/>
      <c r="J598" s="8"/>
    </row>
    <row r="599">
      <c r="C599" s="8"/>
      <c r="I599" s="8"/>
      <c r="J599" s="8"/>
    </row>
    <row r="600">
      <c r="C600" s="8"/>
      <c r="I600" s="8"/>
      <c r="J600" s="8"/>
    </row>
    <row r="601">
      <c r="C601" s="8"/>
      <c r="I601" s="8"/>
      <c r="J601" s="8"/>
    </row>
    <row r="602">
      <c r="C602" s="8"/>
      <c r="I602" s="8"/>
      <c r="J602" s="8"/>
    </row>
    <row r="603">
      <c r="C603" s="8"/>
      <c r="I603" s="8"/>
      <c r="J603" s="8"/>
    </row>
    <row r="604">
      <c r="C604" s="8"/>
      <c r="I604" s="8"/>
      <c r="J604" s="8"/>
    </row>
    <row r="605">
      <c r="C605" s="8"/>
      <c r="I605" s="8"/>
      <c r="J605" s="8"/>
    </row>
    <row r="606">
      <c r="C606" s="8"/>
      <c r="I606" s="8"/>
      <c r="J606" s="8"/>
    </row>
    <row r="607">
      <c r="C607" s="8"/>
      <c r="I607" s="8"/>
      <c r="J607" s="8"/>
    </row>
    <row r="608">
      <c r="C608" s="8"/>
      <c r="I608" s="8"/>
      <c r="J608" s="8"/>
    </row>
    <row r="609">
      <c r="C609" s="8"/>
      <c r="I609" s="8"/>
      <c r="J609" s="8"/>
    </row>
    <row r="610">
      <c r="C610" s="8"/>
      <c r="I610" s="8"/>
      <c r="J610" s="8"/>
    </row>
    <row r="611">
      <c r="C611" s="8"/>
      <c r="I611" s="8"/>
      <c r="J611" s="8"/>
    </row>
    <row r="612">
      <c r="C612" s="8"/>
      <c r="I612" s="8"/>
      <c r="J612" s="8"/>
    </row>
    <row r="613">
      <c r="C613" s="8"/>
      <c r="I613" s="8"/>
      <c r="J613" s="8"/>
    </row>
    <row r="614">
      <c r="C614" s="8"/>
      <c r="I614" s="8"/>
      <c r="J614" s="8"/>
    </row>
    <row r="615">
      <c r="C615" s="8"/>
      <c r="I615" s="8"/>
      <c r="J615" s="8"/>
    </row>
    <row r="616">
      <c r="C616" s="8"/>
      <c r="I616" s="8"/>
      <c r="J616" s="8"/>
    </row>
    <row r="617">
      <c r="C617" s="8"/>
      <c r="I617" s="8"/>
      <c r="J617" s="8"/>
    </row>
    <row r="618">
      <c r="C618" s="8"/>
      <c r="I618" s="8"/>
      <c r="J618" s="8"/>
    </row>
    <row r="619">
      <c r="C619" s="8"/>
      <c r="I619" s="8"/>
      <c r="J619" s="8"/>
    </row>
    <row r="620">
      <c r="C620" s="8"/>
      <c r="I620" s="8"/>
      <c r="J620" s="8"/>
    </row>
    <row r="621">
      <c r="C621" s="8"/>
      <c r="I621" s="8"/>
      <c r="J621" s="8"/>
    </row>
    <row r="622">
      <c r="C622" s="8"/>
      <c r="I622" s="8"/>
      <c r="J622" s="8"/>
    </row>
    <row r="623">
      <c r="C623" s="8"/>
      <c r="I623" s="8"/>
      <c r="J623" s="8"/>
    </row>
    <row r="624">
      <c r="C624" s="8"/>
      <c r="I624" s="8"/>
      <c r="J624" s="8"/>
    </row>
    <row r="625">
      <c r="C625" s="8"/>
      <c r="I625" s="8"/>
      <c r="J625" s="8"/>
    </row>
    <row r="626">
      <c r="C626" s="8"/>
      <c r="I626" s="8"/>
      <c r="J626" s="8"/>
    </row>
    <row r="627">
      <c r="C627" s="8"/>
      <c r="I627" s="8"/>
      <c r="J627" s="8"/>
    </row>
    <row r="628">
      <c r="C628" s="8"/>
      <c r="I628" s="8"/>
      <c r="J628" s="8"/>
    </row>
    <row r="629">
      <c r="C629" s="8"/>
      <c r="I629" s="8"/>
      <c r="J629" s="8"/>
    </row>
    <row r="630">
      <c r="C630" s="8"/>
      <c r="I630" s="8"/>
      <c r="J630" s="8"/>
    </row>
    <row r="631">
      <c r="C631" s="8"/>
      <c r="I631" s="8"/>
      <c r="J631" s="8"/>
    </row>
    <row r="632">
      <c r="C632" s="8"/>
      <c r="I632" s="8"/>
      <c r="J632" s="8"/>
    </row>
    <row r="633">
      <c r="C633" s="8"/>
      <c r="I633" s="8"/>
      <c r="J633" s="8"/>
    </row>
    <row r="634">
      <c r="C634" s="8"/>
      <c r="I634" s="8"/>
      <c r="J634" s="8"/>
    </row>
    <row r="635">
      <c r="C635" s="8"/>
      <c r="I635" s="8"/>
      <c r="J635" s="8"/>
    </row>
    <row r="636">
      <c r="C636" s="8"/>
      <c r="I636" s="8"/>
      <c r="J636" s="8"/>
    </row>
    <row r="637">
      <c r="C637" s="8"/>
      <c r="I637" s="8"/>
      <c r="J637" s="8"/>
    </row>
    <row r="638">
      <c r="C638" s="8"/>
      <c r="I638" s="8"/>
      <c r="J638" s="8"/>
    </row>
    <row r="639">
      <c r="C639" s="8"/>
      <c r="I639" s="8"/>
      <c r="J639" s="8"/>
    </row>
    <row r="640">
      <c r="C640" s="8"/>
      <c r="I640" s="8"/>
      <c r="J640" s="8"/>
    </row>
    <row r="641">
      <c r="C641" s="8"/>
      <c r="I641" s="8"/>
      <c r="J641" s="8"/>
    </row>
    <row r="642">
      <c r="C642" s="8"/>
      <c r="I642" s="8"/>
      <c r="J642" s="8"/>
    </row>
    <row r="643">
      <c r="C643" s="8"/>
      <c r="I643" s="8"/>
      <c r="J643" s="8"/>
    </row>
    <row r="644">
      <c r="C644" s="8"/>
      <c r="I644" s="8"/>
      <c r="J644" s="8"/>
    </row>
    <row r="645">
      <c r="C645" s="8"/>
      <c r="I645" s="8"/>
      <c r="J645" s="8"/>
    </row>
    <row r="646">
      <c r="C646" s="8"/>
      <c r="I646" s="8"/>
      <c r="J646" s="8"/>
    </row>
    <row r="647">
      <c r="C647" s="8"/>
      <c r="I647" s="8"/>
      <c r="J647" s="8"/>
    </row>
    <row r="648">
      <c r="C648" s="8"/>
      <c r="I648" s="8"/>
      <c r="J648" s="8"/>
    </row>
    <row r="649">
      <c r="C649" s="8"/>
      <c r="I649" s="8"/>
      <c r="J649" s="8"/>
    </row>
    <row r="650">
      <c r="C650" s="8"/>
      <c r="I650" s="8"/>
      <c r="J650" s="8"/>
    </row>
    <row r="651">
      <c r="C651" s="8"/>
      <c r="I651" s="8"/>
      <c r="J651" s="8"/>
    </row>
    <row r="652">
      <c r="C652" s="8"/>
      <c r="I652" s="8"/>
      <c r="J652" s="8"/>
    </row>
    <row r="653">
      <c r="C653" s="8"/>
      <c r="I653" s="8"/>
      <c r="J653" s="8"/>
    </row>
    <row r="654">
      <c r="C654" s="8"/>
      <c r="I654" s="8"/>
      <c r="J654" s="8"/>
    </row>
    <row r="655">
      <c r="C655" s="8"/>
      <c r="I655" s="8"/>
      <c r="J655" s="8"/>
    </row>
    <row r="656">
      <c r="C656" s="8"/>
      <c r="I656" s="8"/>
      <c r="J656" s="8"/>
    </row>
    <row r="657">
      <c r="C657" s="8"/>
      <c r="I657" s="8"/>
      <c r="J657" s="8"/>
    </row>
    <row r="658">
      <c r="C658" s="8"/>
      <c r="I658" s="8"/>
      <c r="J658" s="8"/>
    </row>
    <row r="659">
      <c r="C659" s="8"/>
      <c r="I659" s="8"/>
      <c r="J659" s="8"/>
    </row>
    <row r="660">
      <c r="C660" s="8"/>
      <c r="I660" s="8"/>
      <c r="J660" s="8"/>
    </row>
    <row r="661">
      <c r="C661" s="8"/>
      <c r="I661" s="8"/>
      <c r="J661" s="8"/>
    </row>
    <row r="662">
      <c r="C662" s="8"/>
      <c r="I662" s="8"/>
      <c r="J662" s="8"/>
    </row>
    <row r="663">
      <c r="C663" s="8"/>
      <c r="I663" s="8"/>
      <c r="J663" s="8"/>
    </row>
    <row r="664">
      <c r="C664" s="8"/>
      <c r="I664" s="8"/>
      <c r="J664" s="8"/>
    </row>
    <row r="665">
      <c r="C665" s="8"/>
      <c r="I665" s="8"/>
      <c r="J665" s="8"/>
    </row>
    <row r="666">
      <c r="C666" s="8"/>
      <c r="I666" s="8"/>
      <c r="J666" s="8"/>
    </row>
    <row r="667">
      <c r="C667" s="8"/>
      <c r="I667" s="8"/>
      <c r="J667" s="8"/>
    </row>
    <row r="668">
      <c r="C668" s="8"/>
      <c r="I668" s="8"/>
      <c r="J668" s="8"/>
    </row>
    <row r="669">
      <c r="C669" s="8"/>
      <c r="I669" s="8"/>
      <c r="J669" s="8"/>
    </row>
    <row r="670">
      <c r="C670" s="8"/>
      <c r="I670" s="8"/>
      <c r="J670" s="8"/>
    </row>
    <row r="671">
      <c r="C671" s="8"/>
      <c r="I671" s="8"/>
      <c r="J671" s="8"/>
    </row>
    <row r="672">
      <c r="C672" s="8"/>
      <c r="I672" s="8"/>
      <c r="J672" s="8"/>
    </row>
    <row r="673">
      <c r="C673" s="8"/>
      <c r="I673" s="8"/>
      <c r="J673" s="8"/>
    </row>
    <row r="674">
      <c r="C674" s="8"/>
      <c r="I674" s="8"/>
      <c r="J674" s="8"/>
    </row>
    <row r="675">
      <c r="C675" s="8"/>
      <c r="I675" s="8"/>
      <c r="J675" s="8"/>
    </row>
    <row r="676">
      <c r="C676" s="8"/>
      <c r="I676" s="8"/>
      <c r="J676" s="8"/>
    </row>
    <row r="677">
      <c r="C677" s="8"/>
      <c r="I677" s="8"/>
      <c r="J677" s="8"/>
    </row>
    <row r="678">
      <c r="C678" s="8"/>
      <c r="I678" s="8"/>
      <c r="J678" s="8"/>
    </row>
    <row r="679">
      <c r="C679" s="8"/>
      <c r="I679" s="8"/>
      <c r="J679" s="8"/>
    </row>
    <row r="680">
      <c r="C680" s="8"/>
      <c r="I680" s="8"/>
      <c r="J680" s="8"/>
    </row>
    <row r="681">
      <c r="C681" s="8"/>
      <c r="I681" s="8"/>
      <c r="J681" s="8"/>
    </row>
    <row r="682">
      <c r="C682" s="8"/>
      <c r="I682" s="8"/>
      <c r="J682" s="8"/>
    </row>
    <row r="683">
      <c r="C683" s="8"/>
      <c r="I683" s="8"/>
      <c r="J683" s="8"/>
    </row>
    <row r="684">
      <c r="C684" s="8"/>
      <c r="I684" s="8"/>
      <c r="J684" s="8"/>
    </row>
    <row r="685">
      <c r="C685" s="8"/>
      <c r="I685" s="8"/>
      <c r="J685" s="8"/>
    </row>
    <row r="686">
      <c r="C686" s="8"/>
      <c r="I686" s="8"/>
      <c r="J686" s="8"/>
    </row>
    <row r="687">
      <c r="C687" s="8"/>
      <c r="I687" s="8"/>
      <c r="J687" s="8"/>
    </row>
    <row r="688">
      <c r="C688" s="8"/>
      <c r="I688" s="8"/>
      <c r="J688" s="8"/>
    </row>
    <row r="689">
      <c r="C689" s="8"/>
      <c r="I689" s="8"/>
      <c r="J689" s="8"/>
    </row>
    <row r="690">
      <c r="C690" s="8"/>
      <c r="I690" s="8"/>
      <c r="J690" s="8"/>
    </row>
    <row r="691">
      <c r="C691" s="8"/>
      <c r="I691" s="8"/>
      <c r="J691" s="8"/>
    </row>
    <row r="692">
      <c r="C692" s="8"/>
      <c r="I692" s="8"/>
      <c r="J692" s="8"/>
    </row>
    <row r="693">
      <c r="C693" s="8"/>
      <c r="I693" s="8"/>
      <c r="J693" s="8"/>
    </row>
    <row r="694">
      <c r="C694" s="8"/>
      <c r="I694" s="8"/>
      <c r="J694" s="8"/>
    </row>
    <row r="695">
      <c r="C695" s="8"/>
      <c r="I695" s="8"/>
      <c r="J695" s="8"/>
    </row>
    <row r="696">
      <c r="C696" s="8"/>
      <c r="I696" s="8"/>
      <c r="J696" s="8"/>
    </row>
    <row r="697">
      <c r="C697" s="8"/>
      <c r="I697" s="8"/>
      <c r="J697" s="8"/>
    </row>
    <row r="698">
      <c r="C698" s="8"/>
      <c r="I698" s="8"/>
      <c r="J698" s="8"/>
    </row>
    <row r="699">
      <c r="C699" s="8"/>
      <c r="I699" s="8"/>
      <c r="J699" s="8"/>
    </row>
    <row r="700">
      <c r="C700" s="8"/>
      <c r="I700" s="8"/>
      <c r="J700" s="8"/>
    </row>
    <row r="701">
      <c r="C701" s="8"/>
      <c r="I701" s="8"/>
      <c r="J701" s="8"/>
    </row>
    <row r="702">
      <c r="C702" s="8"/>
      <c r="I702" s="8"/>
      <c r="J702" s="8"/>
    </row>
    <row r="703">
      <c r="C703" s="8"/>
      <c r="I703" s="8"/>
      <c r="J703" s="8"/>
    </row>
    <row r="704">
      <c r="C704" s="8"/>
      <c r="I704" s="8"/>
      <c r="J704" s="8"/>
    </row>
    <row r="705">
      <c r="C705" s="8"/>
      <c r="I705" s="8"/>
      <c r="J705" s="8"/>
    </row>
    <row r="706">
      <c r="C706" s="8"/>
      <c r="I706" s="8"/>
      <c r="J706" s="8"/>
    </row>
    <row r="707">
      <c r="C707" s="8"/>
      <c r="I707" s="8"/>
      <c r="J707" s="8"/>
    </row>
    <row r="708">
      <c r="C708" s="8"/>
      <c r="I708" s="8"/>
      <c r="J708" s="8"/>
    </row>
    <row r="709">
      <c r="C709" s="8"/>
      <c r="I709" s="8"/>
      <c r="J709" s="8"/>
    </row>
    <row r="710">
      <c r="C710" s="8"/>
      <c r="I710" s="8"/>
      <c r="J710" s="8"/>
    </row>
    <row r="711">
      <c r="C711" s="8"/>
      <c r="I711" s="8"/>
      <c r="J711" s="8"/>
    </row>
    <row r="712">
      <c r="C712" s="8"/>
      <c r="I712" s="8"/>
      <c r="J712" s="8"/>
    </row>
    <row r="713">
      <c r="C713" s="8"/>
      <c r="I713" s="8"/>
      <c r="J713" s="8"/>
    </row>
    <row r="714">
      <c r="C714" s="8"/>
      <c r="I714" s="8"/>
      <c r="J714" s="8"/>
    </row>
    <row r="715">
      <c r="C715" s="8"/>
      <c r="I715" s="8"/>
      <c r="J715" s="8"/>
    </row>
    <row r="716">
      <c r="C716" s="8"/>
      <c r="I716" s="8"/>
      <c r="J716" s="8"/>
    </row>
    <row r="717">
      <c r="C717" s="8"/>
      <c r="I717" s="8"/>
      <c r="J717" s="8"/>
    </row>
    <row r="718">
      <c r="C718" s="8"/>
      <c r="I718" s="8"/>
      <c r="J718" s="8"/>
    </row>
    <row r="719">
      <c r="C719" s="8"/>
      <c r="I719" s="8"/>
      <c r="J719" s="8"/>
    </row>
    <row r="720">
      <c r="C720" s="8"/>
      <c r="I720" s="8"/>
      <c r="J720" s="8"/>
    </row>
    <row r="721">
      <c r="C721" s="8"/>
      <c r="I721" s="8"/>
      <c r="J721" s="8"/>
    </row>
    <row r="722">
      <c r="C722" s="8"/>
      <c r="I722" s="8"/>
      <c r="J722" s="8"/>
    </row>
    <row r="723">
      <c r="C723" s="8"/>
      <c r="I723" s="8"/>
      <c r="J723" s="8"/>
    </row>
    <row r="724">
      <c r="C724" s="8"/>
      <c r="I724" s="8"/>
      <c r="J724" s="8"/>
    </row>
    <row r="725">
      <c r="C725" s="8"/>
      <c r="I725" s="8"/>
      <c r="J725" s="8"/>
    </row>
    <row r="726">
      <c r="C726" s="8"/>
      <c r="I726" s="8"/>
      <c r="J726" s="8"/>
    </row>
    <row r="727">
      <c r="C727" s="8"/>
      <c r="I727" s="8"/>
      <c r="J727" s="8"/>
    </row>
    <row r="728">
      <c r="C728" s="8"/>
      <c r="I728" s="8"/>
      <c r="J728" s="8"/>
    </row>
    <row r="729">
      <c r="C729" s="8"/>
      <c r="I729" s="8"/>
      <c r="J729" s="8"/>
    </row>
    <row r="730">
      <c r="C730" s="8"/>
      <c r="I730" s="8"/>
      <c r="J730" s="8"/>
    </row>
    <row r="731">
      <c r="C731" s="8"/>
      <c r="I731" s="8"/>
      <c r="J731" s="8"/>
    </row>
    <row r="732">
      <c r="C732" s="8"/>
      <c r="I732" s="8"/>
      <c r="J732" s="8"/>
    </row>
    <row r="733">
      <c r="C733" s="8"/>
      <c r="I733" s="8"/>
      <c r="J733" s="8"/>
    </row>
    <row r="734">
      <c r="C734" s="8"/>
      <c r="I734" s="8"/>
      <c r="J734" s="8"/>
    </row>
    <row r="735">
      <c r="C735" s="8"/>
      <c r="I735" s="8"/>
      <c r="J735" s="8"/>
    </row>
    <row r="736">
      <c r="C736" s="8"/>
      <c r="I736" s="8"/>
      <c r="J736" s="8"/>
    </row>
    <row r="737">
      <c r="C737" s="8"/>
      <c r="I737" s="8"/>
      <c r="J737" s="8"/>
    </row>
    <row r="738">
      <c r="C738" s="8"/>
      <c r="I738" s="8"/>
      <c r="J738" s="8"/>
    </row>
    <row r="739">
      <c r="C739" s="8"/>
      <c r="I739" s="8"/>
      <c r="J739" s="8"/>
    </row>
    <row r="740">
      <c r="C740" s="8"/>
      <c r="I740" s="8"/>
      <c r="J740" s="8"/>
    </row>
    <row r="741">
      <c r="C741" s="8"/>
      <c r="I741" s="8"/>
      <c r="J741" s="8"/>
    </row>
    <row r="742">
      <c r="C742" s="8"/>
      <c r="I742" s="8"/>
      <c r="J742" s="8"/>
    </row>
    <row r="743">
      <c r="C743" s="8"/>
      <c r="I743" s="8"/>
      <c r="J743" s="8"/>
    </row>
    <row r="744">
      <c r="C744" s="8"/>
      <c r="I744" s="8"/>
      <c r="J744" s="8"/>
    </row>
    <row r="745">
      <c r="C745" s="8"/>
      <c r="I745" s="8"/>
      <c r="J745" s="8"/>
    </row>
    <row r="746">
      <c r="C746" s="8"/>
      <c r="I746" s="8"/>
      <c r="J746" s="8"/>
    </row>
    <row r="747">
      <c r="C747" s="8"/>
      <c r="I747" s="8"/>
      <c r="J747" s="8"/>
    </row>
    <row r="748">
      <c r="C748" s="8"/>
      <c r="I748" s="8"/>
      <c r="J748" s="8"/>
    </row>
    <row r="749">
      <c r="C749" s="8"/>
      <c r="I749" s="8"/>
      <c r="J749" s="8"/>
    </row>
    <row r="750">
      <c r="C750" s="8"/>
      <c r="I750" s="8"/>
      <c r="J750" s="8"/>
    </row>
    <row r="751">
      <c r="C751" s="8"/>
      <c r="I751" s="8"/>
      <c r="J751" s="8"/>
    </row>
    <row r="752">
      <c r="C752" s="8"/>
      <c r="I752" s="8"/>
      <c r="J752" s="8"/>
    </row>
    <row r="753">
      <c r="C753" s="8"/>
      <c r="I753" s="8"/>
      <c r="J753" s="8"/>
    </row>
    <row r="754">
      <c r="C754" s="8"/>
      <c r="I754" s="8"/>
      <c r="J754" s="8"/>
    </row>
    <row r="755">
      <c r="C755" s="8"/>
      <c r="I755" s="8"/>
      <c r="J755" s="8"/>
    </row>
    <row r="756">
      <c r="C756" s="8"/>
      <c r="I756" s="8"/>
      <c r="J756" s="8"/>
    </row>
    <row r="757">
      <c r="C757" s="8"/>
      <c r="I757" s="8"/>
      <c r="J757" s="8"/>
    </row>
    <row r="758">
      <c r="C758" s="8"/>
      <c r="I758" s="8"/>
      <c r="J758" s="8"/>
    </row>
    <row r="759">
      <c r="C759" s="8"/>
      <c r="I759" s="8"/>
      <c r="J759" s="8"/>
    </row>
    <row r="760">
      <c r="C760" s="8"/>
      <c r="I760" s="8"/>
      <c r="J760" s="8"/>
    </row>
    <row r="761">
      <c r="C761" s="8"/>
      <c r="I761" s="8"/>
      <c r="J761" s="8"/>
    </row>
    <row r="762">
      <c r="C762" s="8"/>
      <c r="I762" s="8"/>
      <c r="J762" s="8"/>
    </row>
    <row r="763">
      <c r="C763" s="8"/>
      <c r="I763" s="8"/>
      <c r="J763" s="8"/>
    </row>
    <row r="764">
      <c r="C764" s="8"/>
      <c r="I764" s="8"/>
      <c r="J764" s="8"/>
    </row>
    <row r="765">
      <c r="C765" s="8"/>
      <c r="I765" s="8"/>
      <c r="J765" s="8"/>
    </row>
    <row r="766">
      <c r="C766" s="8"/>
      <c r="I766" s="8"/>
      <c r="J766" s="8"/>
    </row>
    <row r="767">
      <c r="C767" s="8"/>
      <c r="I767" s="8"/>
      <c r="J767" s="8"/>
    </row>
    <row r="768">
      <c r="C768" s="8"/>
      <c r="I768" s="8"/>
      <c r="J768" s="8"/>
    </row>
    <row r="769">
      <c r="C769" s="8"/>
      <c r="I769" s="8"/>
      <c r="J769" s="8"/>
    </row>
    <row r="770">
      <c r="C770" s="8"/>
      <c r="I770" s="8"/>
      <c r="J770" s="8"/>
    </row>
    <row r="771">
      <c r="C771" s="8"/>
      <c r="I771" s="8"/>
      <c r="J771" s="8"/>
    </row>
    <row r="772">
      <c r="C772" s="8"/>
      <c r="I772" s="8"/>
      <c r="J772" s="8"/>
    </row>
    <row r="773">
      <c r="C773" s="8"/>
      <c r="I773" s="8"/>
      <c r="J773" s="8"/>
    </row>
    <row r="774">
      <c r="C774" s="8"/>
      <c r="I774" s="8"/>
      <c r="J774" s="8"/>
    </row>
    <row r="775">
      <c r="C775" s="8"/>
      <c r="I775" s="8"/>
      <c r="J775" s="8"/>
    </row>
    <row r="776">
      <c r="C776" s="8"/>
      <c r="I776" s="8"/>
      <c r="J776" s="8"/>
    </row>
    <row r="777">
      <c r="C777" s="8"/>
      <c r="I777" s="8"/>
      <c r="J777" s="8"/>
    </row>
    <row r="778">
      <c r="C778" s="8"/>
      <c r="I778" s="8"/>
      <c r="J778" s="8"/>
    </row>
    <row r="779">
      <c r="C779" s="8"/>
      <c r="I779" s="8"/>
      <c r="J779" s="8"/>
    </row>
    <row r="780">
      <c r="C780" s="8"/>
      <c r="I780" s="8"/>
      <c r="J780" s="8"/>
    </row>
    <row r="781">
      <c r="C781" s="8"/>
      <c r="I781" s="8"/>
      <c r="J781" s="8"/>
    </row>
    <row r="782">
      <c r="C782" s="8"/>
      <c r="I782" s="8"/>
      <c r="J782" s="8"/>
    </row>
    <row r="783">
      <c r="C783" s="8"/>
      <c r="I783" s="8"/>
      <c r="J783" s="8"/>
    </row>
    <row r="784">
      <c r="C784" s="8"/>
      <c r="I784" s="8"/>
      <c r="J784" s="8"/>
    </row>
    <row r="785">
      <c r="C785" s="8"/>
      <c r="I785" s="8"/>
      <c r="J785" s="8"/>
    </row>
    <row r="786">
      <c r="C786" s="8"/>
      <c r="I786" s="8"/>
      <c r="J786" s="8"/>
    </row>
    <row r="787">
      <c r="C787" s="8"/>
      <c r="I787" s="8"/>
      <c r="J787" s="8"/>
    </row>
    <row r="788">
      <c r="C788" s="8"/>
      <c r="I788" s="8"/>
      <c r="J788" s="8"/>
    </row>
    <row r="789">
      <c r="C789" s="8"/>
      <c r="I789" s="8"/>
      <c r="J789" s="8"/>
    </row>
    <row r="790">
      <c r="C790" s="8"/>
      <c r="I790" s="8"/>
      <c r="J790" s="8"/>
    </row>
    <row r="791">
      <c r="C791" s="8"/>
      <c r="I791" s="8"/>
      <c r="J791" s="8"/>
    </row>
    <row r="792">
      <c r="C792" s="8"/>
      <c r="I792" s="8"/>
      <c r="J792" s="8"/>
    </row>
    <row r="793">
      <c r="C793" s="8"/>
      <c r="I793" s="8"/>
      <c r="J793" s="8"/>
    </row>
    <row r="794">
      <c r="C794" s="8"/>
      <c r="I794" s="8"/>
      <c r="J794" s="8"/>
    </row>
    <row r="795">
      <c r="C795" s="8"/>
      <c r="I795" s="8"/>
      <c r="J795" s="8"/>
    </row>
    <row r="796">
      <c r="C796" s="8"/>
      <c r="I796" s="8"/>
      <c r="J796" s="8"/>
    </row>
    <row r="797">
      <c r="C797" s="8"/>
      <c r="I797" s="8"/>
      <c r="J797" s="8"/>
    </row>
    <row r="798">
      <c r="C798" s="8"/>
      <c r="I798" s="8"/>
      <c r="J798" s="8"/>
    </row>
    <row r="799">
      <c r="C799" s="8"/>
      <c r="I799" s="8"/>
      <c r="J799" s="8"/>
    </row>
    <row r="800">
      <c r="C800" s="8"/>
      <c r="I800" s="8"/>
      <c r="J800" s="8"/>
    </row>
    <row r="801">
      <c r="C801" s="8"/>
      <c r="I801" s="8"/>
      <c r="J801" s="8"/>
    </row>
    <row r="802">
      <c r="C802" s="8"/>
      <c r="I802" s="8"/>
      <c r="J802" s="8"/>
    </row>
    <row r="803">
      <c r="C803" s="8"/>
      <c r="I803" s="8"/>
      <c r="J803" s="8"/>
    </row>
    <row r="804">
      <c r="C804" s="8"/>
      <c r="I804" s="8"/>
      <c r="J804" s="8"/>
    </row>
    <row r="805">
      <c r="C805" s="8"/>
      <c r="I805" s="8"/>
      <c r="J805" s="8"/>
    </row>
    <row r="806">
      <c r="C806" s="8"/>
      <c r="I806" s="8"/>
      <c r="J806" s="8"/>
    </row>
    <row r="807">
      <c r="C807" s="8"/>
      <c r="I807" s="8"/>
      <c r="J807" s="8"/>
    </row>
    <row r="808">
      <c r="C808" s="8"/>
      <c r="I808" s="8"/>
      <c r="J808" s="8"/>
    </row>
    <row r="809">
      <c r="C809" s="8"/>
      <c r="I809" s="8"/>
      <c r="J809" s="8"/>
    </row>
    <row r="810">
      <c r="C810" s="8"/>
      <c r="I810" s="8"/>
      <c r="J810" s="8"/>
    </row>
    <row r="811">
      <c r="C811" s="8"/>
      <c r="I811" s="8"/>
      <c r="J811" s="8"/>
    </row>
    <row r="812">
      <c r="C812" s="8"/>
      <c r="I812" s="8"/>
      <c r="J812" s="8"/>
    </row>
    <row r="813">
      <c r="C813" s="8"/>
      <c r="I813" s="8"/>
      <c r="J813" s="8"/>
    </row>
    <row r="814">
      <c r="C814" s="8"/>
      <c r="I814" s="8"/>
      <c r="J814" s="8"/>
    </row>
    <row r="815">
      <c r="C815" s="8"/>
      <c r="I815" s="8"/>
      <c r="J815" s="8"/>
    </row>
    <row r="816">
      <c r="C816" s="8"/>
      <c r="I816" s="8"/>
      <c r="J816" s="8"/>
    </row>
    <row r="817">
      <c r="C817" s="8"/>
      <c r="I817" s="8"/>
      <c r="J817" s="8"/>
    </row>
    <row r="818">
      <c r="C818" s="8"/>
      <c r="I818" s="8"/>
      <c r="J818" s="8"/>
    </row>
    <row r="819">
      <c r="C819" s="8"/>
      <c r="I819" s="8"/>
      <c r="J819" s="8"/>
    </row>
    <row r="820">
      <c r="C820" s="8"/>
      <c r="I820" s="8"/>
      <c r="J820" s="8"/>
    </row>
    <row r="821">
      <c r="C821" s="8"/>
      <c r="I821" s="8"/>
      <c r="J821" s="8"/>
    </row>
    <row r="822">
      <c r="C822" s="8"/>
      <c r="I822" s="8"/>
      <c r="J822" s="8"/>
    </row>
    <row r="823">
      <c r="C823" s="8"/>
      <c r="I823" s="8"/>
      <c r="J823" s="8"/>
    </row>
    <row r="824">
      <c r="C824" s="8"/>
      <c r="I824" s="8"/>
      <c r="J824" s="8"/>
    </row>
    <row r="825">
      <c r="C825" s="8"/>
      <c r="I825" s="8"/>
      <c r="J825" s="8"/>
    </row>
    <row r="826">
      <c r="C826" s="8"/>
      <c r="I826" s="8"/>
      <c r="J826" s="8"/>
    </row>
    <row r="827">
      <c r="C827" s="8"/>
      <c r="I827" s="8"/>
      <c r="J827" s="8"/>
    </row>
    <row r="828">
      <c r="C828" s="8"/>
      <c r="I828" s="8"/>
      <c r="J828" s="8"/>
    </row>
    <row r="829">
      <c r="C829" s="8"/>
      <c r="I829" s="8"/>
      <c r="J829" s="8"/>
    </row>
    <row r="830">
      <c r="C830" s="8"/>
      <c r="I830" s="8"/>
      <c r="J830" s="8"/>
    </row>
    <row r="831">
      <c r="C831" s="8"/>
      <c r="I831" s="8"/>
      <c r="J831" s="8"/>
    </row>
    <row r="832">
      <c r="C832" s="8"/>
      <c r="I832" s="8"/>
      <c r="J832" s="8"/>
    </row>
    <row r="833">
      <c r="C833" s="8"/>
      <c r="I833" s="8"/>
      <c r="J833" s="8"/>
    </row>
    <row r="834">
      <c r="C834" s="8"/>
      <c r="I834" s="8"/>
      <c r="J834" s="8"/>
    </row>
    <row r="835">
      <c r="C835" s="8"/>
      <c r="I835" s="8"/>
      <c r="J835" s="8"/>
    </row>
    <row r="836">
      <c r="C836" s="8"/>
      <c r="I836" s="8"/>
      <c r="J836" s="8"/>
    </row>
    <row r="837">
      <c r="C837" s="8"/>
      <c r="I837" s="8"/>
      <c r="J837" s="8"/>
    </row>
    <row r="838">
      <c r="C838" s="8"/>
      <c r="I838" s="8"/>
      <c r="J838" s="8"/>
    </row>
    <row r="839">
      <c r="C839" s="8"/>
      <c r="I839" s="8"/>
      <c r="J839" s="8"/>
    </row>
    <row r="840">
      <c r="C840" s="8"/>
      <c r="I840" s="8"/>
      <c r="J840" s="8"/>
    </row>
    <row r="841">
      <c r="C841" s="8"/>
      <c r="I841" s="8"/>
      <c r="J841" s="8"/>
    </row>
    <row r="842">
      <c r="C842" s="8"/>
      <c r="I842" s="8"/>
      <c r="J842" s="8"/>
    </row>
    <row r="843">
      <c r="C843" s="8"/>
      <c r="I843" s="8"/>
      <c r="J843" s="8"/>
    </row>
    <row r="844">
      <c r="C844" s="8"/>
      <c r="I844" s="8"/>
      <c r="J844" s="8"/>
    </row>
    <row r="845">
      <c r="C845" s="8"/>
      <c r="I845" s="8"/>
      <c r="J845" s="8"/>
    </row>
    <row r="846">
      <c r="C846" s="8"/>
      <c r="I846" s="8"/>
      <c r="J846" s="8"/>
    </row>
    <row r="847">
      <c r="C847" s="8"/>
      <c r="I847" s="8"/>
      <c r="J847" s="8"/>
    </row>
    <row r="848">
      <c r="C848" s="8"/>
      <c r="I848" s="8"/>
      <c r="J848" s="8"/>
    </row>
    <row r="849">
      <c r="C849" s="8"/>
      <c r="I849" s="8"/>
      <c r="J849" s="8"/>
    </row>
    <row r="850">
      <c r="C850" s="8"/>
      <c r="I850" s="8"/>
      <c r="J850" s="8"/>
    </row>
    <row r="851">
      <c r="C851" s="8"/>
      <c r="I851" s="8"/>
      <c r="J851" s="8"/>
    </row>
    <row r="852">
      <c r="C852" s="8"/>
      <c r="I852" s="8"/>
      <c r="J852" s="8"/>
    </row>
    <row r="853">
      <c r="C853" s="8"/>
      <c r="I853" s="8"/>
      <c r="J853" s="8"/>
    </row>
    <row r="854">
      <c r="C854" s="8"/>
      <c r="I854" s="8"/>
      <c r="J854" s="8"/>
    </row>
    <row r="855">
      <c r="C855" s="8"/>
      <c r="I855" s="8"/>
      <c r="J855" s="8"/>
    </row>
    <row r="856">
      <c r="C856" s="8"/>
      <c r="I856" s="8"/>
      <c r="J856" s="8"/>
    </row>
    <row r="857">
      <c r="C857" s="8"/>
      <c r="I857" s="8"/>
      <c r="J857" s="8"/>
    </row>
    <row r="858">
      <c r="C858" s="8"/>
      <c r="I858" s="8"/>
      <c r="J858" s="8"/>
    </row>
    <row r="859">
      <c r="C859" s="8"/>
      <c r="I859" s="8"/>
      <c r="J859" s="8"/>
    </row>
    <row r="860">
      <c r="C860" s="8"/>
      <c r="I860" s="8"/>
      <c r="J860" s="8"/>
    </row>
    <row r="861">
      <c r="C861" s="8"/>
      <c r="I861" s="8"/>
      <c r="J861" s="8"/>
    </row>
    <row r="862">
      <c r="C862" s="8"/>
      <c r="I862" s="8"/>
      <c r="J862" s="8"/>
    </row>
    <row r="863">
      <c r="C863" s="8"/>
      <c r="I863" s="8"/>
      <c r="J863" s="8"/>
    </row>
    <row r="864">
      <c r="C864" s="8"/>
      <c r="I864" s="8"/>
      <c r="J864" s="8"/>
    </row>
    <row r="865">
      <c r="C865" s="8"/>
      <c r="I865" s="8"/>
      <c r="J865" s="8"/>
    </row>
    <row r="866">
      <c r="C866" s="8"/>
      <c r="I866" s="8"/>
      <c r="J866" s="8"/>
    </row>
    <row r="867">
      <c r="C867" s="8"/>
      <c r="I867" s="8"/>
      <c r="J867" s="8"/>
    </row>
    <row r="868">
      <c r="C868" s="8"/>
      <c r="I868" s="8"/>
      <c r="J868" s="8"/>
    </row>
    <row r="869">
      <c r="C869" s="8"/>
      <c r="I869" s="8"/>
      <c r="J869" s="8"/>
    </row>
    <row r="870">
      <c r="C870" s="8"/>
      <c r="I870" s="8"/>
      <c r="J870" s="8"/>
    </row>
    <row r="871">
      <c r="C871" s="8"/>
      <c r="I871" s="8"/>
      <c r="J871" s="8"/>
    </row>
    <row r="872">
      <c r="C872" s="8"/>
      <c r="I872" s="8"/>
      <c r="J872" s="8"/>
    </row>
    <row r="873">
      <c r="C873" s="8"/>
      <c r="I873" s="8"/>
      <c r="J873" s="8"/>
    </row>
    <row r="874">
      <c r="C874" s="8"/>
      <c r="I874" s="8"/>
      <c r="J874" s="8"/>
    </row>
    <row r="875">
      <c r="C875" s="8"/>
      <c r="I875" s="8"/>
      <c r="J875" s="8"/>
    </row>
    <row r="876">
      <c r="C876" s="8"/>
      <c r="I876" s="8"/>
      <c r="J876" s="8"/>
    </row>
    <row r="877">
      <c r="C877" s="8"/>
      <c r="I877" s="8"/>
      <c r="J877" s="8"/>
    </row>
    <row r="878">
      <c r="C878" s="8"/>
      <c r="I878" s="8"/>
      <c r="J878" s="8"/>
    </row>
    <row r="879">
      <c r="C879" s="8"/>
      <c r="I879" s="8"/>
      <c r="J879" s="8"/>
    </row>
    <row r="880">
      <c r="C880" s="8"/>
      <c r="I880" s="8"/>
      <c r="J880" s="8"/>
    </row>
    <row r="881">
      <c r="C881" s="8"/>
      <c r="I881" s="8"/>
      <c r="J881" s="8"/>
    </row>
    <row r="882">
      <c r="C882" s="8"/>
      <c r="I882" s="8"/>
      <c r="J882" s="8"/>
    </row>
    <row r="883">
      <c r="C883" s="8"/>
      <c r="I883" s="8"/>
      <c r="J883" s="8"/>
    </row>
    <row r="884">
      <c r="C884" s="8"/>
      <c r="I884" s="8"/>
      <c r="J884" s="8"/>
    </row>
    <row r="885">
      <c r="C885" s="8"/>
      <c r="I885" s="8"/>
      <c r="J885" s="8"/>
    </row>
    <row r="886">
      <c r="C886" s="8"/>
      <c r="I886" s="8"/>
      <c r="J886" s="8"/>
    </row>
    <row r="887">
      <c r="C887" s="8"/>
      <c r="I887" s="8"/>
      <c r="J887" s="8"/>
    </row>
    <row r="888">
      <c r="C888" s="8"/>
      <c r="I888" s="8"/>
      <c r="J888" s="8"/>
    </row>
    <row r="889">
      <c r="C889" s="8"/>
      <c r="I889" s="8"/>
      <c r="J889" s="8"/>
    </row>
    <row r="890">
      <c r="C890" s="8"/>
      <c r="I890" s="8"/>
      <c r="J890" s="8"/>
    </row>
    <row r="891">
      <c r="C891" s="8"/>
      <c r="I891" s="8"/>
      <c r="J891" s="8"/>
    </row>
    <row r="892">
      <c r="C892" s="8"/>
      <c r="I892" s="8"/>
      <c r="J892" s="8"/>
    </row>
    <row r="893">
      <c r="C893" s="8"/>
      <c r="I893" s="8"/>
      <c r="J893" s="8"/>
    </row>
    <row r="894">
      <c r="C894" s="8"/>
      <c r="I894" s="8"/>
      <c r="J894" s="8"/>
    </row>
    <row r="895">
      <c r="C895" s="8"/>
      <c r="I895" s="8"/>
      <c r="J895" s="8"/>
    </row>
    <row r="896">
      <c r="C896" s="8"/>
      <c r="I896" s="8"/>
      <c r="J896" s="8"/>
    </row>
    <row r="897">
      <c r="C897" s="8"/>
      <c r="I897" s="8"/>
      <c r="J897" s="8"/>
    </row>
    <row r="898">
      <c r="C898" s="8"/>
      <c r="I898" s="8"/>
      <c r="J898" s="8"/>
    </row>
    <row r="899">
      <c r="C899" s="8"/>
      <c r="I899" s="8"/>
      <c r="J899" s="8"/>
    </row>
    <row r="900">
      <c r="C900" s="8"/>
      <c r="I900" s="8"/>
      <c r="J900" s="8"/>
    </row>
    <row r="901">
      <c r="C901" s="8"/>
      <c r="I901" s="8"/>
      <c r="J901" s="8"/>
    </row>
    <row r="902">
      <c r="C902" s="8"/>
      <c r="I902" s="8"/>
      <c r="J902" s="8"/>
    </row>
    <row r="903">
      <c r="C903" s="8"/>
      <c r="I903" s="8"/>
      <c r="J903" s="8"/>
    </row>
    <row r="904">
      <c r="C904" s="8"/>
      <c r="I904" s="8"/>
      <c r="J904" s="8"/>
    </row>
    <row r="905">
      <c r="C905" s="8"/>
      <c r="I905" s="8"/>
      <c r="J905" s="8"/>
    </row>
    <row r="906">
      <c r="C906" s="8"/>
      <c r="I906" s="8"/>
      <c r="J906" s="8"/>
    </row>
    <row r="907">
      <c r="C907" s="8"/>
      <c r="I907" s="8"/>
      <c r="J907" s="8"/>
    </row>
    <row r="908">
      <c r="C908" s="8"/>
      <c r="I908" s="8"/>
      <c r="J908" s="8"/>
    </row>
    <row r="909">
      <c r="C909" s="8"/>
      <c r="I909" s="8"/>
      <c r="J909" s="8"/>
    </row>
    <row r="910">
      <c r="C910" s="8"/>
      <c r="I910" s="8"/>
      <c r="J910" s="8"/>
    </row>
    <row r="911">
      <c r="C911" s="8"/>
      <c r="I911" s="8"/>
      <c r="J911" s="8"/>
    </row>
    <row r="912">
      <c r="C912" s="8"/>
      <c r="I912" s="8"/>
      <c r="J912" s="8"/>
    </row>
    <row r="913">
      <c r="C913" s="8"/>
      <c r="I913" s="8"/>
      <c r="J913" s="8"/>
    </row>
    <row r="914">
      <c r="C914" s="8"/>
      <c r="I914" s="8"/>
      <c r="J914" s="8"/>
    </row>
    <row r="915">
      <c r="C915" s="8"/>
      <c r="I915" s="8"/>
      <c r="J915" s="8"/>
    </row>
    <row r="916">
      <c r="C916" s="8"/>
      <c r="I916" s="8"/>
      <c r="J916" s="8"/>
    </row>
    <row r="917">
      <c r="C917" s="8"/>
      <c r="I917" s="8"/>
      <c r="J917" s="8"/>
    </row>
    <row r="918">
      <c r="C918" s="8"/>
      <c r="I918" s="8"/>
      <c r="J918" s="8"/>
    </row>
    <row r="919">
      <c r="C919" s="8"/>
      <c r="I919" s="8"/>
      <c r="J919" s="8"/>
    </row>
    <row r="920">
      <c r="C920" s="8"/>
      <c r="I920" s="8"/>
      <c r="J920" s="8"/>
    </row>
    <row r="921">
      <c r="C921" s="8"/>
      <c r="I921" s="8"/>
      <c r="J921" s="8"/>
    </row>
    <row r="922">
      <c r="C922" s="8"/>
      <c r="I922" s="8"/>
      <c r="J922" s="8"/>
    </row>
    <row r="923">
      <c r="C923" s="8"/>
      <c r="I923" s="8"/>
      <c r="J923" s="8"/>
    </row>
    <row r="924">
      <c r="C924" s="8"/>
      <c r="I924" s="8"/>
      <c r="J924" s="8"/>
    </row>
    <row r="925">
      <c r="C925" s="8"/>
      <c r="I925" s="8"/>
      <c r="J925" s="8"/>
    </row>
    <row r="926">
      <c r="C926" s="8"/>
      <c r="I926" s="8"/>
      <c r="J926" s="8"/>
    </row>
    <row r="927">
      <c r="C927" s="8"/>
      <c r="I927" s="8"/>
      <c r="J927" s="8"/>
    </row>
    <row r="928">
      <c r="C928" s="8"/>
      <c r="I928" s="8"/>
      <c r="J928" s="8"/>
    </row>
    <row r="929">
      <c r="C929" s="8"/>
      <c r="I929" s="8"/>
      <c r="J929" s="8"/>
    </row>
    <row r="930">
      <c r="C930" s="8"/>
      <c r="I930" s="8"/>
      <c r="J930" s="8"/>
    </row>
    <row r="931">
      <c r="C931" s="8"/>
      <c r="I931" s="8"/>
      <c r="J931" s="8"/>
    </row>
    <row r="932">
      <c r="C932" s="8"/>
      <c r="I932" s="8"/>
      <c r="J932" s="8"/>
    </row>
    <row r="933">
      <c r="C933" s="8"/>
      <c r="I933" s="8"/>
      <c r="J933" s="8"/>
    </row>
    <row r="934">
      <c r="C934" s="8"/>
      <c r="I934" s="8"/>
      <c r="J934" s="8"/>
    </row>
    <row r="935">
      <c r="C935" s="8"/>
      <c r="I935" s="8"/>
      <c r="J935" s="8"/>
    </row>
    <row r="936">
      <c r="C936" s="8"/>
      <c r="I936" s="8"/>
      <c r="J936" s="8"/>
    </row>
    <row r="937">
      <c r="C937" s="8"/>
      <c r="I937" s="8"/>
      <c r="J937" s="8"/>
    </row>
    <row r="938">
      <c r="C938" s="8"/>
      <c r="I938" s="8"/>
      <c r="J938" s="8"/>
    </row>
    <row r="939">
      <c r="C939" s="8"/>
      <c r="I939" s="8"/>
      <c r="J939" s="8"/>
    </row>
    <row r="940">
      <c r="C940" s="8"/>
      <c r="I940" s="8"/>
      <c r="J940" s="8"/>
    </row>
    <row r="941">
      <c r="C941" s="8"/>
      <c r="I941" s="8"/>
      <c r="J941" s="8"/>
    </row>
    <row r="942">
      <c r="C942" s="8"/>
      <c r="I942" s="8"/>
      <c r="J942" s="8"/>
    </row>
    <row r="943">
      <c r="C943" s="8"/>
      <c r="I943" s="8"/>
      <c r="J943" s="8"/>
    </row>
    <row r="944">
      <c r="C944" s="8"/>
      <c r="I944" s="8"/>
      <c r="J944" s="8"/>
    </row>
    <row r="945">
      <c r="C945" s="8"/>
      <c r="I945" s="8"/>
      <c r="J945" s="8"/>
    </row>
    <row r="946">
      <c r="C946" s="8"/>
      <c r="I946" s="8"/>
      <c r="J946" s="8"/>
    </row>
    <row r="947">
      <c r="C947" s="8"/>
      <c r="I947" s="8"/>
      <c r="J947" s="8"/>
    </row>
    <row r="948">
      <c r="C948" s="8"/>
      <c r="I948" s="8"/>
      <c r="J948" s="8"/>
    </row>
    <row r="949">
      <c r="C949" s="8"/>
      <c r="I949" s="8"/>
      <c r="J949" s="8"/>
    </row>
    <row r="950">
      <c r="C950" s="8"/>
      <c r="I950" s="8"/>
      <c r="J950" s="8"/>
    </row>
    <row r="951">
      <c r="C951" s="8"/>
      <c r="I951" s="8"/>
      <c r="J951" s="8"/>
    </row>
    <row r="952">
      <c r="C952" s="8"/>
      <c r="I952" s="8"/>
      <c r="J952" s="8"/>
    </row>
    <row r="953">
      <c r="C953" s="8"/>
      <c r="I953" s="8"/>
      <c r="J953" s="8"/>
    </row>
    <row r="954">
      <c r="C954" s="8"/>
      <c r="I954" s="8"/>
      <c r="J954" s="8"/>
    </row>
    <row r="955">
      <c r="C955" s="8"/>
      <c r="I955" s="8"/>
      <c r="J955" s="8"/>
    </row>
    <row r="956">
      <c r="C956" s="8"/>
      <c r="I956" s="8"/>
      <c r="J956" s="8"/>
    </row>
    <row r="957">
      <c r="C957" s="8"/>
      <c r="I957" s="8"/>
      <c r="J957" s="8"/>
    </row>
    <row r="958">
      <c r="C958" s="8"/>
      <c r="I958" s="8"/>
      <c r="J958" s="8"/>
    </row>
    <row r="959">
      <c r="C959" s="8"/>
      <c r="I959" s="8"/>
      <c r="J959" s="8"/>
    </row>
    <row r="960">
      <c r="C960" s="8"/>
      <c r="I960" s="8"/>
      <c r="J960" s="8"/>
    </row>
    <row r="961">
      <c r="C961" s="8"/>
      <c r="I961" s="8"/>
      <c r="J961" s="8"/>
    </row>
    <row r="962">
      <c r="C962" s="8"/>
      <c r="I962" s="8"/>
      <c r="J962" s="8"/>
    </row>
    <row r="963">
      <c r="C963" s="8"/>
      <c r="I963" s="8"/>
      <c r="J963" s="8"/>
    </row>
    <row r="964">
      <c r="C964" s="8"/>
      <c r="I964" s="8"/>
      <c r="J964" s="8"/>
    </row>
    <row r="965">
      <c r="C965" s="8"/>
      <c r="I965" s="8"/>
      <c r="J965" s="8"/>
    </row>
    <row r="966">
      <c r="C966" s="8"/>
      <c r="I966" s="8"/>
      <c r="J966" s="8"/>
    </row>
    <row r="967">
      <c r="C967" s="8"/>
      <c r="I967" s="8"/>
      <c r="J967" s="8"/>
    </row>
    <row r="968">
      <c r="C968" s="8"/>
      <c r="I968" s="8"/>
      <c r="J968" s="8"/>
    </row>
    <row r="969">
      <c r="C969" s="8"/>
      <c r="I969" s="8"/>
      <c r="J969" s="8"/>
    </row>
    <row r="970">
      <c r="C970" s="8"/>
      <c r="I970" s="8"/>
      <c r="J970" s="8"/>
    </row>
    <row r="971">
      <c r="C971" s="8"/>
      <c r="I971" s="8"/>
      <c r="J971" s="8"/>
    </row>
    <row r="972">
      <c r="C972" s="8"/>
      <c r="I972" s="8"/>
      <c r="J972" s="8"/>
    </row>
    <row r="973">
      <c r="C973" s="8"/>
      <c r="I973" s="8"/>
      <c r="J973" s="8"/>
    </row>
    <row r="974">
      <c r="C974" s="8"/>
      <c r="I974" s="8"/>
      <c r="J974" s="8"/>
    </row>
    <row r="975">
      <c r="C975" s="8"/>
      <c r="I975" s="8"/>
      <c r="J975" s="8"/>
    </row>
    <row r="976">
      <c r="C976" s="8"/>
      <c r="I976" s="8"/>
      <c r="J976" s="8"/>
    </row>
    <row r="977">
      <c r="C977" s="8"/>
      <c r="I977" s="8"/>
      <c r="J977" s="8"/>
    </row>
    <row r="978">
      <c r="C978" s="8"/>
      <c r="I978" s="8"/>
      <c r="J978" s="8"/>
    </row>
    <row r="979">
      <c r="C979" s="8"/>
      <c r="I979" s="8"/>
      <c r="J979" s="8"/>
    </row>
    <row r="980">
      <c r="C980" s="8"/>
      <c r="I980" s="8"/>
      <c r="J980" s="8"/>
    </row>
    <row r="981">
      <c r="C981" s="8"/>
      <c r="I981" s="8"/>
      <c r="J981" s="8"/>
    </row>
    <row r="982">
      <c r="C982" s="8"/>
      <c r="I982" s="8"/>
      <c r="J982" s="8"/>
    </row>
    <row r="983">
      <c r="C983" s="8"/>
      <c r="I983" s="8"/>
      <c r="J983" s="8"/>
    </row>
    <row r="984">
      <c r="C984" s="8"/>
      <c r="I984" s="8"/>
      <c r="J984" s="8"/>
    </row>
    <row r="985">
      <c r="C985" s="8"/>
      <c r="I985" s="8"/>
      <c r="J985" s="8"/>
    </row>
    <row r="986">
      <c r="C986" s="8"/>
      <c r="I986" s="8"/>
      <c r="J986" s="8"/>
    </row>
    <row r="987">
      <c r="C987" s="8"/>
      <c r="I987" s="8"/>
      <c r="J987" s="8"/>
    </row>
    <row r="988">
      <c r="C988" s="8"/>
      <c r="I988" s="8"/>
      <c r="J988" s="8"/>
    </row>
    <row r="989">
      <c r="C989" s="8"/>
      <c r="I989" s="8"/>
      <c r="J989" s="8"/>
    </row>
    <row r="990">
      <c r="C990" s="8"/>
      <c r="I990" s="8"/>
      <c r="J990" s="8"/>
    </row>
    <row r="991">
      <c r="C991" s="8"/>
      <c r="I991" s="8"/>
      <c r="J991" s="8"/>
    </row>
    <row r="992">
      <c r="C992" s="8"/>
      <c r="I992" s="8"/>
      <c r="J992" s="8"/>
    </row>
    <row r="993">
      <c r="C993" s="8"/>
      <c r="I993" s="8"/>
      <c r="J993" s="8"/>
    </row>
    <row r="994">
      <c r="C994" s="8"/>
      <c r="I994" s="8"/>
      <c r="J994" s="8"/>
    </row>
    <row r="995">
      <c r="C995" s="8"/>
      <c r="I995" s="8"/>
      <c r="J995" s="8"/>
    </row>
    <row r="996">
      <c r="C996" s="8"/>
      <c r="I996" s="8"/>
      <c r="J996" s="8"/>
    </row>
    <row r="997">
      <c r="C997" s="8"/>
      <c r="I997" s="8"/>
      <c r="J997" s="8"/>
    </row>
    <row r="998">
      <c r="C998" s="8"/>
      <c r="I998" s="8"/>
      <c r="J998" s="8"/>
    </row>
    <row r="999">
      <c r="C999" s="8"/>
      <c r="I999" s="8"/>
      <c r="J999" s="8"/>
    </row>
    <row r="1000">
      <c r="C1000" s="8"/>
      <c r="I1000" s="8"/>
      <c r="J1000" s="8"/>
    </row>
  </sheetData>
  <mergeCells count="1">
    <mergeCell ref="A1:O2"/>
  </mergeCells>
  <dataValidations>
    <dataValidation type="list" allowBlank="1" showErrorMessage="1" sqref="B3">
      <formula1>"Mout,Hop,Gist,Suiker,Fruit,Adjunct"</formula1>
    </dataValidation>
    <dataValidation type="list" allowBlank="1" showErrorMessage="1" sqref="J6:J1000">
      <formula1>Uitleg!$C$2:$C$5</formula1>
    </dataValidation>
    <dataValidation type="list" allowBlank="1" showErrorMessage="1" sqref="I6:I1000">
      <formula1>Uitleg!$B$2:$B$7</formula1>
    </dataValidation>
    <dataValidation type="list" allowBlank="1" showErrorMessage="1" sqref="C6:C1000">
      <formula1>Uitleg!$A$2:$A$3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63"/>
    <col customWidth="1" min="3" max="3" width="14.0"/>
    <col customWidth="1" min="7" max="11" width="13.5"/>
    <col customWidth="1" min="12" max="12" width="3.38"/>
    <col customWidth="1" min="15" max="15" width="13.88"/>
  </cols>
  <sheetData>
    <row r="1">
      <c r="A1" s="1" t="s">
        <v>264</v>
      </c>
    </row>
    <row r="3">
      <c r="A3" s="2" t="s">
        <v>559</v>
      </c>
      <c r="B3" s="2" t="s">
        <v>8</v>
      </c>
      <c r="M3" s="2" t="s">
        <v>560</v>
      </c>
      <c r="N3" s="8">
        <f>SUM(H6:H1000) - SUM(O6:O1000)</f>
        <v>0</v>
      </c>
      <c r="O3" s="2" t="s">
        <v>561</v>
      </c>
    </row>
    <row r="5">
      <c r="A5" s="22" t="s">
        <v>104</v>
      </c>
      <c r="B5" s="22" t="s">
        <v>105</v>
      </c>
      <c r="C5" s="22" t="s">
        <v>106</v>
      </c>
      <c r="D5" s="22" t="s">
        <v>107</v>
      </c>
      <c r="E5" s="22" t="s">
        <v>108</v>
      </c>
      <c r="F5" s="22" t="s">
        <v>111</v>
      </c>
      <c r="G5" s="22" t="s">
        <v>112</v>
      </c>
      <c r="H5" s="22" t="s">
        <v>113</v>
      </c>
      <c r="I5" s="22" t="s">
        <v>115</v>
      </c>
      <c r="J5" s="22" t="s">
        <v>116</v>
      </c>
      <c r="K5" s="22" t="s">
        <v>117</v>
      </c>
      <c r="M5" s="23" t="s">
        <v>118</v>
      </c>
      <c r="N5" s="23" t="s">
        <v>107</v>
      </c>
      <c r="O5" s="23" t="s">
        <v>113</v>
      </c>
      <c r="P5" s="23" t="s">
        <v>111</v>
      </c>
    </row>
    <row r="6">
      <c r="A6" s="2">
        <v>3.72012518E8</v>
      </c>
      <c r="B6" s="2">
        <v>202305.0</v>
      </c>
      <c r="C6" s="2" t="s">
        <v>130</v>
      </c>
      <c r="D6" s="24">
        <v>45013.0</v>
      </c>
      <c r="E6" s="2" t="s">
        <v>131</v>
      </c>
      <c r="F6" s="2">
        <v>1809.0</v>
      </c>
      <c r="G6" s="27">
        <v>45291.0</v>
      </c>
      <c r="H6" s="2">
        <v>0.1</v>
      </c>
      <c r="I6" s="8"/>
      <c r="J6" s="8"/>
      <c r="K6" s="53"/>
      <c r="M6" s="2" t="s">
        <v>65</v>
      </c>
      <c r="N6" s="24">
        <v>45015.0</v>
      </c>
      <c r="O6" s="2">
        <v>0.1</v>
      </c>
      <c r="P6" s="2">
        <v>1809.0</v>
      </c>
    </row>
    <row r="7">
      <c r="C7" s="8"/>
      <c r="D7" s="24"/>
      <c r="G7" s="29"/>
      <c r="I7" s="8"/>
      <c r="J7" s="8"/>
      <c r="N7" s="24"/>
    </row>
    <row r="8">
      <c r="C8" s="28"/>
      <c r="D8" s="28"/>
      <c r="E8" s="28"/>
      <c r="F8" s="28"/>
      <c r="I8" s="8"/>
      <c r="J8" s="8"/>
      <c r="N8" s="28"/>
    </row>
    <row r="9">
      <c r="C9" s="28"/>
      <c r="D9" s="28"/>
      <c r="E9" s="28"/>
      <c r="F9" s="28"/>
      <c r="I9" s="8"/>
      <c r="J9" s="8"/>
      <c r="N9" s="28"/>
    </row>
    <row r="10">
      <c r="C10" s="28"/>
      <c r="D10" s="28"/>
      <c r="E10" s="28"/>
      <c r="F10" s="28"/>
      <c r="I10" s="8"/>
      <c r="J10" s="8"/>
      <c r="N10" s="28"/>
    </row>
    <row r="11">
      <c r="C11" s="28"/>
      <c r="D11" s="28"/>
      <c r="E11" s="28"/>
      <c r="F11" s="28"/>
      <c r="I11" s="8"/>
      <c r="J11" s="8"/>
      <c r="N11" s="28"/>
    </row>
    <row r="12">
      <c r="C12" s="28"/>
      <c r="D12" s="28"/>
      <c r="E12" s="28"/>
      <c r="F12" s="28"/>
      <c r="I12" s="8"/>
      <c r="J12" s="8"/>
      <c r="N12" s="28"/>
    </row>
    <row r="13">
      <c r="C13" s="28"/>
      <c r="D13" s="28"/>
      <c r="E13" s="28"/>
      <c r="F13" s="28"/>
      <c r="I13" s="8"/>
      <c r="J13" s="8"/>
      <c r="N13" s="28"/>
    </row>
    <row r="14">
      <c r="C14" s="28"/>
      <c r="D14" s="28"/>
      <c r="E14" s="28"/>
      <c r="F14" s="28"/>
      <c r="I14" s="8"/>
      <c r="J14" s="8"/>
      <c r="N14" s="28"/>
    </row>
    <row r="15">
      <c r="C15" s="28"/>
      <c r="D15" s="28"/>
      <c r="E15" s="28"/>
      <c r="F15" s="28"/>
      <c r="I15" s="8"/>
      <c r="J15" s="8"/>
      <c r="N15" s="28"/>
    </row>
    <row r="16">
      <c r="C16" s="28"/>
      <c r="D16" s="28"/>
      <c r="E16" s="28"/>
      <c r="F16" s="28"/>
      <c r="I16" s="8"/>
      <c r="J16" s="8"/>
      <c r="N16" s="28"/>
    </row>
    <row r="17">
      <c r="C17" s="28"/>
      <c r="D17" s="28"/>
      <c r="E17" s="28"/>
      <c r="F17" s="28"/>
      <c r="I17" s="8"/>
      <c r="J17" s="8"/>
      <c r="N17" s="28"/>
    </row>
    <row r="18">
      <c r="C18" s="28"/>
      <c r="D18" s="28"/>
      <c r="E18" s="28"/>
      <c r="F18" s="28"/>
      <c r="I18" s="8"/>
      <c r="J18" s="8"/>
      <c r="N18" s="28"/>
    </row>
    <row r="19">
      <c r="C19" s="28"/>
      <c r="D19" s="28"/>
      <c r="E19" s="28"/>
      <c r="F19" s="28"/>
      <c r="I19" s="8"/>
      <c r="J19" s="8"/>
      <c r="N19" s="28"/>
    </row>
    <row r="20">
      <c r="C20" s="28"/>
      <c r="D20" s="28"/>
      <c r="E20" s="28"/>
      <c r="F20" s="28"/>
      <c r="I20" s="8"/>
      <c r="J20" s="8"/>
      <c r="N20" s="28"/>
    </row>
    <row r="21">
      <c r="C21" s="28"/>
      <c r="D21" s="28"/>
      <c r="E21" s="28"/>
      <c r="F21" s="28"/>
      <c r="I21" s="8"/>
      <c r="J21" s="8"/>
      <c r="N21" s="28"/>
    </row>
    <row r="22">
      <c r="C22" s="28"/>
      <c r="D22" s="28"/>
      <c r="E22" s="28"/>
      <c r="F22" s="28"/>
      <c r="I22" s="8"/>
      <c r="J22" s="8"/>
      <c r="N22" s="28"/>
    </row>
    <row r="23">
      <c r="C23" s="28"/>
      <c r="D23" s="28"/>
      <c r="E23" s="28"/>
      <c r="F23" s="28"/>
      <c r="I23" s="8"/>
      <c r="J23" s="8"/>
      <c r="N23" s="28"/>
    </row>
    <row r="24">
      <c r="C24" s="28"/>
      <c r="D24" s="28"/>
      <c r="E24" s="28"/>
      <c r="F24" s="28"/>
      <c r="I24" s="8"/>
      <c r="J24" s="8"/>
      <c r="N24" s="28"/>
    </row>
    <row r="25">
      <c r="C25" s="28"/>
      <c r="D25" s="28"/>
      <c r="E25" s="28"/>
      <c r="F25" s="28"/>
      <c r="I25" s="8"/>
      <c r="J25" s="8"/>
      <c r="N25" s="28"/>
    </row>
    <row r="26">
      <c r="C26" s="28"/>
      <c r="D26" s="28"/>
      <c r="E26" s="28"/>
      <c r="F26" s="28"/>
      <c r="I26" s="8"/>
      <c r="J26" s="8"/>
      <c r="N26" s="28"/>
    </row>
    <row r="27">
      <c r="C27" s="28"/>
      <c r="D27" s="28"/>
      <c r="E27" s="28"/>
      <c r="F27" s="28"/>
      <c r="I27" s="8"/>
      <c r="J27" s="8"/>
      <c r="N27" s="28"/>
    </row>
    <row r="28">
      <c r="C28" s="28"/>
      <c r="D28" s="28"/>
      <c r="E28" s="28"/>
      <c r="F28" s="28"/>
      <c r="I28" s="8"/>
      <c r="J28" s="8"/>
      <c r="N28" s="28"/>
    </row>
    <row r="29">
      <c r="C29" s="28"/>
      <c r="D29" s="28"/>
      <c r="E29" s="28"/>
      <c r="F29" s="28"/>
      <c r="I29" s="8"/>
      <c r="J29" s="8"/>
      <c r="N29" s="28"/>
    </row>
    <row r="30">
      <c r="C30" s="28"/>
      <c r="D30" s="28"/>
      <c r="E30" s="28"/>
      <c r="F30" s="28"/>
      <c r="I30" s="8"/>
      <c r="J30" s="8"/>
      <c r="N30" s="28"/>
    </row>
    <row r="31">
      <c r="C31" s="28"/>
      <c r="D31" s="28"/>
      <c r="E31" s="28"/>
      <c r="F31" s="28"/>
      <c r="I31" s="8"/>
      <c r="J31" s="8"/>
      <c r="N31" s="28"/>
    </row>
    <row r="32">
      <c r="C32" s="28"/>
      <c r="D32" s="28"/>
      <c r="E32" s="28"/>
      <c r="F32" s="28"/>
      <c r="I32" s="8"/>
      <c r="J32" s="8"/>
      <c r="N32" s="28"/>
    </row>
    <row r="33">
      <c r="C33" s="8"/>
      <c r="I33" s="8"/>
      <c r="J33" s="8"/>
      <c r="N33" s="28"/>
    </row>
    <row r="34">
      <c r="C34" s="8"/>
      <c r="I34" s="8"/>
      <c r="J34" s="8"/>
    </row>
    <row r="35">
      <c r="C35" s="8"/>
      <c r="I35" s="8"/>
      <c r="J35" s="8"/>
    </row>
    <row r="36">
      <c r="C36" s="8"/>
      <c r="I36" s="8"/>
      <c r="J36" s="8"/>
    </row>
    <row r="37">
      <c r="C37" s="8"/>
      <c r="I37" s="8"/>
      <c r="J37" s="8"/>
    </row>
    <row r="38">
      <c r="C38" s="8"/>
      <c r="I38" s="8"/>
      <c r="J38" s="8"/>
    </row>
    <row r="39">
      <c r="C39" s="8"/>
      <c r="I39" s="8"/>
      <c r="J39" s="8"/>
    </row>
    <row r="40">
      <c r="C40" s="8"/>
      <c r="I40" s="8"/>
      <c r="J40" s="8"/>
    </row>
    <row r="41">
      <c r="C41" s="8"/>
      <c r="I41" s="8"/>
      <c r="J41" s="8"/>
    </row>
    <row r="42">
      <c r="C42" s="8"/>
      <c r="I42" s="8"/>
      <c r="J42" s="8"/>
    </row>
    <row r="43">
      <c r="C43" s="8"/>
      <c r="I43" s="8"/>
      <c r="J43" s="8"/>
    </row>
    <row r="44">
      <c r="C44" s="8"/>
      <c r="I44" s="8"/>
      <c r="J44" s="8"/>
    </row>
    <row r="45">
      <c r="C45" s="8"/>
      <c r="I45" s="8"/>
      <c r="J45" s="8"/>
    </row>
    <row r="46">
      <c r="C46" s="8"/>
      <c r="I46" s="8"/>
      <c r="J46" s="8"/>
    </row>
    <row r="47">
      <c r="C47" s="8"/>
      <c r="I47" s="8"/>
      <c r="J47" s="8"/>
    </row>
    <row r="48">
      <c r="C48" s="8"/>
      <c r="I48" s="8"/>
      <c r="J48" s="8"/>
    </row>
    <row r="49">
      <c r="C49" s="8"/>
      <c r="I49" s="8"/>
      <c r="J49" s="8"/>
    </row>
    <row r="50">
      <c r="C50" s="8"/>
      <c r="I50" s="8"/>
      <c r="J50" s="8"/>
    </row>
    <row r="51">
      <c r="C51" s="8"/>
      <c r="I51" s="8"/>
      <c r="J51" s="8"/>
    </row>
    <row r="52">
      <c r="C52" s="8"/>
      <c r="I52" s="8"/>
      <c r="J52" s="8"/>
    </row>
    <row r="53">
      <c r="C53" s="8"/>
      <c r="I53" s="8"/>
      <c r="J53" s="8"/>
    </row>
    <row r="54">
      <c r="C54" s="8"/>
      <c r="I54" s="8"/>
      <c r="J54" s="8"/>
    </row>
    <row r="55">
      <c r="C55" s="8"/>
      <c r="I55" s="8"/>
      <c r="J55" s="8"/>
    </row>
    <row r="56">
      <c r="C56" s="8"/>
      <c r="I56" s="8"/>
      <c r="J56" s="8"/>
    </row>
    <row r="57">
      <c r="C57" s="8"/>
      <c r="I57" s="8"/>
      <c r="J57" s="8"/>
    </row>
    <row r="58">
      <c r="C58" s="8"/>
      <c r="I58" s="8"/>
      <c r="J58" s="8"/>
    </row>
    <row r="59">
      <c r="C59" s="8"/>
      <c r="I59" s="8"/>
      <c r="J59" s="8"/>
    </row>
    <row r="60">
      <c r="C60" s="8"/>
      <c r="I60" s="8"/>
      <c r="J60" s="8"/>
    </row>
    <row r="61">
      <c r="C61" s="8"/>
      <c r="I61" s="8"/>
      <c r="J61" s="8"/>
    </row>
    <row r="62">
      <c r="C62" s="8"/>
      <c r="I62" s="8"/>
      <c r="J62" s="8"/>
    </row>
    <row r="63">
      <c r="C63" s="8"/>
      <c r="I63" s="8"/>
      <c r="J63" s="8"/>
    </row>
    <row r="64">
      <c r="C64" s="8"/>
      <c r="I64" s="8"/>
      <c r="J64" s="8"/>
    </row>
    <row r="65">
      <c r="C65" s="8"/>
      <c r="I65" s="8"/>
      <c r="J65" s="8"/>
    </row>
    <row r="66">
      <c r="C66" s="8"/>
      <c r="I66" s="8"/>
      <c r="J66" s="8"/>
    </row>
    <row r="67">
      <c r="C67" s="8"/>
      <c r="I67" s="8"/>
      <c r="J67" s="8"/>
    </row>
    <row r="68">
      <c r="C68" s="8"/>
      <c r="I68" s="8"/>
      <c r="J68" s="8"/>
    </row>
    <row r="69">
      <c r="C69" s="8"/>
      <c r="I69" s="8"/>
      <c r="J69" s="8"/>
    </row>
    <row r="70">
      <c r="C70" s="8"/>
      <c r="I70" s="8"/>
      <c r="J70" s="8"/>
    </row>
    <row r="71">
      <c r="C71" s="8"/>
      <c r="I71" s="8"/>
      <c r="J71" s="8"/>
    </row>
    <row r="72">
      <c r="C72" s="8"/>
      <c r="I72" s="8"/>
      <c r="J72" s="8"/>
    </row>
    <row r="73">
      <c r="C73" s="8"/>
      <c r="I73" s="8"/>
      <c r="J73" s="8"/>
    </row>
    <row r="74">
      <c r="C74" s="8"/>
      <c r="I74" s="8"/>
      <c r="J74" s="8"/>
    </row>
    <row r="75">
      <c r="C75" s="8"/>
      <c r="I75" s="8"/>
      <c r="J75" s="8"/>
    </row>
    <row r="76">
      <c r="C76" s="8"/>
      <c r="I76" s="8"/>
      <c r="J76" s="8"/>
    </row>
    <row r="77">
      <c r="C77" s="8"/>
      <c r="I77" s="8"/>
      <c r="J77" s="8"/>
    </row>
    <row r="78">
      <c r="C78" s="8"/>
      <c r="I78" s="8"/>
      <c r="J78" s="8"/>
    </row>
    <row r="79">
      <c r="C79" s="8"/>
      <c r="I79" s="8"/>
      <c r="J79" s="8"/>
    </row>
    <row r="80">
      <c r="C80" s="8"/>
      <c r="I80" s="8"/>
      <c r="J80" s="8"/>
    </row>
    <row r="81">
      <c r="C81" s="8"/>
      <c r="I81" s="8"/>
      <c r="J81" s="8"/>
    </row>
    <row r="82">
      <c r="C82" s="8"/>
      <c r="I82" s="8"/>
      <c r="J82" s="8"/>
    </row>
    <row r="83">
      <c r="C83" s="8"/>
      <c r="I83" s="8"/>
      <c r="J83" s="8"/>
    </row>
    <row r="84">
      <c r="C84" s="8"/>
      <c r="I84" s="8"/>
      <c r="J84" s="8"/>
    </row>
    <row r="85">
      <c r="C85" s="8"/>
      <c r="I85" s="8"/>
      <c r="J85" s="8"/>
    </row>
    <row r="86">
      <c r="C86" s="8"/>
      <c r="I86" s="8"/>
      <c r="J86" s="8"/>
    </row>
    <row r="87">
      <c r="C87" s="8"/>
      <c r="I87" s="8"/>
      <c r="J87" s="8"/>
    </row>
    <row r="88">
      <c r="C88" s="8"/>
      <c r="I88" s="8"/>
      <c r="J88" s="8"/>
    </row>
    <row r="89">
      <c r="C89" s="8"/>
      <c r="I89" s="8"/>
      <c r="J89" s="8"/>
    </row>
    <row r="90">
      <c r="C90" s="8"/>
      <c r="I90" s="8"/>
      <c r="J90" s="8"/>
    </row>
    <row r="91">
      <c r="C91" s="8"/>
      <c r="I91" s="8"/>
      <c r="J91" s="8"/>
    </row>
    <row r="92">
      <c r="C92" s="8"/>
      <c r="I92" s="8"/>
      <c r="J92" s="8"/>
    </row>
    <row r="93">
      <c r="C93" s="8"/>
      <c r="I93" s="8"/>
      <c r="J93" s="8"/>
    </row>
    <row r="94">
      <c r="C94" s="8"/>
      <c r="I94" s="8"/>
      <c r="J94" s="8"/>
    </row>
    <row r="95">
      <c r="C95" s="8"/>
      <c r="I95" s="8"/>
      <c r="J95" s="8"/>
    </row>
    <row r="96">
      <c r="C96" s="8"/>
      <c r="I96" s="8"/>
      <c r="J96" s="8"/>
    </row>
    <row r="97">
      <c r="C97" s="8"/>
      <c r="I97" s="8"/>
      <c r="J97" s="8"/>
    </row>
    <row r="98">
      <c r="C98" s="8"/>
      <c r="I98" s="8"/>
      <c r="J98" s="8"/>
    </row>
    <row r="99">
      <c r="C99" s="8"/>
      <c r="I99" s="8"/>
      <c r="J99" s="8"/>
    </row>
    <row r="100">
      <c r="C100" s="8"/>
      <c r="I100" s="8"/>
      <c r="J100" s="8"/>
    </row>
    <row r="101">
      <c r="C101" s="8"/>
      <c r="I101" s="8"/>
      <c r="J101" s="8"/>
    </row>
    <row r="102">
      <c r="C102" s="8"/>
      <c r="I102" s="8"/>
      <c r="J102" s="8"/>
    </row>
    <row r="103">
      <c r="C103" s="8"/>
      <c r="I103" s="8"/>
      <c r="J103" s="8"/>
    </row>
    <row r="104">
      <c r="C104" s="8"/>
      <c r="I104" s="8"/>
      <c r="J104" s="8"/>
    </row>
    <row r="105">
      <c r="C105" s="8"/>
      <c r="I105" s="8"/>
      <c r="J105" s="8"/>
    </row>
    <row r="106">
      <c r="C106" s="8"/>
      <c r="I106" s="8"/>
      <c r="J106" s="8"/>
    </row>
    <row r="107">
      <c r="C107" s="8"/>
      <c r="I107" s="8"/>
      <c r="J107" s="8"/>
    </row>
    <row r="108">
      <c r="C108" s="8"/>
      <c r="I108" s="8"/>
      <c r="J108" s="8"/>
    </row>
    <row r="109">
      <c r="C109" s="8"/>
      <c r="I109" s="8"/>
      <c r="J109" s="8"/>
    </row>
    <row r="110">
      <c r="C110" s="8"/>
      <c r="I110" s="8"/>
      <c r="J110" s="8"/>
    </row>
    <row r="111">
      <c r="C111" s="8"/>
      <c r="I111" s="8"/>
      <c r="J111" s="8"/>
    </row>
    <row r="112">
      <c r="C112" s="8"/>
      <c r="I112" s="8"/>
      <c r="J112" s="8"/>
    </row>
    <row r="113">
      <c r="C113" s="8"/>
      <c r="I113" s="8"/>
      <c r="J113" s="8"/>
    </row>
    <row r="114">
      <c r="C114" s="8"/>
      <c r="I114" s="8"/>
      <c r="J114" s="8"/>
    </row>
    <row r="115">
      <c r="C115" s="8"/>
      <c r="I115" s="8"/>
      <c r="J115" s="8"/>
    </row>
    <row r="116">
      <c r="C116" s="8"/>
      <c r="I116" s="8"/>
      <c r="J116" s="8"/>
    </row>
    <row r="117">
      <c r="C117" s="8"/>
      <c r="I117" s="8"/>
      <c r="J117" s="8"/>
    </row>
    <row r="118">
      <c r="C118" s="8"/>
      <c r="I118" s="8"/>
      <c r="J118" s="8"/>
    </row>
    <row r="119">
      <c r="C119" s="8"/>
      <c r="I119" s="8"/>
      <c r="J119" s="8"/>
    </row>
    <row r="120">
      <c r="C120" s="8"/>
      <c r="I120" s="8"/>
      <c r="J120" s="8"/>
    </row>
    <row r="121">
      <c r="C121" s="8"/>
      <c r="I121" s="8"/>
      <c r="J121" s="8"/>
    </row>
    <row r="122">
      <c r="C122" s="8"/>
      <c r="I122" s="8"/>
      <c r="J122" s="8"/>
    </row>
    <row r="123">
      <c r="C123" s="8"/>
      <c r="I123" s="8"/>
      <c r="J123" s="8"/>
    </row>
    <row r="124">
      <c r="C124" s="8"/>
      <c r="I124" s="8"/>
      <c r="J124" s="8"/>
    </row>
    <row r="125">
      <c r="C125" s="8"/>
      <c r="I125" s="8"/>
      <c r="J125" s="8"/>
    </row>
    <row r="126">
      <c r="C126" s="8"/>
      <c r="I126" s="8"/>
      <c r="J126" s="8"/>
    </row>
    <row r="127">
      <c r="C127" s="8"/>
      <c r="I127" s="8"/>
      <c r="J127" s="8"/>
    </row>
    <row r="128">
      <c r="C128" s="8"/>
      <c r="I128" s="8"/>
      <c r="J128" s="8"/>
    </row>
    <row r="129">
      <c r="C129" s="8"/>
      <c r="I129" s="8"/>
      <c r="J129" s="8"/>
    </row>
    <row r="130">
      <c r="C130" s="8"/>
      <c r="I130" s="8"/>
      <c r="J130" s="8"/>
    </row>
    <row r="131">
      <c r="C131" s="8"/>
      <c r="I131" s="8"/>
      <c r="J131" s="8"/>
    </row>
    <row r="132">
      <c r="C132" s="8"/>
      <c r="I132" s="8"/>
      <c r="J132" s="8"/>
    </row>
    <row r="133">
      <c r="C133" s="8"/>
      <c r="I133" s="8"/>
      <c r="J133" s="8"/>
    </row>
    <row r="134">
      <c r="C134" s="8"/>
      <c r="I134" s="8"/>
      <c r="J134" s="8"/>
    </row>
    <row r="135">
      <c r="C135" s="8"/>
      <c r="I135" s="8"/>
      <c r="J135" s="8"/>
    </row>
    <row r="136">
      <c r="C136" s="8"/>
      <c r="I136" s="8"/>
      <c r="J136" s="8"/>
    </row>
    <row r="137">
      <c r="C137" s="8"/>
      <c r="I137" s="8"/>
      <c r="J137" s="8"/>
    </row>
    <row r="138">
      <c r="C138" s="8"/>
      <c r="I138" s="8"/>
      <c r="J138" s="8"/>
    </row>
    <row r="139">
      <c r="C139" s="8"/>
      <c r="I139" s="8"/>
      <c r="J139" s="8"/>
    </row>
    <row r="140">
      <c r="C140" s="8"/>
      <c r="I140" s="8"/>
      <c r="J140" s="8"/>
    </row>
    <row r="141">
      <c r="C141" s="8"/>
      <c r="I141" s="8"/>
      <c r="J141" s="8"/>
    </row>
    <row r="142">
      <c r="C142" s="8"/>
      <c r="I142" s="8"/>
      <c r="J142" s="8"/>
    </row>
    <row r="143">
      <c r="C143" s="8"/>
      <c r="I143" s="8"/>
      <c r="J143" s="8"/>
    </row>
    <row r="144">
      <c r="C144" s="8"/>
      <c r="I144" s="8"/>
      <c r="J144" s="8"/>
    </row>
    <row r="145">
      <c r="C145" s="8"/>
      <c r="I145" s="8"/>
      <c r="J145" s="8"/>
    </row>
    <row r="146">
      <c r="C146" s="8"/>
      <c r="I146" s="8"/>
      <c r="J146" s="8"/>
    </row>
    <row r="147">
      <c r="C147" s="8"/>
      <c r="I147" s="8"/>
      <c r="J147" s="8"/>
    </row>
    <row r="148">
      <c r="C148" s="8"/>
      <c r="I148" s="8"/>
      <c r="J148" s="8"/>
    </row>
    <row r="149">
      <c r="C149" s="8"/>
      <c r="I149" s="8"/>
      <c r="J149" s="8"/>
    </row>
    <row r="150">
      <c r="C150" s="8"/>
      <c r="I150" s="8"/>
      <c r="J150" s="8"/>
    </row>
    <row r="151">
      <c r="C151" s="8"/>
      <c r="I151" s="8"/>
      <c r="J151" s="8"/>
    </row>
    <row r="152">
      <c r="C152" s="8"/>
      <c r="I152" s="8"/>
      <c r="J152" s="8"/>
    </row>
    <row r="153">
      <c r="C153" s="8"/>
      <c r="I153" s="8"/>
      <c r="J153" s="8"/>
    </row>
    <row r="154">
      <c r="C154" s="8"/>
      <c r="I154" s="8"/>
      <c r="J154" s="8"/>
    </row>
    <row r="155">
      <c r="C155" s="8"/>
      <c r="I155" s="8"/>
      <c r="J155" s="8"/>
    </row>
    <row r="156">
      <c r="C156" s="8"/>
      <c r="I156" s="8"/>
      <c r="J156" s="8"/>
    </row>
    <row r="157">
      <c r="C157" s="8"/>
      <c r="I157" s="8"/>
      <c r="J157" s="8"/>
    </row>
    <row r="158">
      <c r="C158" s="8"/>
      <c r="I158" s="8"/>
      <c r="J158" s="8"/>
    </row>
    <row r="159">
      <c r="C159" s="8"/>
      <c r="I159" s="8"/>
      <c r="J159" s="8"/>
    </row>
    <row r="160">
      <c r="C160" s="8"/>
      <c r="I160" s="8"/>
      <c r="J160" s="8"/>
    </row>
    <row r="161">
      <c r="C161" s="8"/>
      <c r="I161" s="8"/>
      <c r="J161" s="8"/>
    </row>
    <row r="162">
      <c r="C162" s="8"/>
      <c r="I162" s="8"/>
      <c r="J162" s="8"/>
    </row>
    <row r="163">
      <c r="C163" s="8"/>
      <c r="I163" s="8"/>
      <c r="J163" s="8"/>
    </row>
    <row r="164">
      <c r="C164" s="8"/>
      <c r="I164" s="8"/>
      <c r="J164" s="8"/>
    </row>
    <row r="165">
      <c r="C165" s="8"/>
      <c r="I165" s="8"/>
      <c r="J165" s="8"/>
    </row>
    <row r="166">
      <c r="C166" s="8"/>
      <c r="I166" s="8"/>
      <c r="J166" s="8"/>
    </row>
    <row r="167">
      <c r="C167" s="8"/>
      <c r="I167" s="8"/>
      <c r="J167" s="8"/>
    </row>
    <row r="168">
      <c r="C168" s="8"/>
      <c r="I168" s="8"/>
      <c r="J168" s="8"/>
    </row>
    <row r="169">
      <c r="C169" s="8"/>
      <c r="I169" s="8"/>
      <c r="J169" s="8"/>
    </row>
    <row r="170">
      <c r="C170" s="8"/>
      <c r="I170" s="8"/>
      <c r="J170" s="8"/>
    </row>
    <row r="171">
      <c r="C171" s="8"/>
      <c r="I171" s="8"/>
      <c r="J171" s="8"/>
    </row>
    <row r="172">
      <c r="C172" s="8"/>
      <c r="I172" s="8"/>
      <c r="J172" s="8"/>
    </row>
    <row r="173">
      <c r="C173" s="8"/>
      <c r="I173" s="8"/>
      <c r="J173" s="8"/>
    </row>
    <row r="174">
      <c r="C174" s="8"/>
      <c r="I174" s="8"/>
      <c r="J174" s="8"/>
    </row>
    <row r="175">
      <c r="C175" s="8"/>
      <c r="I175" s="8"/>
      <c r="J175" s="8"/>
    </row>
    <row r="176">
      <c r="C176" s="8"/>
      <c r="I176" s="8"/>
      <c r="J176" s="8"/>
    </row>
    <row r="177">
      <c r="C177" s="8"/>
      <c r="I177" s="8"/>
      <c r="J177" s="8"/>
    </row>
    <row r="178">
      <c r="C178" s="8"/>
      <c r="I178" s="8"/>
      <c r="J178" s="8"/>
    </row>
    <row r="179">
      <c r="C179" s="8"/>
      <c r="I179" s="8"/>
      <c r="J179" s="8"/>
    </row>
    <row r="180">
      <c r="C180" s="8"/>
      <c r="I180" s="8"/>
      <c r="J180" s="8"/>
    </row>
    <row r="181">
      <c r="C181" s="8"/>
      <c r="I181" s="8"/>
      <c r="J181" s="8"/>
    </row>
    <row r="182">
      <c r="C182" s="8"/>
      <c r="I182" s="8"/>
      <c r="J182" s="8"/>
    </row>
    <row r="183">
      <c r="C183" s="8"/>
      <c r="I183" s="8"/>
      <c r="J183" s="8"/>
    </row>
    <row r="184">
      <c r="C184" s="8"/>
      <c r="I184" s="8"/>
      <c r="J184" s="8"/>
    </row>
    <row r="185">
      <c r="C185" s="8"/>
      <c r="I185" s="8"/>
      <c r="J185" s="8"/>
    </row>
    <row r="186">
      <c r="C186" s="8"/>
      <c r="I186" s="8"/>
      <c r="J186" s="8"/>
    </row>
    <row r="187">
      <c r="C187" s="8"/>
      <c r="I187" s="8"/>
      <c r="J187" s="8"/>
    </row>
    <row r="188">
      <c r="C188" s="8"/>
      <c r="I188" s="8"/>
      <c r="J188" s="8"/>
    </row>
    <row r="189">
      <c r="C189" s="8"/>
      <c r="I189" s="8"/>
      <c r="J189" s="8"/>
    </row>
    <row r="190">
      <c r="C190" s="8"/>
      <c r="I190" s="8"/>
      <c r="J190" s="8"/>
    </row>
    <row r="191">
      <c r="C191" s="8"/>
      <c r="I191" s="8"/>
      <c r="J191" s="8"/>
    </row>
    <row r="192">
      <c r="C192" s="8"/>
      <c r="I192" s="8"/>
      <c r="J192" s="8"/>
    </row>
    <row r="193">
      <c r="C193" s="8"/>
      <c r="I193" s="8"/>
      <c r="J193" s="8"/>
    </row>
    <row r="194">
      <c r="C194" s="8"/>
      <c r="I194" s="8"/>
      <c r="J194" s="8"/>
    </row>
    <row r="195">
      <c r="C195" s="8"/>
      <c r="I195" s="8"/>
      <c r="J195" s="8"/>
    </row>
    <row r="196">
      <c r="C196" s="8"/>
      <c r="I196" s="8"/>
      <c r="J196" s="8"/>
    </row>
    <row r="197">
      <c r="C197" s="8"/>
      <c r="I197" s="8"/>
      <c r="J197" s="8"/>
    </row>
    <row r="198">
      <c r="C198" s="8"/>
      <c r="I198" s="8"/>
      <c r="J198" s="8"/>
    </row>
    <row r="199">
      <c r="C199" s="8"/>
      <c r="I199" s="8"/>
      <c r="J199" s="8"/>
    </row>
    <row r="200">
      <c r="C200" s="8"/>
      <c r="I200" s="8"/>
      <c r="J200" s="8"/>
    </row>
    <row r="201">
      <c r="C201" s="8"/>
      <c r="I201" s="8"/>
      <c r="J201" s="8"/>
    </row>
    <row r="202">
      <c r="C202" s="8"/>
      <c r="I202" s="8"/>
      <c r="J202" s="8"/>
    </row>
    <row r="203">
      <c r="C203" s="8"/>
      <c r="I203" s="8"/>
      <c r="J203" s="8"/>
    </row>
    <row r="204">
      <c r="C204" s="8"/>
      <c r="I204" s="8"/>
      <c r="J204" s="8"/>
    </row>
    <row r="205">
      <c r="C205" s="8"/>
      <c r="I205" s="8"/>
      <c r="J205" s="8"/>
    </row>
    <row r="206">
      <c r="C206" s="8"/>
      <c r="I206" s="8"/>
      <c r="J206" s="8"/>
    </row>
    <row r="207">
      <c r="C207" s="8"/>
      <c r="I207" s="8"/>
      <c r="J207" s="8"/>
    </row>
    <row r="208">
      <c r="C208" s="8"/>
      <c r="I208" s="8"/>
      <c r="J208" s="8"/>
    </row>
    <row r="209">
      <c r="C209" s="8"/>
      <c r="I209" s="8"/>
      <c r="J209" s="8"/>
    </row>
    <row r="210">
      <c r="C210" s="8"/>
      <c r="I210" s="8"/>
      <c r="J210" s="8"/>
    </row>
    <row r="211">
      <c r="C211" s="8"/>
      <c r="I211" s="8"/>
      <c r="J211" s="8"/>
    </row>
    <row r="212">
      <c r="C212" s="8"/>
      <c r="I212" s="8"/>
      <c r="J212" s="8"/>
    </row>
    <row r="213">
      <c r="C213" s="8"/>
      <c r="I213" s="8"/>
      <c r="J213" s="8"/>
    </row>
    <row r="214">
      <c r="C214" s="8"/>
      <c r="I214" s="8"/>
      <c r="J214" s="8"/>
    </row>
    <row r="215">
      <c r="C215" s="8"/>
      <c r="I215" s="8"/>
      <c r="J215" s="8"/>
    </row>
    <row r="216">
      <c r="C216" s="8"/>
      <c r="I216" s="8"/>
      <c r="J216" s="8"/>
    </row>
    <row r="217">
      <c r="C217" s="8"/>
      <c r="I217" s="8"/>
      <c r="J217" s="8"/>
    </row>
    <row r="218">
      <c r="C218" s="8"/>
      <c r="I218" s="8"/>
      <c r="J218" s="8"/>
    </row>
    <row r="219">
      <c r="C219" s="8"/>
      <c r="I219" s="8"/>
      <c r="J219" s="8"/>
    </row>
    <row r="220">
      <c r="C220" s="8"/>
      <c r="I220" s="8"/>
      <c r="J220" s="8"/>
    </row>
    <row r="221">
      <c r="C221" s="8"/>
      <c r="I221" s="8"/>
      <c r="J221" s="8"/>
    </row>
    <row r="222">
      <c r="C222" s="8"/>
      <c r="I222" s="8"/>
      <c r="J222" s="8"/>
    </row>
    <row r="223">
      <c r="C223" s="8"/>
      <c r="I223" s="8"/>
      <c r="J223" s="8"/>
    </row>
    <row r="224">
      <c r="C224" s="8"/>
      <c r="I224" s="8"/>
      <c r="J224" s="8"/>
    </row>
    <row r="225">
      <c r="C225" s="8"/>
      <c r="I225" s="8"/>
      <c r="J225" s="8"/>
    </row>
    <row r="226">
      <c r="C226" s="8"/>
      <c r="I226" s="8"/>
      <c r="J226" s="8"/>
    </row>
    <row r="227">
      <c r="C227" s="8"/>
      <c r="I227" s="8"/>
      <c r="J227" s="8"/>
    </row>
    <row r="228">
      <c r="C228" s="8"/>
      <c r="I228" s="8"/>
      <c r="J228" s="8"/>
    </row>
    <row r="229">
      <c r="C229" s="8"/>
      <c r="I229" s="8"/>
      <c r="J229" s="8"/>
    </row>
    <row r="230">
      <c r="C230" s="8"/>
      <c r="I230" s="8"/>
      <c r="J230" s="8"/>
    </row>
    <row r="231">
      <c r="C231" s="8"/>
      <c r="I231" s="8"/>
      <c r="J231" s="8"/>
    </row>
    <row r="232">
      <c r="C232" s="8"/>
      <c r="I232" s="8"/>
      <c r="J232" s="8"/>
    </row>
    <row r="233">
      <c r="C233" s="8"/>
      <c r="I233" s="8"/>
      <c r="J233" s="8"/>
    </row>
    <row r="234">
      <c r="C234" s="8"/>
      <c r="I234" s="8"/>
      <c r="J234" s="8"/>
    </row>
    <row r="235">
      <c r="C235" s="8"/>
      <c r="I235" s="8"/>
      <c r="J235" s="8"/>
    </row>
    <row r="236">
      <c r="C236" s="8"/>
      <c r="I236" s="8"/>
      <c r="J236" s="8"/>
    </row>
    <row r="237">
      <c r="C237" s="8"/>
      <c r="I237" s="8"/>
      <c r="J237" s="8"/>
    </row>
    <row r="238">
      <c r="C238" s="8"/>
      <c r="I238" s="8"/>
      <c r="J238" s="8"/>
    </row>
    <row r="239">
      <c r="C239" s="8"/>
      <c r="I239" s="8"/>
      <c r="J239" s="8"/>
    </row>
    <row r="240">
      <c r="C240" s="8"/>
      <c r="I240" s="8"/>
      <c r="J240" s="8"/>
    </row>
    <row r="241">
      <c r="C241" s="8"/>
      <c r="I241" s="8"/>
      <c r="J241" s="8"/>
    </row>
    <row r="242">
      <c r="C242" s="8"/>
      <c r="I242" s="8"/>
      <c r="J242" s="8"/>
    </row>
    <row r="243">
      <c r="C243" s="8"/>
      <c r="I243" s="8"/>
      <c r="J243" s="8"/>
    </row>
    <row r="244">
      <c r="C244" s="8"/>
      <c r="I244" s="8"/>
      <c r="J244" s="8"/>
    </row>
    <row r="245">
      <c r="C245" s="8"/>
      <c r="I245" s="8"/>
      <c r="J245" s="8"/>
    </row>
    <row r="246">
      <c r="C246" s="8"/>
      <c r="I246" s="8"/>
      <c r="J246" s="8"/>
    </row>
    <row r="247">
      <c r="C247" s="8"/>
      <c r="I247" s="8"/>
      <c r="J247" s="8"/>
    </row>
    <row r="248">
      <c r="C248" s="8"/>
      <c r="I248" s="8"/>
      <c r="J248" s="8"/>
    </row>
    <row r="249">
      <c r="C249" s="8"/>
      <c r="I249" s="8"/>
      <c r="J249" s="8"/>
    </row>
    <row r="250">
      <c r="C250" s="8"/>
      <c r="I250" s="8"/>
      <c r="J250" s="8"/>
    </row>
    <row r="251">
      <c r="C251" s="8"/>
      <c r="I251" s="8"/>
      <c r="J251" s="8"/>
    </row>
    <row r="252">
      <c r="C252" s="8"/>
      <c r="I252" s="8"/>
      <c r="J252" s="8"/>
    </row>
    <row r="253">
      <c r="C253" s="8"/>
      <c r="I253" s="8"/>
      <c r="J253" s="8"/>
    </row>
    <row r="254">
      <c r="C254" s="8"/>
      <c r="I254" s="8"/>
      <c r="J254" s="8"/>
    </row>
    <row r="255">
      <c r="C255" s="8"/>
      <c r="I255" s="8"/>
      <c r="J255" s="8"/>
    </row>
    <row r="256">
      <c r="C256" s="8"/>
      <c r="I256" s="8"/>
      <c r="J256" s="8"/>
    </row>
    <row r="257">
      <c r="C257" s="8"/>
      <c r="I257" s="8"/>
      <c r="J257" s="8"/>
    </row>
    <row r="258">
      <c r="C258" s="8"/>
      <c r="I258" s="8"/>
      <c r="J258" s="8"/>
    </row>
    <row r="259">
      <c r="C259" s="8"/>
      <c r="I259" s="8"/>
      <c r="J259" s="8"/>
    </row>
    <row r="260">
      <c r="C260" s="8"/>
      <c r="I260" s="8"/>
      <c r="J260" s="8"/>
    </row>
    <row r="261">
      <c r="C261" s="8"/>
      <c r="I261" s="8"/>
      <c r="J261" s="8"/>
    </row>
    <row r="262">
      <c r="C262" s="8"/>
      <c r="I262" s="8"/>
      <c r="J262" s="8"/>
    </row>
    <row r="263">
      <c r="C263" s="8"/>
      <c r="I263" s="8"/>
      <c r="J263" s="8"/>
    </row>
    <row r="264">
      <c r="C264" s="8"/>
      <c r="I264" s="8"/>
      <c r="J264" s="8"/>
    </row>
    <row r="265">
      <c r="C265" s="8"/>
      <c r="I265" s="8"/>
      <c r="J265" s="8"/>
    </row>
    <row r="266">
      <c r="C266" s="8"/>
      <c r="I266" s="8"/>
      <c r="J266" s="8"/>
    </row>
    <row r="267">
      <c r="C267" s="8"/>
      <c r="I267" s="8"/>
      <c r="J267" s="8"/>
    </row>
    <row r="268">
      <c r="C268" s="8"/>
      <c r="I268" s="8"/>
      <c r="J268" s="8"/>
    </row>
    <row r="269">
      <c r="C269" s="8"/>
      <c r="I269" s="8"/>
      <c r="J269" s="8"/>
    </row>
    <row r="270">
      <c r="C270" s="8"/>
      <c r="I270" s="8"/>
      <c r="J270" s="8"/>
    </row>
    <row r="271">
      <c r="C271" s="8"/>
      <c r="I271" s="8"/>
      <c r="J271" s="8"/>
    </row>
    <row r="272">
      <c r="C272" s="8"/>
      <c r="I272" s="8"/>
      <c r="J272" s="8"/>
    </row>
    <row r="273">
      <c r="C273" s="8"/>
      <c r="I273" s="8"/>
      <c r="J273" s="8"/>
    </row>
    <row r="274">
      <c r="C274" s="8"/>
      <c r="I274" s="8"/>
      <c r="J274" s="8"/>
    </row>
    <row r="275">
      <c r="C275" s="8"/>
      <c r="I275" s="8"/>
      <c r="J275" s="8"/>
    </row>
    <row r="276">
      <c r="C276" s="8"/>
      <c r="I276" s="8"/>
      <c r="J276" s="8"/>
    </row>
    <row r="277">
      <c r="C277" s="8"/>
      <c r="I277" s="8"/>
      <c r="J277" s="8"/>
    </row>
    <row r="278">
      <c r="C278" s="8"/>
      <c r="I278" s="8"/>
      <c r="J278" s="8"/>
    </row>
    <row r="279">
      <c r="C279" s="8"/>
      <c r="I279" s="8"/>
      <c r="J279" s="8"/>
    </row>
    <row r="280">
      <c r="C280" s="8"/>
      <c r="I280" s="8"/>
      <c r="J280" s="8"/>
    </row>
    <row r="281">
      <c r="C281" s="8"/>
      <c r="I281" s="8"/>
      <c r="J281" s="8"/>
    </row>
    <row r="282">
      <c r="C282" s="8"/>
      <c r="I282" s="8"/>
      <c r="J282" s="8"/>
    </row>
    <row r="283">
      <c r="C283" s="8"/>
      <c r="I283" s="8"/>
      <c r="J283" s="8"/>
    </row>
    <row r="284">
      <c r="C284" s="8"/>
      <c r="I284" s="8"/>
      <c r="J284" s="8"/>
    </row>
    <row r="285">
      <c r="C285" s="8"/>
      <c r="I285" s="8"/>
      <c r="J285" s="8"/>
    </row>
    <row r="286">
      <c r="C286" s="8"/>
      <c r="I286" s="8"/>
      <c r="J286" s="8"/>
    </row>
    <row r="287">
      <c r="C287" s="8"/>
      <c r="I287" s="8"/>
      <c r="J287" s="8"/>
    </row>
    <row r="288">
      <c r="C288" s="8"/>
      <c r="I288" s="8"/>
      <c r="J288" s="8"/>
    </row>
    <row r="289">
      <c r="C289" s="8"/>
      <c r="I289" s="8"/>
      <c r="J289" s="8"/>
    </row>
    <row r="290">
      <c r="C290" s="8"/>
      <c r="I290" s="8"/>
      <c r="J290" s="8"/>
    </row>
    <row r="291">
      <c r="C291" s="8"/>
      <c r="I291" s="8"/>
      <c r="J291" s="8"/>
    </row>
    <row r="292">
      <c r="C292" s="8"/>
      <c r="I292" s="8"/>
      <c r="J292" s="8"/>
    </row>
    <row r="293">
      <c r="C293" s="8"/>
      <c r="I293" s="8"/>
      <c r="J293" s="8"/>
    </row>
    <row r="294">
      <c r="C294" s="8"/>
      <c r="I294" s="8"/>
      <c r="J294" s="8"/>
    </row>
    <row r="295">
      <c r="C295" s="8"/>
      <c r="I295" s="8"/>
      <c r="J295" s="8"/>
    </row>
    <row r="296">
      <c r="C296" s="8"/>
      <c r="I296" s="8"/>
      <c r="J296" s="8"/>
    </row>
    <row r="297">
      <c r="C297" s="8"/>
      <c r="I297" s="8"/>
      <c r="J297" s="8"/>
    </row>
    <row r="298">
      <c r="C298" s="8"/>
      <c r="I298" s="8"/>
      <c r="J298" s="8"/>
    </row>
    <row r="299">
      <c r="C299" s="8"/>
      <c r="I299" s="8"/>
      <c r="J299" s="8"/>
    </row>
    <row r="300">
      <c r="C300" s="8"/>
      <c r="I300" s="8"/>
      <c r="J300" s="8"/>
    </row>
    <row r="301">
      <c r="C301" s="8"/>
      <c r="I301" s="8"/>
      <c r="J301" s="8"/>
    </row>
    <row r="302">
      <c r="C302" s="8"/>
      <c r="I302" s="8"/>
      <c r="J302" s="8"/>
    </row>
    <row r="303">
      <c r="C303" s="8"/>
      <c r="I303" s="8"/>
      <c r="J303" s="8"/>
    </row>
    <row r="304">
      <c r="C304" s="8"/>
      <c r="I304" s="8"/>
      <c r="J304" s="8"/>
    </row>
    <row r="305">
      <c r="C305" s="8"/>
      <c r="I305" s="8"/>
      <c r="J305" s="8"/>
    </row>
    <row r="306">
      <c r="C306" s="8"/>
      <c r="I306" s="8"/>
      <c r="J306" s="8"/>
    </row>
    <row r="307">
      <c r="C307" s="8"/>
      <c r="I307" s="8"/>
      <c r="J307" s="8"/>
    </row>
    <row r="308">
      <c r="C308" s="8"/>
      <c r="I308" s="8"/>
      <c r="J308" s="8"/>
    </row>
    <row r="309">
      <c r="C309" s="8"/>
      <c r="I309" s="8"/>
      <c r="J309" s="8"/>
    </row>
    <row r="310">
      <c r="C310" s="8"/>
      <c r="I310" s="8"/>
      <c r="J310" s="8"/>
    </row>
    <row r="311">
      <c r="C311" s="8"/>
      <c r="I311" s="8"/>
      <c r="J311" s="8"/>
    </row>
    <row r="312">
      <c r="C312" s="8"/>
      <c r="I312" s="8"/>
      <c r="J312" s="8"/>
    </row>
    <row r="313">
      <c r="C313" s="8"/>
      <c r="I313" s="8"/>
      <c r="J313" s="8"/>
    </row>
    <row r="314">
      <c r="C314" s="8"/>
      <c r="I314" s="8"/>
      <c r="J314" s="8"/>
    </row>
    <row r="315">
      <c r="C315" s="8"/>
      <c r="I315" s="8"/>
      <c r="J315" s="8"/>
    </row>
    <row r="316">
      <c r="C316" s="8"/>
      <c r="I316" s="8"/>
      <c r="J316" s="8"/>
    </row>
    <row r="317">
      <c r="C317" s="8"/>
      <c r="I317" s="8"/>
      <c r="J317" s="8"/>
    </row>
    <row r="318">
      <c r="C318" s="8"/>
      <c r="I318" s="8"/>
      <c r="J318" s="8"/>
    </row>
    <row r="319">
      <c r="C319" s="8"/>
      <c r="I319" s="8"/>
      <c r="J319" s="8"/>
    </row>
    <row r="320">
      <c r="C320" s="8"/>
      <c r="I320" s="8"/>
      <c r="J320" s="8"/>
    </row>
    <row r="321">
      <c r="C321" s="8"/>
      <c r="I321" s="8"/>
      <c r="J321" s="8"/>
    </row>
    <row r="322">
      <c r="C322" s="8"/>
      <c r="I322" s="8"/>
      <c r="J322" s="8"/>
    </row>
    <row r="323">
      <c r="C323" s="8"/>
      <c r="I323" s="8"/>
      <c r="J323" s="8"/>
    </row>
    <row r="324">
      <c r="C324" s="8"/>
      <c r="I324" s="8"/>
      <c r="J324" s="8"/>
    </row>
    <row r="325">
      <c r="C325" s="8"/>
      <c r="I325" s="8"/>
      <c r="J325" s="8"/>
    </row>
    <row r="326">
      <c r="C326" s="8"/>
      <c r="I326" s="8"/>
      <c r="J326" s="8"/>
    </row>
    <row r="327">
      <c r="C327" s="8"/>
      <c r="I327" s="8"/>
      <c r="J327" s="8"/>
    </row>
    <row r="328">
      <c r="C328" s="8"/>
      <c r="I328" s="8"/>
      <c r="J328" s="8"/>
    </row>
    <row r="329">
      <c r="C329" s="8"/>
      <c r="I329" s="8"/>
      <c r="J329" s="8"/>
    </row>
    <row r="330">
      <c r="C330" s="8"/>
      <c r="I330" s="8"/>
      <c r="J330" s="8"/>
    </row>
    <row r="331">
      <c r="C331" s="8"/>
      <c r="I331" s="8"/>
      <c r="J331" s="8"/>
    </row>
    <row r="332">
      <c r="C332" s="8"/>
      <c r="I332" s="8"/>
      <c r="J332" s="8"/>
    </row>
    <row r="333">
      <c r="C333" s="8"/>
      <c r="I333" s="8"/>
      <c r="J333" s="8"/>
    </row>
    <row r="334">
      <c r="C334" s="8"/>
      <c r="I334" s="8"/>
      <c r="J334" s="8"/>
    </row>
    <row r="335">
      <c r="C335" s="8"/>
      <c r="I335" s="8"/>
      <c r="J335" s="8"/>
    </row>
    <row r="336">
      <c r="C336" s="8"/>
      <c r="I336" s="8"/>
      <c r="J336" s="8"/>
    </row>
    <row r="337">
      <c r="C337" s="8"/>
      <c r="I337" s="8"/>
      <c r="J337" s="8"/>
    </row>
    <row r="338">
      <c r="C338" s="8"/>
      <c r="I338" s="8"/>
      <c r="J338" s="8"/>
    </row>
    <row r="339">
      <c r="C339" s="8"/>
      <c r="I339" s="8"/>
      <c r="J339" s="8"/>
    </row>
    <row r="340">
      <c r="C340" s="8"/>
      <c r="I340" s="8"/>
      <c r="J340" s="8"/>
    </row>
    <row r="341">
      <c r="C341" s="8"/>
      <c r="I341" s="8"/>
      <c r="J341" s="8"/>
    </row>
    <row r="342">
      <c r="C342" s="8"/>
      <c r="I342" s="8"/>
      <c r="J342" s="8"/>
    </row>
    <row r="343">
      <c r="C343" s="8"/>
      <c r="I343" s="8"/>
      <c r="J343" s="8"/>
    </row>
    <row r="344">
      <c r="C344" s="8"/>
      <c r="I344" s="8"/>
      <c r="J344" s="8"/>
    </row>
    <row r="345">
      <c r="C345" s="8"/>
      <c r="I345" s="8"/>
      <c r="J345" s="8"/>
    </row>
    <row r="346">
      <c r="C346" s="8"/>
      <c r="I346" s="8"/>
      <c r="J346" s="8"/>
    </row>
    <row r="347">
      <c r="C347" s="8"/>
      <c r="I347" s="8"/>
      <c r="J347" s="8"/>
    </row>
    <row r="348">
      <c r="C348" s="8"/>
      <c r="I348" s="8"/>
      <c r="J348" s="8"/>
    </row>
    <row r="349">
      <c r="C349" s="8"/>
      <c r="I349" s="8"/>
      <c r="J349" s="8"/>
    </row>
    <row r="350">
      <c r="C350" s="8"/>
      <c r="I350" s="8"/>
      <c r="J350" s="8"/>
    </row>
    <row r="351">
      <c r="C351" s="8"/>
      <c r="I351" s="8"/>
      <c r="J351" s="8"/>
    </row>
    <row r="352">
      <c r="C352" s="8"/>
      <c r="I352" s="8"/>
      <c r="J352" s="8"/>
    </row>
    <row r="353">
      <c r="C353" s="8"/>
      <c r="I353" s="8"/>
      <c r="J353" s="8"/>
    </row>
    <row r="354">
      <c r="C354" s="8"/>
      <c r="I354" s="8"/>
      <c r="J354" s="8"/>
    </row>
    <row r="355">
      <c r="C355" s="8"/>
      <c r="I355" s="8"/>
      <c r="J355" s="8"/>
    </row>
    <row r="356">
      <c r="C356" s="8"/>
      <c r="I356" s="8"/>
      <c r="J356" s="8"/>
    </row>
    <row r="357">
      <c r="C357" s="8"/>
      <c r="I357" s="8"/>
      <c r="J357" s="8"/>
    </row>
    <row r="358">
      <c r="C358" s="8"/>
      <c r="I358" s="8"/>
      <c r="J358" s="8"/>
    </row>
    <row r="359">
      <c r="C359" s="8"/>
      <c r="I359" s="8"/>
      <c r="J359" s="8"/>
    </row>
    <row r="360">
      <c r="C360" s="8"/>
      <c r="I360" s="8"/>
      <c r="J360" s="8"/>
    </row>
    <row r="361">
      <c r="C361" s="8"/>
      <c r="I361" s="8"/>
      <c r="J361" s="8"/>
    </row>
    <row r="362">
      <c r="C362" s="8"/>
      <c r="I362" s="8"/>
      <c r="J362" s="8"/>
    </row>
    <row r="363">
      <c r="C363" s="8"/>
      <c r="I363" s="8"/>
      <c r="J363" s="8"/>
    </row>
    <row r="364">
      <c r="C364" s="8"/>
      <c r="I364" s="8"/>
      <c r="J364" s="8"/>
    </row>
    <row r="365">
      <c r="C365" s="8"/>
      <c r="I365" s="8"/>
      <c r="J365" s="8"/>
    </row>
    <row r="366">
      <c r="C366" s="8"/>
      <c r="I366" s="8"/>
      <c r="J366" s="8"/>
    </row>
    <row r="367">
      <c r="C367" s="8"/>
      <c r="I367" s="8"/>
      <c r="J367" s="8"/>
    </row>
    <row r="368">
      <c r="C368" s="8"/>
      <c r="I368" s="8"/>
      <c r="J368" s="8"/>
    </row>
    <row r="369">
      <c r="C369" s="8"/>
      <c r="I369" s="8"/>
      <c r="J369" s="8"/>
    </row>
    <row r="370">
      <c r="C370" s="8"/>
      <c r="I370" s="8"/>
      <c r="J370" s="8"/>
    </row>
    <row r="371">
      <c r="C371" s="8"/>
      <c r="I371" s="8"/>
      <c r="J371" s="8"/>
    </row>
    <row r="372">
      <c r="C372" s="8"/>
      <c r="I372" s="8"/>
      <c r="J372" s="8"/>
    </row>
    <row r="373">
      <c r="C373" s="8"/>
      <c r="I373" s="8"/>
      <c r="J373" s="8"/>
    </row>
    <row r="374">
      <c r="C374" s="8"/>
      <c r="I374" s="8"/>
      <c r="J374" s="8"/>
    </row>
    <row r="375">
      <c r="C375" s="8"/>
      <c r="I375" s="8"/>
      <c r="J375" s="8"/>
    </row>
    <row r="376">
      <c r="C376" s="8"/>
      <c r="I376" s="8"/>
      <c r="J376" s="8"/>
    </row>
    <row r="377">
      <c r="C377" s="8"/>
      <c r="I377" s="8"/>
      <c r="J377" s="8"/>
    </row>
    <row r="378">
      <c r="C378" s="8"/>
      <c r="I378" s="8"/>
      <c r="J378" s="8"/>
    </row>
    <row r="379">
      <c r="C379" s="8"/>
      <c r="I379" s="8"/>
      <c r="J379" s="8"/>
    </row>
    <row r="380">
      <c r="C380" s="8"/>
      <c r="I380" s="8"/>
      <c r="J380" s="8"/>
    </row>
    <row r="381">
      <c r="C381" s="8"/>
      <c r="I381" s="8"/>
      <c r="J381" s="8"/>
    </row>
    <row r="382">
      <c r="C382" s="8"/>
      <c r="I382" s="8"/>
      <c r="J382" s="8"/>
    </row>
    <row r="383">
      <c r="C383" s="8"/>
      <c r="I383" s="8"/>
      <c r="J383" s="8"/>
    </row>
    <row r="384">
      <c r="C384" s="8"/>
      <c r="I384" s="8"/>
      <c r="J384" s="8"/>
    </row>
    <row r="385">
      <c r="C385" s="8"/>
      <c r="I385" s="8"/>
      <c r="J385" s="8"/>
    </row>
    <row r="386">
      <c r="C386" s="8"/>
      <c r="I386" s="8"/>
      <c r="J386" s="8"/>
    </row>
    <row r="387">
      <c r="C387" s="8"/>
      <c r="I387" s="8"/>
      <c r="J387" s="8"/>
    </row>
    <row r="388">
      <c r="C388" s="8"/>
      <c r="I388" s="8"/>
      <c r="J388" s="8"/>
    </row>
    <row r="389">
      <c r="C389" s="8"/>
      <c r="I389" s="8"/>
      <c r="J389" s="8"/>
    </row>
    <row r="390">
      <c r="C390" s="8"/>
      <c r="I390" s="8"/>
      <c r="J390" s="8"/>
    </row>
    <row r="391">
      <c r="C391" s="8"/>
      <c r="I391" s="8"/>
      <c r="J391" s="8"/>
    </row>
    <row r="392">
      <c r="C392" s="8"/>
      <c r="I392" s="8"/>
      <c r="J392" s="8"/>
    </row>
    <row r="393">
      <c r="C393" s="8"/>
      <c r="I393" s="8"/>
      <c r="J393" s="8"/>
    </row>
    <row r="394">
      <c r="C394" s="8"/>
      <c r="I394" s="8"/>
      <c r="J394" s="8"/>
    </row>
    <row r="395">
      <c r="C395" s="8"/>
      <c r="I395" s="8"/>
      <c r="J395" s="8"/>
    </row>
    <row r="396">
      <c r="C396" s="8"/>
      <c r="I396" s="8"/>
      <c r="J396" s="8"/>
    </row>
    <row r="397">
      <c r="C397" s="8"/>
      <c r="I397" s="8"/>
      <c r="J397" s="8"/>
    </row>
    <row r="398">
      <c r="C398" s="8"/>
      <c r="I398" s="8"/>
      <c r="J398" s="8"/>
    </row>
    <row r="399">
      <c r="C399" s="8"/>
      <c r="I399" s="8"/>
      <c r="J399" s="8"/>
    </row>
    <row r="400">
      <c r="C400" s="8"/>
      <c r="I400" s="8"/>
      <c r="J400" s="8"/>
    </row>
    <row r="401">
      <c r="C401" s="8"/>
      <c r="I401" s="8"/>
      <c r="J401" s="8"/>
    </row>
    <row r="402">
      <c r="C402" s="8"/>
      <c r="I402" s="8"/>
      <c r="J402" s="8"/>
    </row>
    <row r="403">
      <c r="C403" s="8"/>
      <c r="I403" s="8"/>
      <c r="J403" s="8"/>
    </row>
    <row r="404">
      <c r="C404" s="8"/>
      <c r="I404" s="8"/>
      <c r="J404" s="8"/>
    </row>
    <row r="405">
      <c r="C405" s="8"/>
      <c r="I405" s="8"/>
      <c r="J405" s="8"/>
    </row>
    <row r="406">
      <c r="C406" s="8"/>
      <c r="I406" s="8"/>
      <c r="J406" s="8"/>
    </row>
    <row r="407">
      <c r="C407" s="8"/>
      <c r="I407" s="8"/>
      <c r="J407" s="8"/>
    </row>
    <row r="408">
      <c r="C408" s="8"/>
      <c r="I408" s="8"/>
      <c r="J408" s="8"/>
    </row>
    <row r="409">
      <c r="C409" s="8"/>
      <c r="I409" s="8"/>
      <c r="J409" s="8"/>
    </row>
    <row r="410">
      <c r="C410" s="8"/>
      <c r="I410" s="8"/>
      <c r="J410" s="8"/>
    </row>
    <row r="411">
      <c r="C411" s="8"/>
      <c r="I411" s="8"/>
      <c r="J411" s="8"/>
    </row>
    <row r="412">
      <c r="C412" s="8"/>
      <c r="I412" s="8"/>
      <c r="J412" s="8"/>
    </row>
    <row r="413">
      <c r="C413" s="8"/>
      <c r="I413" s="8"/>
      <c r="J413" s="8"/>
    </row>
    <row r="414">
      <c r="C414" s="8"/>
      <c r="I414" s="8"/>
      <c r="J414" s="8"/>
    </row>
    <row r="415">
      <c r="C415" s="8"/>
      <c r="I415" s="8"/>
      <c r="J415" s="8"/>
    </row>
    <row r="416">
      <c r="C416" s="8"/>
      <c r="I416" s="8"/>
      <c r="J416" s="8"/>
    </row>
    <row r="417">
      <c r="C417" s="8"/>
      <c r="I417" s="8"/>
      <c r="J417" s="8"/>
    </row>
    <row r="418">
      <c r="C418" s="8"/>
      <c r="I418" s="8"/>
      <c r="J418" s="8"/>
    </row>
    <row r="419">
      <c r="C419" s="8"/>
      <c r="I419" s="8"/>
      <c r="J419" s="8"/>
    </row>
    <row r="420">
      <c r="C420" s="8"/>
      <c r="I420" s="8"/>
      <c r="J420" s="8"/>
    </row>
    <row r="421">
      <c r="C421" s="8"/>
      <c r="I421" s="8"/>
      <c r="J421" s="8"/>
    </row>
    <row r="422">
      <c r="C422" s="8"/>
      <c r="I422" s="8"/>
      <c r="J422" s="8"/>
    </row>
    <row r="423">
      <c r="C423" s="8"/>
      <c r="I423" s="8"/>
      <c r="J423" s="8"/>
    </row>
    <row r="424">
      <c r="C424" s="8"/>
      <c r="I424" s="8"/>
      <c r="J424" s="8"/>
    </row>
    <row r="425">
      <c r="C425" s="8"/>
      <c r="I425" s="8"/>
      <c r="J425" s="8"/>
    </row>
    <row r="426">
      <c r="C426" s="8"/>
      <c r="I426" s="8"/>
      <c r="J426" s="8"/>
    </row>
    <row r="427">
      <c r="C427" s="8"/>
      <c r="I427" s="8"/>
      <c r="J427" s="8"/>
    </row>
    <row r="428">
      <c r="C428" s="8"/>
      <c r="I428" s="8"/>
      <c r="J428" s="8"/>
    </row>
    <row r="429">
      <c r="C429" s="8"/>
      <c r="I429" s="8"/>
      <c r="J429" s="8"/>
    </row>
    <row r="430">
      <c r="C430" s="8"/>
      <c r="I430" s="8"/>
      <c r="J430" s="8"/>
    </row>
    <row r="431">
      <c r="C431" s="8"/>
      <c r="I431" s="8"/>
      <c r="J431" s="8"/>
    </row>
    <row r="432">
      <c r="C432" s="8"/>
      <c r="I432" s="8"/>
      <c r="J432" s="8"/>
    </row>
    <row r="433">
      <c r="C433" s="8"/>
      <c r="I433" s="8"/>
      <c r="J433" s="8"/>
    </row>
    <row r="434">
      <c r="C434" s="8"/>
      <c r="I434" s="8"/>
      <c r="J434" s="8"/>
    </row>
    <row r="435">
      <c r="C435" s="8"/>
      <c r="I435" s="8"/>
      <c r="J435" s="8"/>
    </row>
    <row r="436">
      <c r="C436" s="8"/>
      <c r="I436" s="8"/>
      <c r="J436" s="8"/>
    </row>
    <row r="437">
      <c r="C437" s="8"/>
      <c r="I437" s="8"/>
      <c r="J437" s="8"/>
    </row>
    <row r="438">
      <c r="C438" s="8"/>
      <c r="I438" s="8"/>
      <c r="J438" s="8"/>
    </row>
    <row r="439">
      <c r="C439" s="8"/>
      <c r="I439" s="8"/>
      <c r="J439" s="8"/>
    </row>
    <row r="440">
      <c r="C440" s="8"/>
      <c r="I440" s="8"/>
      <c r="J440" s="8"/>
    </row>
    <row r="441">
      <c r="C441" s="8"/>
      <c r="I441" s="8"/>
      <c r="J441" s="8"/>
    </row>
    <row r="442">
      <c r="C442" s="8"/>
      <c r="I442" s="8"/>
      <c r="J442" s="8"/>
    </row>
    <row r="443">
      <c r="C443" s="8"/>
      <c r="I443" s="8"/>
      <c r="J443" s="8"/>
    </row>
    <row r="444">
      <c r="C444" s="8"/>
      <c r="I444" s="8"/>
      <c r="J444" s="8"/>
    </row>
    <row r="445">
      <c r="C445" s="8"/>
      <c r="I445" s="8"/>
      <c r="J445" s="8"/>
    </row>
    <row r="446">
      <c r="C446" s="8"/>
      <c r="I446" s="8"/>
      <c r="J446" s="8"/>
    </row>
    <row r="447">
      <c r="C447" s="8"/>
      <c r="I447" s="8"/>
      <c r="J447" s="8"/>
    </row>
    <row r="448">
      <c r="C448" s="8"/>
      <c r="I448" s="8"/>
      <c r="J448" s="8"/>
    </row>
    <row r="449">
      <c r="C449" s="8"/>
      <c r="I449" s="8"/>
      <c r="J449" s="8"/>
    </row>
    <row r="450">
      <c r="C450" s="8"/>
      <c r="I450" s="8"/>
      <c r="J450" s="8"/>
    </row>
    <row r="451">
      <c r="C451" s="8"/>
      <c r="I451" s="8"/>
      <c r="J451" s="8"/>
    </row>
    <row r="452">
      <c r="C452" s="8"/>
      <c r="I452" s="8"/>
      <c r="J452" s="8"/>
    </row>
    <row r="453">
      <c r="C453" s="8"/>
      <c r="I453" s="8"/>
      <c r="J453" s="8"/>
    </row>
    <row r="454">
      <c r="C454" s="8"/>
      <c r="I454" s="8"/>
      <c r="J454" s="8"/>
    </row>
    <row r="455">
      <c r="C455" s="8"/>
      <c r="I455" s="8"/>
      <c r="J455" s="8"/>
    </row>
    <row r="456">
      <c r="C456" s="8"/>
      <c r="I456" s="8"/>
      <c r="J456" s="8"/>
    </row>
    <row r="457">
      <c r="C457" s="8"/>
      <c r="I457" s="8"/>
      <c r="J457" s="8"/>
    </row>
    <row r="458">
      <c r="C458" s="8"/>
      <c r="I458" s="8"/>
      <c r="J458" s="8"/>
    </row>
    <row r="459">
      <c r="C459" s="8"/>
      <c r="I459" s="8"/>
      <c r="J459" s="8"/>
    </row>
    <row r="460">
      <c r="C460" s="8"/>
      <c r="I460" s="8"/>
      <c r="J460" s="8"/>
    </row>
    <row r="461">
      <c r="C461" s="8"/>
      <c r="I461" s="8"/>
      <c r="J461" s="8"/>
    </row>
    <row r="462">
      <c r="C462" s="8"/>
      <c r="I462" s="8"/>
      <c r="J462" s="8"/>
    </row>
    <row r="463">
      <c r="C463" s="8"/>
      <c r="I463" s="8"/>
      <c r="J463" s="8"/>
    </row>
    <row r="464">
      <c r="C464" s="8"/>
      <c r="I464" s="8"/>
      <c r="J464" s="8"/>
    </row>
    <row r="465">
      <c r="C465" s="8"/>
      <c r="I465" s="8"/>
      <c r="J465" s="8"/>
    </row>
    <row r="466">
      <c r="C466" s="8"/>
      <c r="I466" s="8"/>
      <c r="J466" s="8"/>
    </row>
    <row r="467">
      <c r="C467" s="8"/>
      <c r="I467" s="8"/>
      <c r="J467" s="8"/>
    </row>
    <row r="468">
      <c r="C468" s="8"/>
      <c r="I468" s="8"/>
      <c r="J468" s="8"/>
    </row>
    <row r="469">
      <c r="C469" s="8"/>
      <c r="I469" s="8"/>
      <c r="J469" s="8"/>
    </row>
    <row r="470">
      <c r="C470" s="8"/>
      <c r="I470" s="8"/>
      <c r="J470" s="8"/>
    </row>
    <row r="471">
      <c r="C471" s="8"/>
      <c r="I471" s="8"/>
      <c r="J471" s="8"/>
    </row>
    <row r="472">
      <c r="C472" s="8"/>
      <c r="I472" s="8"/>
      <c r="J472" s="8"/>
    </row>
    <row r="473">
      <c r="C473" s="8"/>
      <c r="I473" s="8"/>
      <c r="J473" s="8"/>
    </row>
    <row r="474">
      <c r="C474" s="8"/>
      <c r="I474" s="8"/>
      <c r="J474" s="8"/>
    </row>
    <row r="475">
      <c r="C475" s="8"/>
      <c r="I475" s="8"/>
      <c r="J475" s="8"/>
    </row>
    <row r="476">
      <c r="C476" s="8"/>
      <c r="I476" s="8"/>
      <c r="J476" s="8"/>
    </row>
    <row r="477">
      <c r="C477" s="8"/>
      <c r="I477" s="8"/>
      <c r="J477" s="8"/>
    </row>
    <row r="478">
      <c r="C478" s="8"/>
      <c r="I478" s="8"/>
      <c r="J478" s="8"/>
    </row>
    <row r="479">
      <c r="C479" s="8"/>
      <c r="I479" s="8"/>
      <c r="J479" s="8"/>
    </row>
    <row r="480">
      <c r="C480" s="8"/>
      <c r="I480" s="8"/>
      <c r="J480" s="8"/>
    </row>
    <row r="481">
      <c r="C481" s="8"/>
      <c r="I481" s="8"/>
      <c r="J481" s="8"/>
    </row>
    <row r="482">
      <c r="C482" s="8"/>
      <c r="I482" s="8"/>
      <c r="J482" s="8"/>
    </row>
    <row r="483">
      <c r="C483" s="8"/>
      <c r="I483" s="8"/>
      <c r="J483" s="8"/>
    </row>
    <row r="484">
      <c r="C484" s="8"/>
      <c r="I484" s="8"/>
      <c r="J484" s="8"/>
    </row>
    <row r="485">
      <c r="C485" s="8"/>
      <c r="I485" s="8"/>
      <c r="J485" s="8"/>
    </row>
    <row r="486">
      <c r="C486" s="8"/>
      <c r="I486" s="8"/>
      <c r="J486" s="8"/>
    </row>
    <row r="487">
      <c r="C487" s="8"/>
      <c r="I487" s="8"/>
      <c r="J487" s="8"/>
    </row>
    <row r="488">
      <c r="C488" s="8"/>
      <c r="I488" s="8"/>
      <c r="J488" s="8"/>
    </row>
    <row r="489">
      <c r="C489" s="8"/>
      <c r="I489" s="8"/>
      <c r="J489" s="8"/>
    </row>
    <row r="490">
      <c r="C490" s="8"/>
      <c r="I490" s="8"/>
      <c r="J490" s="8"/>
    </row>
    <row r="491">
      <c r="C491" s="8"/>
      <c r="I491" s="8"/>
      <c r="J491" s="8"/>
    </row>
    <row r="492">
      <c r="C492" s="8"/>
      <c r="I492" s="8"/>
      <c r="J492" s="8"/>
    </row>
    <row r="493">
      <c r="C493" s="8"/>
      <c r="I493" s="8"/>
      <c r="J493" s="8"/>
    </row>
    <row r="494">
      <c r="C494" s="8"/>
      <c r="I494" s="8"/>
      <c r="J494" s="8"/>
    </row>
    <row r="495">
      <c r="C495" s="8"/>
      <c r="I495" s="8"/>
      <c r="J495" s="8"/>
    </row>
    <row r="496">
      <c r="C496" s="8"/>
      <c r="I496" s="8"/>
      <c r="J496" s="8"/>
    </row>
    <row r="497">
      <c r="C497" s="8"/>
      <c r="I497" s="8"/>
      <c r="J497" s="8"/>
    </row>
    <row r="498">
      <c r="C498" s="8"/>
      <c r="I498" s="8"/>
      <c r="J498" s="8"/>
    </row>
    <row r="499">
      <c r="C499" s="8"/>
      <c r="I499" s="8"/>
      <c r="J499" s="8"/>
    </row>
    <row r="500">
      <c r="C500" s="8"/>
      <c r="I500" s="8"/>
      <c r="J500" s="8"/>
    </row>
    <row r="501">
      <c r="C501" s="8"/>
      <c r="I501" s="8"/>
      <c r="J501" s="8"/>
    </row>
    <row r="502">
      <c r="C502" s="8"/>
      <c r="I502" s="8"/>
      <c r="J502" s="8"/>
    </row>
    <row r="503">
      <c r="C503" s="8"/>
      <c r="I503" s="8"/>
      <c r="J503" s="8"/>
    </row>
    <row r="504">
      <c r="C504" s="8"/>
      <c r="I504" s="8"/>
      <c r="J504" s="8"/>
    </row>
    <row r="505">
      <c r="C505" s="8"/>
      <c r="I505" s="8"/>
      <c r="J505" s="8"/>
    </row>
    <row r="506">
      <c r="C506" s="8"/>
      <c r="I506" s="8"/>
      <c r="J506" s="8"/>
    </row>
    <row r="507">
      <c r="C507" s="8"/>
      <c r="I507" s="8"/>
      <c r="J507" s="8"/>
    </row>
    <row r="508">
      <c r="C508" s="8"/>
      <c r="I508" s="8"/>
      <c r="J508" s="8"/>
    </row>
    <row r="509">
      <c r="C509" s="8"/>
      <c r="I509" s="8"/>
      <c r="J509" s="8"/>
    </row>
    <row r="510">
      <c r="C510" s="8"/>
      <c r="I510" s="8"/>
      <c r="J510" s="8"/>
    </row>
    <row r="511">
      <c r="C511" s="8"/>
      <c r="I511" s="8"/>
      <c r="J511" s="8"/>
    </row>
    <row r="512">
      <c r="C512" s="8"/>
      <c r="I512" s="8"/>
      <c r="J512" s="8"/>
    </row>
    <row r="513">
      <c r="C513" s="8"/>
      <c r="I513" s="8"/>
      <c r="J513" s="8"/>
    </row>
    <row r="514">
      <c r="C514" s="8"/>
      <c r="I514" s="8"/>
      <c r="J514" s="8"/>
    </row>
    <row r="515">
      <c r="C515" s="8"/>
      <c r="I515" s="8"/>
      <c r="J515" s="8"/>
    </row>
    <row r="516">
      <c r="C516" s="8"/>
      <c r="I516" s="8"/>
      <c r="J516" s="8"/>
    </row>
    <row r="517">
      <c r="C517" s="8"/>
      <c r="I517" s="8"/>
      <c r="J517" s="8"/>
    </row>
    <row r="518">
      <c r="C518" s="8"/>
      <c r="I518" s="8"/>
      <c r="J518" s="8"/>
    </row>
    <row r="519">
      <c r="C519" s="8"/>
      <c r="I519" s="8"/>
      <c r="J519" s="8"/>
    </row>
    <row r="520">
      <c r="C520" s="8"/>
      <c r="I520" s="8"/>
      <c r="J520" s="8"/>
    </row>
    <row r="521">
      <c r="C521" s="8"/>
      <c r="I521" s="8"/>
      <c r="J521" s="8"/>
    </row>
    <row r="522">
      <c r="C522" s="8"/>
      <c r="I522" s="8"/>
      <c r="J522" s="8"/>
    </row>
    <row r="523">
      <c r="C523" s="8"/>
      <c r="I523" s="8"/>
      <c r="J523" s="8"/>
    </row>
    <row r="524">
      <c r="C524" s="8"/>
      <c r="I524" s="8"/>
      <c r="J524" s="8"/>
    </row>
    <row r="525">
      <c r="C525" s="8"/>
      <c r="I525" s="8"/>
      <c r="J525" s="8"/>
    </row>
    <row r="526">
      <c r="C526" s="8"/>
      <c r="I526" s="8"/>
      <c r="J526" s="8"/>
    </row>
    <row r="527">
      <c r="C527" s="8"/>
      <c r="I527" s="8"/>
      <c r="J527" s="8"/>
    </row>
    <row r="528">
      <c r="C528" s="8"/>
      <c r="I528" s="8"/>
      <c r="J528" s="8"/>
    </row>
    <row r="529">
      <c r="C529" s="8"/>
      <c r="I529" s="8"/>
      <c r="J529" s="8"/>
    </row>
    <row r="530">
      <c r="C530" s="8"/>
      <c r="I530" s="8"/>
      <c r="J530" s="8"/>
    </row>
    <row r="531">
      <c r="C531" s="8"/>
      <c r="I531" s="8"/>
      <c r="J531" s="8"/>
    </row>
    <row r="532">
      <c r="C532" s="8"/>
      <c r="I532" s="8"/>
      <c r="J532" s="8"/>
    </row>
    <row r="533">
      <c r="C533" s="8"/>
      <c r="I533" s="8"/>
      <c r="J533" s="8"/>
    </row>
    <row r="534">
      <c r="C534" s="8"/>
      <c r="I534" s="8"/>
      <c r="J534" s="8"/>
    </row>
    <row r="535">
      <c r="C535" s="8"/>
      <c r="I535" s="8"/>
      <c r="J535" s="8"/>
    </row>
    <row r="536">
      <c r="C536" s="8"/>
      <c r="I536" s="8"/>
      <c r="J536" s="8"/>
    </row>
    <row r="537">
      <c r="C537" s="8"/>
      <c r="I537" s="8"/>
      <c r="J537" s="8"/>
    </row>
    <row r="538">
      <c r="C538" s="8"/>
      <c r="I538" s="8"/>
      <c r="J538" s="8"/>
    </row>
    <row r="539">
      <c r="C539" s="8"/>
      <c r="I539" s="8"/>
      <c r="J539" s="8"/>
    </row>
    <row r="540">
      <c r="C540" s="8"/>
      <c r="I540" s="8"/>
      <c r="J540" s="8"/>
    </row>
    <row r="541">
      <c r="C541" s="8"/>
      <c r="I541" s="8"/>
      <c r="J541" s="8"/>
    </row>
    <row r="542">
      <c r="C542" s="8"/>
      <c r="I542" s="8"/>
      <c r="J542" s="8"/>
    </row>
    <row r="543">
      <c r="C543" s="8"/>
      <c r="I543" s="8"/>
      <c r="J543" s="8"/>
    </row>
    <row r="544">
      <c r="C544" s="8"/>
      <c r="I544" s="8"/>
      <c r="J544" s="8"/>
    </row>
    <row r="545">
      <c r="C545" s="8"/>
      <c r="I545" s="8"/>
      <c r="J545" s="8"/>
    </row>
    <row r="546">
      <c r="C546" s="8"/>
      <c r="I546" s="8"/>
      <c r="J546" s="8"/>
    </row>
    <row r="547">
      <c r="C547" s="8"/>
      <c r="I547" s="8"/>
      <c r="J547" s="8"/>
    </row>
    <row r="548">
      <c r="C548" s="8"/>
      <c r="I548" s="8"/>
      <c r="J548" s="8"/>
    </row>
    <row r="549">
      <c r="C549" s="8"/>
      <c r="I549" s="8"/>
      <c r="J549" s="8"/>
    </row>
    <row r="550">
      <c r="C550" s="8"/>
      <c r="I550" s="8"/>
      <c r="J550" s="8"/>
    </row>
    <row r="551">
      <c r="C551" s="8"/>
      <c r="I551" s="8"/>
      <c r="J551" s="8"/>
    </row>
    <row r="552">
      <c r="C552" s="8"/>
      <c r="I552" s="8"/>
      <c r="J552" s="8"/>
    </row>
    <row r="553">
      <c r="C553" s="8"/>
      <c r="I553" s="8"/>
      <c r="J553" s="8"/>
    </row>
    <row r="554">
      <c r="C554" s="8"/>
      <c r="I554" s="8"/>
      <c r="J554" s="8"/>
    </row>
    <row r="555">
      <c r="C555" s="8"/>
      <c r="I555" s="8"/>
      <c r="J555" s="8"/>
    </row>
    <row r="556">
      <c r="C556" s="8"/>
      <c r="I556" s="8"/>
      <c r="J556" s="8"/>
    </row>
    <row r="557">
      <c r="C557" s="8"/>
      <c r="I557" s="8"/>
      <c r="J557" s="8"/>
    </row>
    <row r="558">
      <c r="C558" s="8"/>
      <c r="I558" s="8"/>
      <c r="J558" s="8"/>
    </row>
    <row r="559">
      <c r="C559" s="8"/>
      <c r="I559" s="8"/>
      <c r="J559" s="8"/>
    </row>
    <row r="560">
      <c r="C560" s="8"/>
      <c r="I560" s="8"/>
      <c r="J560" s="8"/>
    </row>
    <row r="561">
      <c r="C561" s="8"/>
      <c r="I561" s="8"/>
      <c r="J561" s="8"/>
    </row>
    <row r="562">
      <c r="C562" s="8"/>
      <c r="I562" s="8"/>
      <c r="J562" s="8"/>
    </row>
    <row r="563">
      <c r="C563" s="8"/>
      <c r="I563" s="8"/>
      <c r="J563" s="8"/>
    </row>
    <row r="564">
      <c r="C564" s="8"/>
      <c r="I564" s="8"/>
      <c r="J564" s="8"/>
    </row>
    <row r="565">
      <c r="C565" s="8"/>
      <c r="I565" s="8"/>
      <c r="J565" s="8"/>
    </row>
    <row r="566">
      <c r="C566" s="8"/>
      <c r="I566" s="8"/>
      <c r="J566" s="8"/>
    </row>
    <row r="567">
      <c r="C567" s="8"/>
      <c r="I567" s="8"/>
      <c r="J567" s="8"/>
    </row>
    <row r="568">
      <c r="C568" s="8"/>
      <c r="I568" s="8"/>
      <c r="J568" s="8"/>
    </row>
    <row r="569">
      <c r="C569" s="8"/>
      <c r="I569" s="8"/>
      <c r="J569" s="8"/>
    </row>
    <row r="570">
      <c r="C570" s="8"/>
      <c r="I570" s="8"/>
      <c r="J570" s="8"/>
    </row>
    <row r="571">
      <c r="C571" s="8"/>
      <c r="I571" s="8"/>
      <c r="J571" s="8"/>
    </row>
    <row r="572">
      <c r="C572" s="8"/>
      <c r="I572" s="8"/>
      <c r="J572" s="8"/>
    </row>
    <row r="573">
      <c r="C573" s="8"/>
      <c r="I573" s="8"/>
      <c r="J573" s="8"/>
    </row>
    <row r="574">
      <c r="C574" s="8"/>
      <c r="I574" s="8"/>
      <c r="J574" s="8"/>
    </row>
    <row r="575">
      <c r="C575" s="8"/>
      <c r="I575" s="8"/>
      <c r="J575" s="8"/>
    </row>
    <row r="576">
      <c r="C576" s="8"/>
      <c r="I576" s="8"/>
      <c r="J576" s="8"/>
    </row>
    <row r="577">
      <c r="C577" s="8"/>
      <c r="I577" s="8"/>
      <c r="J577" s="8"/>
    </row>
    <row r="578">
      <c r="C578" s="8"/>
      <c r="I578" s="8"/>
      <c r="J578" s="8"/>
    </row>
    <row r="579">
      <c r="C579" s="8"/>
      <c r="I579" s="8"/>
      <c r="J579" s="8"/>
    </row>
    <row r="580">
      <c r="C580" s="8"/>
      <c r="I580" s="8"/>
      <c r="J580" s="8"/>
    </row>
    <row r="581">
      <c r="C581" s="8"/>
      <c r="I581" s="8"/>
      <c r="J581" s="8"/>
    </row>
    <row r="582">
      <c r="C582" s="8"/>
      <c r="I582" s="8"/>
      <c r="J582" s="8"/>
    </row>
    <row r="583">
      <c r="C583" s="8"/>
      <c r="I583" s="8"/>
      <c r="J583" s="8"/>
    </row>
    <row r="584">
      <c r="C584" s="8"/>
      <c r="I584" s="8"/>
      <c r="J584" s="8"/>
    </row>
    <row r="585">
      <c r="C585" s="8"/>
      <c r="I585" s="8"/>
      <c r="J585" s="8"/>
    </row>
    <row r="586">
      <c r="C586" s="8"/>
      <c r="I586" s="8"/>
      <c r="J586" s="8"/>
    </row>
    <row r="587">
      <c r="C587" s="8"/>
      <c r="I587" s="8"/>
      <c r="J587" s="8"/>
    </row>
    <row r="588">
      <c r="C588" s="8"/>
      <c r="I588" s="8"/>
      <c r="J588" s="8"/>
    </row>
    <row r="589">
      <c r="C589" s="8"/>
      <c r="I589" s="8"/>
      <c r="J589" s="8"/>
    </row>
    <row r="590">
      <c r="C590" s="8"/>
      <c r="I590" s="8"/>
      <c r="J590" s="8"/>
    </row>
    <row r="591">
      <c r="C591" s="8"/>
      <c r="I591" s="8"/>
      <c r="J591" s="8"/>
    </row>
    <row r="592">
      <c r="C592" s="8"/>
      <c r="I592" s="8"/>
      <c r="J592" s="8"/>
    </row>
    <row r="593">
      <c r="C593" s="8"/>
      <c r="I593" s="8"/>
      <c r="J593" s="8"/>
    </row>
    <row r="594">
      <c r="C594" s="8"/>
      <c r="I594" s="8"/>
      <c r="J594" s="8"/>
    </row>
    <row r="595">
      <c r="C595" s="8"/>
      <c r="I595" s="8"/>
      <c r="J595" s="8"/>
    </row>
    <row r="596">
      <c r="C596" s="8"/>
      <c r="I596" s="8"/>
      <c r="J596" s="8"/>
    </row>
    <row r="597">
      <c r="C597" s="8"/>
      <c r="I597" s="8"/>
      <c r="J597" s="8"/>
    </row>
    <row r="598">
      <c r="C598" s="8"/>
      <c r="I598" s="8"/>
      <c r="J598" s="8"/>
    </row>
    <row r="599">
      <c r="C599" s="8"/>
      <c r="I599" s="8"/>
      <c r="J599" s="8"/>
    </row>
    <row r="600">
      <c r="C600" s="8"/>
      <c r="I600" s="8"/>
      <c r="J600" s="8"/>
    </row>
    <row r="601">
      <c r="C601" s="8"/>
      <c r="I601" s="8"/>
      <c r="J601" s="8"/>
    </row>
    <row r="602">
      <c r="C602" s="8"/>
      <c r="I602" s="8"/>
      <c r="J602" s="8"/>
    </row>
    <row r="603">
      <c r="C603" s="8"/>
      <c r="I603" s="8"/>
      <c r="J603" s="8"/>
    </row>
    <row r="604">
      <c r="C604" s="8"/>
      <c r="I604" s="8"/>
      <c r="J604" s="8"/>
    </row>
    <row r="605">
      <c r="C605" s="8"/>
      <c r="I605" s="8"/>
      <c r="J605" s="8"/>
    </row>
    <row r="606">
      <c r="C606" s="8"/>
      <c r="I606" s="8"/>
      <c r="J606" s="8"/>
    </row>
    <row r="607">
      <c r="C607" s="8"/>
      <c r="I607" s="8"/>
      <c r="J607" s="8"/>
    </row>
    <row r="608">
      <c r="C608" s="8"/>
      <c r="I608" s="8"/>
      <c r="J608" s="8"/>
    </row>
    <row r="609">
      <c r="C609" s="8"/>
      <c r="I609" s="8"/>
      <c r="J609" s="8"/>
    </row>
    <row r="610">
      <c r="C610" s="8"/>
      <c r="I610" s="8"/>
      <c r="J610" s="8"/>
    </row>
    <row r="611">
      <c r="C611" s="8"/>
      <c r="I611" s="8"/>
      <c r="J611" s="8"/>
    </row>
    <row r="612">
      <c r="C612" s="8"/>
      <c r="I612" s="8"/>
      <c r="J612" s="8"/>
    </row>
    <row r="613">
      <c r="C613" s="8"/>
      <c r="I613" s="8"/>
      <c r="J613" s="8"/>
    </row>
    <row r="614">
      <c r="C614" s="8"/>
      <c r="I614" s="8"/>
      <c r="J614" s="8"/>
    </row>
    <row r="615">
      <c r="C615" s="8"/>
      <c r="I615" s="8"/>
      <c r="J615" s="8"/>
    </row>
    <row r="616">
      <c r="C616" s="8"/>
      <c r="I616" s="8"/>
      <c r="J616" s="8"/>
    </row>
    <row r="617">
      <c r="C617" s="8"/>
      <c r="I617" s="8"/>
      <c r="J617" s="8"/>
    </row>
    <row r="618">
      <c r="C618" s="8"/>
      <c r="I618" s="8"/>
      <c r="J618" s="8"/>
    </row>
    <row r="619">
      <c r="C619" s="8"/>
      <c r="I619" s="8"/>
      <c r="J619" s="8"/>
    </row>
    <row r="620">
      <c r="C620" s="8"/>
      <c r="I620" s="8"/>
      <c r="J620" s="8"/>
    </row>
    <row r="621">
      <c r="C621" s="8"/>
      <c r="I621" s="8"/>
      <c r="J621" s="8"/>
    </row>
    <row r="622">
      <c r="C622" s="8"/>
      <c r="I622" s="8"/>
      <c r="J622" s="8"/>
    </row>
    <row r="623">
      <c r="C623" s="8"/>
      <c r="I623" s="8"/>
      <c r="J623" s="8"/>
    </row>
    <row r="624">
      <c r="C624" s="8"/>
      <c r="I624" s="8"/>
      <c r="J624" s="8"/>
    </row>
    <row r="625">
      <c r="C625" s="8"/>
      <c r="I625" s="8"/>
      <c r="J625" s="8"/>
    </row>
    <row r="626">
      <c r="C626" s="8"/>
      <c r="I626" s="8"/>
      <c r="J626" s="8"/>
    </row>
    <row r="627">
      <c r="C627" s="8"/>
      <c r="I627" s="8"/>
      <c r="J627" s="8"/>
    </row>
    <row r="628">
      <c r="C628" s="8"/>
      <c r="I628" s="8"/>
      <c r="J628" s="8"/>
    </row>
    <row r="629">
      <c r="C629" s="8"/>
      <c r="I629" s="8"/>
      <c r="J629" s="8"/>
    </row>
    <row r="630">
      <c r="C630" s="8"/>
      <c r="I630" s="8"/>
      <c r="J630" s="8"/>
    </row>
    <row r="631">
      <c r="C631" s="8"/>
      <c r="I631" s="8"/>
      <c r="J631" s="8"/>
    </row>
    <row r="632">
      <c r="C632" s="8"/>
      <c r="I632" s="8"/>
      <c r="J632" s="8"/>
    </row>
    <row r="633">
      <c r="C633" s="8"/>
      <c r="I633" s="8"/>
      <c r="J633" s="8"/>
    </row>
    <row r="634">
      <c r="C634" s="8"/>
      <c r="I634" s="8"/>
      <c r="J634" s="8"/>
    </row>
    <row r="635">
      <c r="C635" s="8"/>
      <c r="I635" s="8"/>
      <c r="J635" s="8"/>
    </row>
    <row r="636">
      <c r="C636" s="8"/>
      <c r="I636" s="8"/>
      <c r="J636" s="8"/>
    </row>
    <row r="637">
      <c r="C637" s="8"/>
      <c r="I637" s="8"/>
      <c r="J637" s="8"/>
    </row>
    <row r="638">
      <c r="C638" s="8"/>
      <c r="I638" s="8"/>
      <c r="J638" s="8"/>
    </row>
    <row r="639">
      <c r="C639" s="8"/>
      <c r="I639" s="8"/>
      <c r="J639" s="8"/>
    </row>
    <row r="640">
      <c r="C640" s="8"/>
      <c r="I640" s="8"/>
      <c r="J640" s="8"/>
    </row>
    <row r="641">
      <c r="C641" s="8"/>
      <c r="I641" s="8"/>
      <c r="J641" s="8"/>
    </row>
    <row r="642">
      <c r="C642" s="8"/>
      <c r="I642" s="8"/>
      <c r="J642" s="8"/>
    </row>
    <row r="643">
      <c r="C643" s="8"/>
      <c r="I643" s="8"/>
      <c r="J643" s="8"/>
    </row>
    <row r="644">
      <c r="C644" s="8"/>
      <c r="I644" s="8"/>
      <c r="J644" s="8"/>
    </row>
    <row r="645">
      <c r="C645" s="8"/>
      <c r="I645" s="8"/>
      <c r="J645" s="8"/>
    </row>
    <row r="646">
      <c r="C646" s="8"/>
      <c r="I646" s="8"/>
      <c r="J646" s="8"/>
    </row>
    <row r="647">
      <c r="C647" s="8"/>
      <c r="I647" s="8"/>
      <c r="J647" s="8"/>
    </row>
    <row r="648">
      <c r="C648" s="8"/>
      <c r="I648" s="8"/>
      <c r="J648" s="8"/>
    </row>
    <row r="649">
      <c r="C649" s="8"/>
      <c r="I649" s="8"/>
      <c r="J649" s="8"/>
    </row>
    <row r="650">
      <c r="C650" s="8"/>
      <c r="I650" s="8"/>
      <c r="J650" s="8"/>
    </row>
    <row r="651">
      <c r="C651" s="8"/>
      <c r="I651" s="8"/>
      <c r="J651" s="8"/>
    </row>
    <row r="652">
      <c r="C652" s="8"/>
      <c r="I652" s="8"/>
      <c r="J652" s="8"/>
    </row>
    <row r="653">
      <c r="C653" s="8"/>
      <c r="I653" s="8"/>
      <c r="J653" s="8"/>
    </row>
    <row r="654">
      <c r="C654" s="8"/>
      <c r="I654" s="8"/>
      <c r="J654" s="8"/>
    </row>
    <row r="655">
      <c r="C655" s="8"/>
      <c r="I655" s="8"/>
      <c r="J655" s="8"/>
    </row>
    <row r="656">
      <c r="C656" s="8"/>
      <c r="I656" s="8"/>
      <c r="J656" s="8"/>
    </row>
    <row r="657">
      <c r="C657" s="8"/>
      <c r="I657" s="8"/>
      <c r="J657" s="8"/>
    </row>
    <row r="658">
      <c r="C658" s="8"/>
      <c r="I658" s="8"/>
      <c r="J658" s="8"/>
    </row>
    <row r="659">
      <c r="C659" s="8"/>
      <c r="I659" s="8"/>
      <c r="J659" s="8"/>
    </row>
    <row r="660">
      <c r="C660" s="8"/>
      <c r="I660" s="8"/>
      <c r="J660" s="8"/>
    </row>
    <row r="661">
      <c r="C661" s="8"/>
      <c r="I661" s="8"/>
      <c r="J661" s="8"/>
    </row>
    <row r="662">
      <c r="C662" s="8"/>
      <c r="I662" s="8"/>
      <c r="J662" s="8"/>
    </row>
    <row r="663">
      <c r="C663" s="8"/>
      <c r="I663" s="8"/>
      <c r="J663" s="8"/>
    </row>
    <row r="664">
      <c r="C664" s="8"/>
      <c r="I664" s="8"/>
      <c r="J664" s="8"/>
    </row>
    <row r="665">
      <c r="C665" s="8"/>
      <c r="I665" s="8"/>
      <c r="J665" s="8"/>
    </row>
    <row r="666">
      <c r="C666" s="8"/>
      <c r="I666" s="8"/>
      <c r="J666" s="8"/>
    </row>
    <row r="667">
      <c r="C667" s="8"/>
      <c r="I667" s="8"/>
      <c r="J667" s="8"/>
    </row>
    <row r="668">
      <c r="C668" s="8"/>
      <c r="I668" s="8"/>
      <c r="J668" s="8"/>
    </row>
    <row r="669">
      <c r="C669" s="8"/>
      <c r="I669" s="8"/>
      <c r="J669" s="8"/>
    </row>
    <row r="670">
      <c r="C670" s="8"/>
      <c r="I670" s="8"/>
      <c r="J670" s="8"/>
    </row>
    <row r="671">
      <c r="C671" s="8"/>
      <c r="I671" s="8"/>
      <c r="J671" s="8"/>
    </row>
    <row r="672">
      <c r="C672" s="8"/>
      <c r="I672" s="8"/>
      <c r="J672" s="8"/>
    </row>
    <row r="673">
      <c r="C673" s="8"/>
      <c r="I673" s="8"/>
      <c r="J673" s="8"/>
    </row>
    <row r="674">
      <c r="C674" s="8"/>
      <c r="I674" s="8"/>
      <c r="J674" s="8"/>
    </row>
    <row r="675">
      <c r="C675" s="8"/>
      <c r="I675" s="8"/>
      <c r="J675" s="8"/>
    </row>
    <row r="676">
      <c r="C676" s="8"/>
      <c r="I676" s="8"/>
      <c r="J676" s="8"/>
    </row>
    <row r="677">
      <c r="C677" s="8"/>
      <c r="I677" s="8"/>
      <c r="J677" s="8"/>
    </row>
    <row r="678">
      <c r="C678" s="8"/>
      <c r="I678" s="8"/>
      <c r="J678" s="8"/>
    </row>
    <row r="679">
      <c r="C679" s="8"/>
      <c r="I679" s="8"/>
      <c r="J679" s="8"/>
    </row>
    <row r="680">
      <c r="C680" s="8"/>
      <c r="I680" s="8"/>
      <c r="J680" s="8"/>
    </row>
    <row r="681">
      <c r="C681" s="8"/>
      <c r="I681" s="8"/>
      <c r="J681" s="8"/>
    </row>
    <row r="682">
      <c r="C682" s="8"/>
      <c r="I682" s="8"/>
      <c r="J682" s="8"/>
    </row>
    <row r="683">
      <c r="C683" s="8"/>
      <c r="I683" s="8"/>
      <c r="J683" s="8"/>
    </row>
    <row r="684">
      <c r="C684" s="8"/>
      <c r="I684" s="8"/>
      <c r="J684" s="8"/>
    </row>
    <row r="685">
      <c r="C685" s="8"/>
      <c r="I685" s="8"/>
      <c r="J685" s="8"/>
    </row>
    <row r="686">
      <c r="C686" s="8"/>
      <c r="I686" s="8"/>
      <c r="J686" s="8"/>
    </row>
    <row r="687">
      <c r="C687" s="8"/>
      <c r="I687" s="8"/>
      <c r="J687" s="8"/>
    </row>
    <row r="688">
      <c r="C688" s="8"/>
      <c r="I688" s="8"/>
      <c r="J688" s="8"/>
    </row>
    <row r="689">
      <c r="C689" s="8"/>
      <c r="I689" s="8"/>
      <c r="J689" s="8"/>
    </row>
    <row r="690">
      <c r="C690" s="8"/>
      <c r="I690" s="8"/>
      <c r="J690" s="8"/>
    </row>
    <row r="691">
      <c r="C691" s="8"/>
      <c r="I691" s="8"/>
      <c r="J691" s="8"/>
    </row>
    <row r="692">
      <c r="C692" s="8"/>
      <c r="I692" s="8"/>
      <c r="J692" s="8"/>
    </row>
    <row r="693">
      <c r="C693" s="8"/>
      <c r="I693" s="8"/>
      <c r="J693" s="8"/>
    </row>
    <row r="694">
      <c r="C694" s="8"/>
      <c r="I694" s="8"/>
      <c r="J694" s="8"/>
    </row>
    <row r="695">
      <c r="C695" s="8"/>
      <c r="I695" s="8"/>
      <c r="J695" s="8"/>
    </row>
    <row r="696">
      <c r="C696" s="8"/>
      <c r="I696" s="8"/>
      <c r="J696" s="8"/>
    </row>
    <row r="697">
      <c r="C697" s="8"/>
      <c r="I697" s="8"/>
      <c r="J697" s="8"/>
    </row>
    <row r="698">
      <c r="C698" s="8"/>
      <c r="I698" s="8"/>
      <c r="J698" s="8"/>
    </row>
    <row r="699">
      <c r="C699" s="8"/>
      <c r="I699" s="8"/>
      <c r="J699" s="8"/>
    </row>
    <row r="700">
      <c r="C700" s="8"/>
      <c r="I700" s="8"/>
      <c r="J700" s="8"/>
    </row>
    <row r="701">
      <c r="C701" s="8"/>
      <c r="I701" s="8"/>
      <c r="J701" s="8"/>
    </row>
    <row r="702">
      <c r="C702" s="8"/>
      <c r="I702" s="8"/>
      <c r="J702" s="8"/>
    </row>
    <row r="703">
      <c r="C703" s="8"/>
      <c r="I703" s="8"/>
      <c r="J703" s="8"/>
    </row>
    <row r="704">
      <c r="C704" s="8"/>
      <c r="I704" s="8"/>
      <c r="J704" s="8"/>
    </row>
    <row r="705">
      <c r="C705" s="8"/>
      <c r="I705" s="8"/>
      <c r="J705" s="8"/>
    </row>
    <row r="706">
      <c r="C706" s="8"/>
      <c r="I706" s="8"/>
      <c r="J706" s="8"/>
    </row>
    <row r="707">
      <c r="C707" s="8"/>
      <c r="I707" s="8"/>
      <c r="J707" s="8"/>
    </row>
    <row r="708">
      <c r="C708" s="8"/>
      <c r="I708" s="8"/>
      <c r="J708" s="8"/>
    </row>
    <row r="709">
      <c r="C709" s="8"/>
      <c r="I709" s="8"/>
      <c r="J709" s="8"/>
    </row>
    <row r="710">
      <c r="C710" s="8"/>
      <c r="I710" s="8"/>
      <c r="J710" s="8"/>
    </row>
    <row r="711">
      <c r="C711" s="8"/>
      <c r="I711" s="8"/>
      <c r="J711" s="8"/>
    </row>
    <row r="712">
      <c r="C712" s="8"/>
      <c r="I712" s="8"/>
      <c r="J712" s="8"/>
    </row>
    <row r="713">
      <c r="C713" s="8"/>
      <c r="I713" s="8"/>
      <c r="J713" s="8"/>
    </row>
    <row r="714">
      <c r="C714" s="8"/>
      <c r="I714" s="8"/>
      <c r="J714" s="8"/>
    </row>
    <row r="715">
      <c r="C715" s="8"/>
      <c r="I715" s="8"/>
      <c r="J715" s="8"/>
    </row>
    <row r="716">
      <c r="C716" s="8"/>
      <c r="I716" s="8"/>
      <c r="J716" s="8"/>
    </row>
    <row r="717">
      <c r="C717" s="8"/>
      <c r="I717" s="8"/>
      <c r="J717" s="8"/>
    </row>
    <row r="718">
      <c r="C718" s="8"/>
      <c r="I718" s="8"/>
      <c r="J718" s="8"/>
    </row>
    <row r="719">
      <c r="C719" s="8"/>
      <c r="I719" s="8"/>
      <c r="J719" s="8"/>
    </row>
    <row r="720">
      <c r="C720" s="8"/>
      <c r="I720" s="8"/>
      <c r="J720" s="8"/>
    </row>
    <row r="721">
      <c r="C721" s="8"/>
      <c r="I721" s="8"/>
      <c r="J721" s="8"/>
    </row>
    <row r="722">
      <c r="C722" s="8"/>
      <c r="I722" s="8"/>
      <c r="J722" s="8"/>
    </row>
    <row r="723">
      <c r="C723" s="8"/>
      <c r="I723" s="8"/>
      <c r="J723" s="8"/>
    </row>
    <row r="724">
      <c r="C724" s="8"/>
      <c r="I724" s="8"/>
      <c r="J724" s="8"/>
    </row>
    <row r="725">
      <c r="C725" s="8"/>
      <c r="I725" s="8"/>
      <c r="J725" s="8"/>
    </row>
    <row r="726">
      <c r="C726" s="8"/>
      <c r="I726" s="8"/>
      <c r="J726" s="8"/>
    </row>
    <row r="727">
      <c r="C727" s="8"/>
      <c r="I727" s="8"/>
      <c r="J727" s="8"/>
    </row>
    <row r="728">
      <c r="C728" s="8"/>
      <c r="I728" s="8"/>
      <c r="J728" s="8"/>
    </row>
    <row r="729">
      <c r="C729" s="8"/>
      <c r="I729" s="8"/>
      <c r="J729" s="8"/>
    </row>
    <row r="730">
      <c r="C730" s="8"/>
      <c r="I730" s="8"/>
      <c r="J730" s="8"/>
    </row>
    <row r="731">
      <c r="C731" s="8"/>
      <c r="I731" s="8"/>
      <c r="J731" s="8"/>
    </row>
    <row r="732">
      <c r="C732" s="8"/>
      <c r="I732" s="8"/>
      <c r="J732" s="8"/>
    </row>
    <row r="733">
      <c r="C733" s="8"/>
      <c r="I733" s="8"/>
      <c r="J733" s="8"/>
    </row>
    <row r="734">
      <c r="C734" s="8"/>
      <c r="I734" s="8"/>
      <c r="J734" s="8"/>
    </row>
    <row r="735">
      <c r="C735" s="8"/>
      <c r="I735" s="8"/>
      <c r="J735" s="8"/>
    </row>
    <row r="736">
      <c r="C736" s="8"/>
      <c r="I736" s="8"/>
      <c r="J736" s="8"/>
    </row>
    <row r="737">
      <c r="C737" s="8"/>
      <c r="I737" s="8"/>
      <c r="J737" s="8"/>
    </row>
    <row r="738">
      <c r="C738" s="8"/>
      <c r="I738" s="8"/>
      <c r="J738" s="8"/>
    </row>
    <row r="739">
      <c r="C739" s="8"/>
      <c r="I739" s="8"/>
      <c r="J739" s="8"/>
    </row>
    <row r="740">
      <c r="C740" s="8"/>
      <c r="I740" s="8"/>
      <c r="J740" s="8"/>
    </row>
    <row r="741">
      <c r="C741" s="8"/>
      <c r="I741" s="8"/>
      <c r="J741" s="8"/>
    </row>
    <row r="742">
      <c r="C742" s="8"/>
      <c r="I742" s="8"/>
      <c r="J742" s="8"/>
    </row>
    <row r="743">
      <c r="C743" s="8"/>
      <c r="I743" s="8"/>
      <c r="J743" s="8"/>
    </row>
    <row r="744">
      <c r="C744" s="8"/>
      <c r="I744" s="8"/>
      <c r="J744" s="8"/>
    </row>
    <row r="745">
      <c r="C745" s="8"/>
      <c r="I745" s="8"/>
      <c r="J745" s="8"/>
    </row>
    <row r="746">
      <c r="C746" s="8"/>
      <c r="I746" s="8"/>
      <c r="J746" s="8"/>
    </row>
    <row r="747">
      <c r="C747" s="8"/>
      <c r="I747" s="8"/>
      <c r="J747" s="8"/>
    </row>
    <row r="748">
      <c r="C748" s="8"/>
      <c r="I748" s="8"/>
      <c r="J748" s="8"/>
    </row>
    <row r="749">
      <c r="C749" s="8"/>
      <c r="I749" s="8"/>
      <c r="J749" s="8"/>
    </row>
    <row r="750">
      <c r="C750" s="8"/>
      <c r="I750" s="8"/>
      <c r="J750" s="8"/>
    </row>
    <row r="751">
      <c r="C751" s="8"/>
      <c r="I751" s="8"/>
      <c r="J751" s="8"/>
    </row>
    <row r="752">
      <c r="C752" s="8"/>
      <c r="I752" s="8"/>
      <c r="J752" s="8"/>
    </row>
    <row r="753">
      <c r="C753" s="8"/>
      <c r="I753" s="8"/>
      <c r="J753" s="8"/>
    </row>
    <row r="754">
      <c r="C754" s="8"/>
      <c r="I754" s="8"/>
      <c r="J754" s="8"/>
    </row>
    <row r="755">
      <c r="C755" s="8"/>
      <c r="I755" s="8"/>
      <c r="J755" s="8"/>
    </row>
    <row r="756">
      <c r="C756" s="8"/>
      <c r="I756" s="8"/>
      <c r="J756" s="8"/>
    </row>
    <row r="757">
      <c r="C757" s="8"/>
      <c r="I757" s="8"/>
      <c r="J757" s="8"/>
    </row>
    <row r="758">
      <c r="C758" s="8"/>
      <c r="I758" s="8"/>
      <c r="J758" s="8"/>
    </row>
    <row r="759">
      <c r="C759" s="8"/>
      <c r="I759" s="8"/>
      <c r="J759" s="8"/>
    </row>
    <row r="760">
      <c r="C760" s="8"/>
      <c r="I760" s="8"/>
      <c r="J760" s="8"/>
    </row>
    <row r="761">
      <c r="C761" s="8"/>
      <c r="I761" s="8"/>
      <c r="J761" s="8"/>
    </row>
    <row r="762">
      <c r="C762" s="8"/>
      <c r="I762" s="8"/>
      <c r="J762" s="8"/>
    </row>
    <row r="763">
      <c r="C763" s="8"/>
      <c r="I763" s="8"/>
      <c r="J763" s="8"/>
    </row>
    <row r="764">
      <c r="C764" s="8"/>
      <c r="I764" s="8"/>
      <c r="J764" s="8"/>
    </row>
    <row r="765">
      <c r="C765" s="8"/>
      <c r="I765" s="8"/>
      <c r="J765" s="8"/>
    </row>
    <row r="766">
      <c r="C766" s="8"/>
      <c r="I766" s="8"/>
      <c r="J766" s="8"/>
    </row>
    <row r="767">
      <c r="C767" s="8"/>
      <c r="I767" s="8"/>
      <c r="J767" s="8"/>
    </row>
    <row r="768">
      <c r="C768" s="8"/>
      <c r="I768" s="8"/>
      <c r="J768" s="8"/>
    </row>
    <row r="769">
      <c r="C769" s="8"/>
      <c r="I769" s="8"/>
      <c r="J769" s="8"/>
    </row>
    <row r="770">
      <c r="C770" s="8"/>
      <c r="I770" s="8"/>
      <c r="J770" s="8"/>
    </row>
    <row r="771">
      <c r="C771" s="8"/>
      <c r="I771" s="8"/>
      <c r="J771" s="8"/>
    </row>
    <row r="772">
      <c r="C772" s="8"/>
      <c r="I772" s="8"/>
      <c r="J772" s="8"/>
    </row>
    <row r="773">
      <c r="C773" s="8"/>
      <c r="I773" s="8"/>
      <c r="J773" s="8"/>
    </row>
    <row r="774">
      <c r="C774" s="8"/>
      <c r="I774" s="8"/>
      <c r="J774" s="8"/>
    </row>
    <row r="775">
      <c r="C775" s="8"/>
      <c r="I775" s="8"/>
      <c r="J775" s="8"/>
    </row>
    <row r="776">
      <c r="C776" s="8"/>
      <c r="I776" s="8"/>
      <c r="J776" s="8"/>
    </row>
    <row r="777">
      <c r="C777" s="8"/>
      <c r="I777" s="8"/>
      <c r="J777" s="8"/>
    </row>
    <row r="778">
      <c r="C778" s="8"/>
      <c r="I778" s="8"/>
      <c r="J778" s="8"/>
    </row>
    <row r="779">
      <c r="C779" s="8"/>
      <c r="I779" s="8"/>
      <c r="J779" s="8"/>
    </row>
    <row r="780">
      <c r="C780" s="8"/>
      <c r="I780" s="8"/>
      <c r="J780" s="8"/>
    </row>
    <row r="781">
      <c r="C781" s="8"/>
      <c r="I781" s="8"/>
      <c r="J781" s="8"/>
    </row>
    <row r="782">
      <c r="C782" s="8"/>
      <c r="I782" s="8"/>
      <c r="J782" s="8"/>
    </row>
    <row r="783">
      <c r="C783" s="8"/>
      <c r="I783" s="8"/>
      <c r="J783" s="8"/>
    </row>
    <row r="784">
      <c r="C784" s="8"/>
      <c r="I784" s="8"/>
      <c r="J784" s="8"/>
    </row>
    <row r="785">
      <c r="C785" s="8"/>
      <c r="I785" s="8"/>
      <c r="J785" s="8"/>
    </row>
    <row r="786">
      <c r="C786" s="8"/>
      <c r="I786" s="8"/>
      <c r="J786" s="8"/>
    </row>
    <row r="787">
      <c r="C787" s="8"/>
      <c r="I787" s="8"/>
      <c r="J787" s="8"/>
    </row>
    <row r="788">
      <c r="C788" s="8"/>
      <c r="I788" s="8"/>
      <c r="J788" s="8"/>
    </row>
    <row r="789">
      <c r="C789" s="8"/>
      <c r="I789" s="8"/>
      <c r="J789" s="8"/>
    </row>
    <row r="790">
      <c r="C790" s="8"/>
      <c r="I790" s="8"/>
      <c r="J790" s="8"/>
    </row>
    <row r="791">
      <c r="C791" s="8"/>
      <c r="I791" s="8"/>
      <c r="J791" s="8"/>
    </row>
    <row r="792">
      <c r="C792" s="8"/>
      <c r="I792" s="8"/>
      <c r="J792" s="8"/>
    </row>
    <row r="793">
      <c r="C793" s="8"/>
      <c r="I793" s="8"/>
      <c r="J793" s="8"/>
    </row>
    <row r="794">
      <c r="C794" s="8"/>
      <c r="I794" s="8"/>
      <c r="J794" s="8"/>
    </row>
    <row r="795">
      <c r="C795" s="8"/>
      <c r="I795" s="8"/>
      <c r="J795" s="8"/>
    </row>
    <row r="796">
      <c r="C796" s="8"/>
      <c r="I796" s="8"/>
      <c r="J796" s="8"/>
    </row>
    <row r="797">
      <c r="C797" s="8"/>
      <c r="I797" s="8"/>
      <c r="J797" s="8"/>
    </row>
    <row r="798">
      <c r="C798" s="8"/>
      <c r="I798" s="8"/>
      <c r="J798" s="8"/>
    </row>
    <row r="799">
      <c r="C799" s="8"/>
      <c r="I799" s="8"/>
      <c r="J799" s="8"/>
    </row>
    <row r="800">
      <c r="C800" s="8"/>
      <c r="I800" s="8"/>
      <c r="J800" s="8"/>
    </row>
    <row r="801">
      <c r="C801" s="8"/>
      <c r="I801" s="8"/>
      <c r="J801" s="8"/>
    </row>
    <row r="802">
      <c r="C802" s="8"/>
      <c r="I802" s="8"/>
      <c r="J802" s="8"/>
    </row>
    <row r="803">
      <c r="C803" s="8"/>
      <c r="I803" s="8"/>
      <c r="J803" s="8"/>
    </row>
    <row r="804">
      <c r="C804" s="8"/>
      <c r="I804" s="8"/>
      <c r="J804" s="8"/>
    </row>
    <row r="805">
      <c r="C805" s="8"/>
      <c r="I805" s="8"/>
      <c r="J805" s="8"/>
    </row>
    <row r="806">
      <c r="C806" s="8"/>
      <c r="I806" s="8"/>
      <c r="J806" s="8"/>
    </row>
    <row r="807">
      <c r="C807" s="8"/>
      <c r="I807" s="8"/>
      <c r="J807" s="8"/>
    </row>
    <row r="808">
      <c r="C808" s="8"/>
      <c r="I808" s="8"/>
      <c r="J808" s="8"/>
    </row>
    <row r="809">
      <c r="C809" s="8"/>
      <c r="I809" s="8"/>
      <c r="J809" s="8"/>
    </row>
    <row r="810">
      <c r="C810" s="8"/>
      <c r="I810" s="8"/>
      <c r="J810" s="8"/>
    </row>
    <row r="811">
      <c r="C811" s="8"/>
      <c r="I811" s="8"/>
      <c r="J811" s="8"/>
    </row>
    <row r="812">
      <c r="C812" s="8"/>
      <c r="I812" s="8"/>
      <c r="J812" s="8"/>
    </row>
    <row r="813">
      <c r="C813" s="8"/>
      <c r="I813" s="8"/>
      <c r="J813" s="8"/>
    </row>
    <row r="814">
      <c r="C814" s="8"/>
      <c r="I814" s="8"/>
      <c r="J814" s="8"/>
    </row>
    <row r="815">
      <c r="C815" s="8"/>
      <c r="I815" s="8"/>
      <c r="J815" s="8"/>
    </row>
    <row r="816">
      <c r="C816" s="8"/>
      <c r="I816" s="8"/>
      <c r="J816" s="8"/>
    </row>
    <row r="817">
      <c r="C817" s="8"/>
      <c r="I817" s="8"/>
      <c r="J817" s="8"/>
    </row>
    <row r="818">
      <c r="C818" s="8"/>
      <c r="I818" s="8"/>
      <c r="J818" s="8"/>
    </row>
    <row r="819">
      <c r="C819" s="8"/>
      <c r="I819" s="8"/>
      <c r="J819" s="8"/>
    </row>
    <row r="820">
      <c r="C820" s="8"/>
      <c r="I820" s="8"/>
      <c r="J820" s="8"/>
    </row>
    <row r="821">
      <c r="C821" s="8"/>
      <c r="I821" s="8"/>
      <c r="J821" s="8"/>
    </row>
    <row r="822">
      <c r="C822" s="8"/>
      <c r="I822" s="8"/>
      <c r="J822" s="8"/>
    </row>
    <row r="823">
      <c r="C823" s="8"/>
      <c r="I823" s="8"/>
      <c r="J823" s="8"/>
    </row>
    <row r="824">
      <c r="C824" s="8"/>
      <c r="I824" s="8"/>
      <c r="J824" s="8"/>
    </row>
    <row r="825">
      <c r="C825" s="8"/>
      <c r="I825" s="8"/>
      <c r="J825" s="8"/>
    </row>
    <row r="826">
      <c r="C826" s="8"/>
      <c r="I826" s="8"/>
      <c r="J826" s="8"/>
    </row>
    <row r="827">
      <c r="C827" s="8"/>
      <c r="I827" s="8"/>
      <c r="J827" s="8"/>
    </row>
    <row r="828">
      <c r="C828" s="8"/>
      <c r="I828" s="8"/>
      <c r="J828" s="8"/>
    </row>
    <row r="829">
      <c r="C829" s="8"/>
      <c r="I829" s="8"/>
      <c r="J829" s="8"/>
    </row>
    <row r="830">
      <c r="C830" s="8"/>
      <c r="I830" s="8"/>
      <c r="J830" s="8"/>
    </row>
    <row r="831">
      <c r="C831" s="8"/>
      <c r="I831" s="8"/>
      <c r="J831" s="8"/>
    </row>
    <row r="832">
      <c r="C832" s="8"/>
      <c r="I832" s="8"/>
      <c r="J832" s="8"/>
    </row>
    <row r="833">
      <c r="C833" s="8"/>
      <c r="I833" s="8"/>
      <c r="J833" s="8"/>
    </row>
    <row r="834">
      <c r="C834" s="8"/>
      <c r="I834" s="8"/>
      <c r="J834" s="8"/>
    </row>
    <row r="835">
      <c r="C835" s="8"/>
      <c r="I835" s="8"/>
      <c r="J835" s="8"/>
    </row>
    <row r="836">
      <c r="C836" s="8"/>
      <c r="I836" s="8"/>
      <c r="J836" s="8"/>
    </row>
    <row r="837">
      <c r="C837" s="8"/>
      <c r="I837" s="8"/>
      <c r="J837" s="8"/>
    </row>
    <row r="838">
      <c r="C838" s="8"/>
      <c r="I838" s="8"/>
      <c r="J838" s="8"/>
    </row>
    <row r="839">
      <c r="C839" s="8"/>
      <c r="I839" s="8"/>
      <c r="J839" s="8"/>
    </row>
    <row r="840">
      <c r="C840" s="8"/>
      <c r="I840" s="8"/>
      <c r="J840" s="8"/>
    </row>
    <row r="841">
      <c r="C841" s="8"/>
      <c r="I841" s="8"/>
      <c r="J841" s="8"/>
    </row>
    <row r="842">
      <c r="C842" s="8"/>
      <c r="I842" s="8"/>
      <c r="J842" s="8"/>
    </row>
    <row r="843">
      <c r="C843" s="8"/>
      <c r="I843" s="8"/>
      <c r="J843" s="8"/>
    </row>
    <row r="844">
      <c r="C844" s="8"/>
      <c r="I844" s="8"/>
      <c r="J844" s="8"/>
    </row>
    <row r="845">
      <c r="C845" s="8"/>
      <c r="I845" s="8"/>
      <c r="J845" s="8"/>
    </row>
    <row r="846">
      <c r="C846" s="8"/>
      <c r="I846" s="8"/>
      <c r="J846" s="8"/>
    </row>
    <row r="847">
      <c r="C847" s="8"/>
      <c r="I847" s="8"/>
      <c r="J847" s="8"/>
    </row>
    <row r="848">
      <c r="C848" s="8"/>
      <c r="I848" s="8"/>
      <c r="J848" s="8"/>
    </row>
    <row r="849">
      <c r="C849" s="8"/>
      <c r="I849" s="8"/>
      <c r="J849" s="8"/>
    </row>
    <row r="850">
      <c r="C850" s="8"/>
      <c r="I850" s="8"/>
      <c r="J850" s="8"/>
    </row>
    <row r="851">
      <c r="C851" s="8"/>
      <c r="I851" s="8"/>
      <c r="J851" s="8"/>
    </row>
    <row r="852">
      <c r="C852" s="8"/>
      <c r="I852" s="8"/>
      <c r="J852" s="8"/>
    </row>
    <row r="853">
      <c r="C853" s="8"/>
      <c r="I853" s="8"/>
      <c r="J853" s="8"/>
    </row>
    <row r="854">
      <c r="C854" s="8"/>
      <c r="I854" s="8"/>
      <c r="J854" s="8"/>
    </row>
    <row r="855">
      <c r="C855" s="8"/>
      <c r="I855" s="8"/>
      <c r="J855" s="8"/>
    </row>
    <row r="856">
      <c r="C856" s="8"/>
      <c r="I856" s="8"/>
      <c r="J856" s="8"/>
    </row>
    <row r="857">
      <c r="C857" s="8"/>
      <c r="I857" s="8"/>
      <c r="J857" s="8"/>
    </row>
    <row r="858">
      <c r="C858" s="8"/>
      <c r="I858" s="8"/>
      <c r="J858" s="8"/>
    </row>
    <row r="859">
      <c r="C859" s="8"/>
      <c r="I859" s="8"/>
      <c r="J859" s="8"/>
    </row>
    <row r="860">
      <c r="C860" s="8"/>
      <c r="I860" s="8"/>
      <c r="J860" s="8"/>
    </row>
    <row r="861">
      <c r="C861" s="8"/>
      <c r="I861" s="8"/>
      <c r="J861" s="8"/>
    </row>
    <row r="862">
      <c r="C862" s="8"/>
      <c r="I862" s="8"/>
      <c r="J862" s="8"/>
    </row>
    <row r="863">
      <c r="C863" s="8"/>
      <c r="I863" s="8"/>
      <c r="J863" s="8"/>
    </row>
    <row r="864">
      <c r="C864" s="8"/>
      <c r="I864" s="8"/>
      <c r="J864" s="8"/>
    </row>
    <row r="865">
      <c r="C865" s="8"/>
      <c r="I865" s="8"/>
      <c r="J865" s="8"/>
    </row>
    <row r="866">
      <c r="C866" s="8"/>
      <c r="I866" s="8"/>
      <c r="J866" s="8"/>
    </row>
    <row r="867">
      <c r="C867" s="8"/>
      <c r="I867" s="8"/>
      <c r="J867" s="8"/>
    </row>
    <row r="868">
      <c r="C868" s="8"/>
      <c r="I868" s="8"/>
      <c r="J868" s="8"/>
    </row>
    <row r="869">
      <c r="C869" s="8"/>
      <c r="I869" s="8"/>
      <c r="J869" s="8"/>
    </row>
    <row r="870">
      <c r="C870" s="8"/>
      <c r="I870" s="8"/>
      <c r="J870" s="8"/>
    </row>
    <row r="871">
      <c r="C871" s="8"/>
      <c r="I871" s="8"/>
      <c r="J871" s="8"/>
    </row>
    <row r="872">
      <c r="C872" s="8"/>
      <c r="I872" s="8"/>
      <c r="J872" s="8"/>
    </row>
    <row r="873">
      <c r="C873" s="8"/>
      <c r="I873" s="8"/>
      <c r="J873" s="8"/>
    </row>
    <row r="874">
      <c r="C874" s="8"/>
      <c r="I874" s="8"/>
      <c r="J874" s="8"/>
    </row>
    <row r="875">
      <c r="C875" s="8"/>
      <c r="I875" s="8"/>
      <c r="J875" s="8"/>
    </row>
    <row r="876">
      <c r="C876" s="8"/>
      <c r="I876" s="8"/>
      <c r="J876" s="8"/>
    </row>
    <row r="877">
      <c r="C877" s="8"/>
      <c r="I877" s="8"/>
      <c r="J877" s="8"/>
    </row>
    <row r="878">
      <c r="C878" s="8"/>
      <c r="I878" s="8"/>
      <c r="J878" s="8"/>
    </row>
    <row r="879">
      <c r="C879" s="8"/>
      <c r="I879" s="8"/>
      <c r="J879" s="8"/>
    </row>
    <row r="880">
      <c r="C880" s="8"/>
      <c r="I880" s="8"/>
      <c r="J880" s="8"/>
    </row>
    <row r="881">
      <c r="C881" s="8"/>
      <c r="I881" s="8"/>
      <c r="J881" s="8"/>
    </row>
    <row r="882">
      <c r="C882" s="8"/>
      <c r="I882" s="8"/>
      <c r="J882" s="8"/>
    </row>
    <row r="883">
      <c r="C883" s="8"/>
      <c r="I883" s="8"/>
      <c r="J883" s="8"/>
    </row>
    <row r="884">
      <c r="C884" s="8"/>
      <c r="I884" s="8"/>
      <c r="J884" s="8"/>
    </row>
    <row r="885">
      <c r="C885" s="8"/>
      <c r="I885" s="8"/>
      <c r="J885" s="8"/>
    </row>
    <row r="886">
      <c r="C886" s="8"/>
      <c r="I886" s="8"/>
      <c r="J886" s="8"/>
    </row>
    <row r="887">
      <c r="C887" s="8"/>
      <c r="I887" s="8"/>
      <c r="J887" s="8"/>
    </row>
    <row r="888">
      <c r="C888" s="8"/>
      <c r="I888" s="8"/>
      <c r="J888" s="8"/>
    </row>
    <row r="889">
      <c r="C889" s="8"/>
      <c r="I889" s="8"/>
      <c r="J889" s="8"/>
    </row>
    <row r="890">
      <c r="C890" s="8"/>
      <c r="I890" s="8"/>
      <c r="J890" s="8"/>
    </row>
    <row r="891">
      <c r="C891" s="8"/>
      <c r="I891" s="8"/>
      <c r="J891" s="8"/>
    </row>
    <row r="892">
      <c r="C892" s="8"/>
      <c r="I892" s="8"/>
      <c r="J892" s="8"/>
    </row>
    <row r="893">
      <c r="C893" s="8"/>
      <c r="I893" s="8"/>
      <c r="J893" s="8"/>
    </row>
    <row r="894">
      <c r="C894" s="8"/>
      <c r="I894" s="8"/>
      <c r="J894" s="8"/>
    </row>
    <row r="895">
      <c r="C895" s="8"/>
      <c r="I895" s="8"/>
      <c r="J895" s="8"/>
    </row>
    <row r="896">
      <c r="C896" s="8"/>
      <c r="I896" s="8"/>
      <c r="J896" s="8"/>
    </row>
    <row r="897">
      <c r="C897" s="8"/>
      <c r="I897" s="8"/>
      <c r="J897" s="8"/>
    </row>
    <row r="898">
      <c r="C898" s="8"/>
      <c r="I898" s="8"/>
      <c r="J898" s="8"/>
    </row>
    <row r="899">
      <c r="C899" s="8"/>
      <c r="I899" s="8"/>
      <c r="J899" s="8"/>
    </row>
    <row r="900">
      <c r="C900" s="8"/>
      <c r="I900" s="8"/>
      <c r="J900" s="8"/>
    </row>
    <row r="901">
      <c r="C901" s="8"/>
      <c r="I901" s="8"/>
      <c r="J901" s="8"/>
    </row>
    <row r="902">
      <c r="C902" s="8"/>
      <c r="I902" s="8"/>
      <c r="J902" s="8"/>
    </row>
    <row r="903">
      <c r="C903" s="8"/>
      <c r="I903" s="8"/>
      <c r="J903" s="8"/>
    </row>
    <row r="904">
      <c r="C904" s="8"/>
      <c r="I904" s="8"/>
      <c r="J904" s="8"/>
    </row>
    <row r="905">
      <c r="C905" s="8"/>
      <c r="I905" s="8"/>
      <c r="J905" s="8"/>
    </row>
    <row r="906">
      <c r="C906" s="8"/>
      <c r="I906" s="8"/>
      <c r="J906" s="8"/>
    </row>
    <row r="907">
      <c r="C907" s="8"/>
      <c r="I907" s="8"/>
      <c r="J907" s="8"/>
    </row>
    <row r="908">
      <c r="C908" s="8"/>
      <c r="I908" s="8"/>
      <c r="J908" s="8"/>
    </row>
    <row r="909">
      <c r="C909" s="8"/>
      <c r="I909" s="8"/>
      <c r="J909" s="8"/>
    </row>
    <row r="910">
      <c r="C910" s="8"/>
      <c r="I910" s="8"/>
      <c r="J910" s="8"/>
    </row>
    <row r="911">
      <c r="C911" s="8"/>
      <c r="I911" s="8"/>
      <c r="J911" s="8"/>
    </row>
    <row r="912">
      <c r="C912" s="8"/>
      <c r="I912" s="8"/>
      <c r="J912" s="8"/>
    </row>
    <row r="913">
      <c r="C913" s="8"/>
      <c r="I913" s="8"/>
      <c r="J913" s="8"/>
    </row>
    <row r="914">
      <c r="C914" s="8"/>
      <c r="I914" s="8"/>
      <c r="J914" s="8"/>
    </row>
    <row r="915">
      <c r="C915" s="8"/>
      <c r="I915" s="8"/>
      <c r="J915" s="8"/>
    </row>
    <row r="916">
      <c r="C916" s="8"/>
      <c r="I916" s="8"/>
      <c r="J916" s="8"/>
    </row>
    <row r="917">
      <c r="C917" s="8"/>
      <c r="I917" s="8"/>
      <c r="J917" s="8"/>
    </row>
    <row r="918">
      <c r="C918" s="8"/>
      <c r="I918" s="8"/>
      <c r="J918" s="8"/>
    </row>
    <row r="919">
      <c r="C919" s="8"/>
      <c r="I919" s="8"/>
      <c r="J919" s="8"/>
    </row>
    <row r="920">
      <c r="C920" s="8"/>
      <c r="I920" s="8"/>
      <c r="J920" s="8"/>
    </row>
    <row r="921">
      <c r="C921" s="8"/>
      <c r="I921" s="8"/>
      <c r="J921" s="8"/>
    </row>
    <row r="922">
      <c r="C922" s="8"/>
      <c r="I922" s="8"/>
      <c r="J922" s="8"/>
    </row>
    <row r="923">
      <c r="C923" s="8"/>
      <c r="I923" s="8"/>
      <c r="J923" s="8"/>
    </row>
    <row r="924">
      <c r="C924" s="8"/>
      <c r="I924" s="8"/>
      <c r="J924" s="8"/>
    </row>
    <row r="925">
      <c r="C925" s="8"/>
      <c r="I925" s="8"/>
      <c r="J925" s="8"/>
    </row>
    <row r="926">
      <c r="C926" s="8"/>
      <c r="I926" s="8"/>
      <c r="J926" s="8"/>
    </row>
    <row r="927">
      <c r="C927" s="8"/>
      <c r="I927" s="8"/>
      <c r="J927" s="8"/>
    </row>
    <row r="928">
      <c r="C928" s="8"/>
      <c r="I928" s="8"/>
      <c r="J928" s="8"/>
    </row>
    <row r="929">
      <c r="C929" s="8"/>
      <c r="I929" s="8"/>
      <c r="J929" s="8"/>
    </row>
    <row r="930">
      <c r="C930" s="8"/>
      <c r="I930" s="8"/>
      <c r="J930" s="8"/>
    </row>
    <row r="931">
      <c r="C931" s="8"/>
      <c r="I931" s="8"/>
      <c r="J931" s="8"/>
    </row>
    <row r="932">
      <c r="C932" s="8"/>
      <c r="I932" s="8"/>
      <c r="J932" s="8"/>
    </row>
    <row r="933">
      <c r="C933" s="8"/>
      <c r="I933" s="8"/>
      <c r="J933" s="8"/>
    </row>
    <row r="934">
      <c r="C934" s="8"/>
      <c r="I934" s="8"/>
      <c r="J934" s="8"/>
    </row>
    <row r="935">
      <c r="C935" s="8"/>
      <c r="I935" s="8"/>
      <c r="J935" s="8"/>
    </row>
    <row r="936">
      <c r="C936" s="8"/>
      <c r="I936" s="8"/>
      <c r="J936" s="8"/>
    </row>
    <row r="937">
      <c r="C937" s="8"/>
      <c r="I937" s="8"/>
      <c r="J937" s="8"/>
    </row>
    <row r="938">
      <c r="C938" s="8"/>
      <c r="I938" s="8"/>
      <c r="J938" s="8"/>
    </row>
    <row r="939">
      <c r="C939" s="8"/>
      <c r="I939" s="8"/>
      <c r="J939" s="8"/>
    </row>
    <row r="940">
      <c r="C940" s="8"/>
      <c r="I940" s="8"/>
      <c r="J940" s="8"/>
    </row>
    <row r="941">
      <c r="C941" s="8"/>
      <c r="I941" s="8"/>
      <c r="J941" s="8"/>
    </row>
    <row r="942">
      <c r="C942" s="8"/>
      <c r="I942" s="8"/>
      <c r="J942" s="8"/>
    </row>
    <row r="943">
      <c r="C943" s="8"/>
      <c r="I943" s="8"/>
      <c r="J943" s="8"/>
    </row>
    <row r="944">
      <c r="C944" s="8"/>
      <c r="I944" s="8"/>
      <c r="J944" s="8"/>
    </row>
    <row r="945">
      <c r="C945" s="8"/>
      <c r="I945" s="8"/>
      <c r="J945" s="8"/>
    </row>
    <row r="946">
      <c r="C946" s="8"/>
      <c r="I946" s="8"/>
      <c r="J946" s="8"/>
    </row>
    <row r="947">
      <c r="C947" s="8"/>
      <c r="I947" s="8"/>
      <c r="J947" s="8"/>
    </row>
    <row r="948">
      <c r="C948" s="8"/>
      <c r="I948" s="8"/>
      <c r="J948" s="8"/>
    </row>
    <row r="949">
      <c r="C949" s="8"/>
      <c r="I949" s="8"/>
      <c r="J949" s="8"/>
    </row>
    <row r="950">
      <c r="C950" s="8"/>
      <c r="I950" s="8"/>
      <c r="J950" s="8"/>
    </row>
    <row r="951">
      <c r="C951" s="8"/>
      <c r="I951" s="8"/>
      <c r="J951" s="8"/>
    </row>
    <row r="952">
      <c r="C952" s="8"/>
      <c r="I952" s="8"/>
      <c r="J952" s="8"/>
    </row>
    <row r="953">
      <c r="C953" s="8"/>
      <c r="I953" s="8"/>
      <c r="J953" s="8"/>
    </row>
    <row r="954">
      <c r="C954" s="8"/>
      <c r="I954" s="8"/>
      <c r="J954" s="8"/>
    </row>
    <row r="955">
      <c r="C955" s="8"/>
      <c r="I955" s="8"/>
      <c r="J955" s="8"/>
    </row>
    <row r="956">
      <c r="C956" s="8"/>
      <c r="I956" s="8"/>
      <c r="J956" s="8"/>
    </row>
    <row r="957">
      <c r="C957" s="8"/>
      <c r="I957" s="8"/>
      <c r="J957" s="8"/>
    </row>
    <row r="958">
      <c r="C958" s="8"/>
      <c r="I958" s="8"/>
      <c r="J958" s="8"/>
    </row>
    <row r="959">
      <c r="C959" s="8"/>
      <c r="I959" s="8"/>
      <c r="J959" s="8"/>
    </row>
    <row r="960">
      <c r="C960" s="8"/>
      <c r="I960" s="8"/>
      <c r="J960" s="8"/>
    </row>
    <row r="961">
      <c r="C961" s="8"/>
      <c r="I961" s="8"/>
      <c r="J961" s="8"/>
    </row>
    <row r="962">
      <c r="C962" s="8"/>
      <c r="I962" s="8"/>
      <c r="J962" s="8"/>
    </row>
    <row r="963">
      <c r="C963" s="8"/>
      <c r="I963" s="8"/>
      <c r="J963" s="8"/>
    </row>
    <row r="964">
      <c r="C964" s="8"/>
      <c r="I964" s="8"/>
      <c r="J964" s="8"/>
    </row>
    <row r="965">
      <c r="C965" s="8"/>
      <c r="I965" s="8"/>
      <c r="J965" s="8"/>
    </row>
    <row r="966">
      <c r="C966" s="8"/>
      <c r="I966" s="8"/>
      <c r="J966" s="8"/>
    </row>
    <row r="967">
      <c r="C967" s="8"/>
      <c r="I967" s="8"/>
      <c r="J967" s="8"/>
    </row>
    <row r="968">
      <c r="C968" s="8"/>
      <c r="I968" s="8"/>
      <c r="J968" s="8"/>
    </row>
    <row r="969">
      <c r="C969" s="8"/>
      <c r="I969" s="8"/>
      <c r="J969" s="8"/>
    </row>
    <row r="970">
      <c r="C970" s="8"/>
      <c r="I970" s="8"/>
      <c r="J970" s="8"/>
    </row>
    <row r="971">
      <c r="C971" s="8"/>
      <c r="I971" s="8"/>
      <c r="J971" s="8"/>
    </row>
    <row r="972">
      <c r="C972" s="8"/>
      <c r="I972" s="8"/>
      <c r="J972" s="8"/>
    </row>
    <row r="973">
      <c r="C973" s="8"/>
      <c r="I973" s="8"/>
      <c r="J973" s="8"/>
    </row>
    <row r="974">
      <c r="C974" s="8"/>
      <c r="I974" s="8"/>
      <c r="J974" s="8"/>
    </row>
    <row r="975">
      <c r="C975" s="8"/>
      <c r="I975" s="8"/>
      <c r="J975" s="8"/>
    </row>
    <row r="976">
      <c r="C976" s="8"/>
      <c r="I976" s="8"/>
      <c r="J976" s="8"/>
    </row>
    <row r="977">
      <c r="C977" s="8"/>
      <c r="I977" s="8"/>
      <c r="J977" s="8"/>
    </row>
    <row r="978">
      <c r="C978" s="8"/>
      <c r="I978" s="8"/>
      <c r="J978" s="8"/>
    </row>
    <row r="979">
      <c r="C979" s="8"/>
      <c r="I979" s="8"/>
      <c r="J979" s="8"/>
    </row>
    <row r="980">
      <c r="C980" s="8"/>
      <c r="I980" s="8"/>
      <c r="J980" s="8"/>
    </row>
    <row r="981">
      <c r="C981" s="8"/>
      <c r="I981" s="8"/>
      <c r="J981" s="8"/>
    </row>
    <row r="982">
      <c r="C982" s="8"/>
      <c r="I982" s="8"/>
      <c r="J982" s="8"/>
    </row>
    <row r="983">
      <c r="C983" s="8"/>
      <c r="I983" s="8"/>
      <c r="J983" s="8"/>
    </row>
    <row r="984">
      <c r="C984" s="8"/>
      <c r="I984" s="8"/>
      <c r="J984" s="8"/>
    </row>
    <row r="985">
      <c r="C985" s="8"/>
      <c r="I985" s="8"/>
      <c r="J985" s="8"/>
    </row>
    <row r="986">
      <c r="C986" s="8"/>
      <c r="I986" s="8"/>
      <c r="J986" s="8"/>
    </row>
    <row r="987">
      <c r="C987" s="8"/>
      <c r="I987" s="8"/>
      <c r="J987" s="8"/>
    </row>
    <row r="988">
      <c r="C988" s="8"/>
      <c r="I988" s="8"/>
      <c r="J988" s="8"/>
    </row>
    <row r="989">
      <c r="C989" s="8"/>
      <c r="I989" s="8"/>
      <c r="J989" s="8"/>
    </row>
    <row r="990">
      <c r="C990" s="8"/>
      <c r="I990" s="8"/>
      <c r="J990" s="8"/>
    </row>
    <row r="991">
      <c r="C991" s="8"/>
      <c r="I991" s="8"/>
      <c r="J991" s="8"/>
    </row>
    <row r="992">
      <c r="C992" s="8"/>
      <c r="I992" s="8"/>
      <c r="J992" s="8"/>
    </row>
    <row r="993">
      <c r="C993" s="8"/>
      <c r="I993" s="8"/>
      <c r="J993" s="8"/>
    </row>
    <row r="994">
      <c r="C994" s="8"/>
      <c r="I994" s="8"/>
      <c r="J994" s="8"/>
    </row>
    <row r="995">
      <c r="C995" s="8"/>
      <c r="I995" s="8"/>
      <c r="J995" s="8"/>
    </row>
    <row r="996">
      <c r="C996" s="8"/>
      <c r="I996" s="8"/>
      <c r="J996" s="8"/>
    </row>
    <row r="997">
      <c r="C997" s="8"/>
      <c r="I997" s="8"/>
      <c r="J997" s="8"/>
    </row>
    <row r="998">
      <c r="C998" s="8"/>
      <c r="I998" s="8"/>
      <c r="J998" s="8"/>
    </row>
    <row r="999">
      <c r="C999" s="8"/>
      <c r="I999" s="8"/>
      <c r="J999" s="8"/>
    </row>
    <row r="1000">
      <c r="C1000" s="8"/>
      <c r="I1000" s="8"/>
      <c r="J1000" s="8"/>
    </row>
  </sheetData>
  <mergeCells count="1">
    <mergeCell ref="A1:O2"/>
  </mergeCells>
  <dataValidations>
    <dataValidation type="list" allowBlank="1" showErrorMessage="1" sqref="B3">
      <formula1>"Mout,Hop,Gist,Suiker,Fruit,Adjunct"</formula1>
    </dataValidation>
    <dataValidation type="list" allowBlank="1" showErrorMessage="1" sqref="J6:J1000">
      <formula1>Uitleg!$C$2:$C$5</formula1>
    </dataValidation>
    <dataValidation type="list" allowBlank="1" showErrorMessage="1" sqref="I6:I1000">
      <formula1>Uitleg!$B$2:$B$7</formula1>
    </dataValidation>
    <dataValidation type="list" allowBlank="1" showErrorMessage="1" sqref="C6:C1000">
      <formula1>Uitleg!$A$2:$A$3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63"/>
    <col customWidth="1" min="3" max="3" width="14.0"/>
    <col customWidth="1" min="7" max="11" width="13.5"/>
    <col customWidth="1" min="12" max="12" width="3.38"/>
    <col customWidth="1" min="15" max="15" width="13.88"/>
  </cols>
  <sheetData>
    <row r="1">
      <c r="A1" s="1" t="s">
        <v>264</v>
      </c>
    </row>
    <row r="3">
      <c r="A3" s="2" t="s">
        <v>559</v>
      </c>
      <c r="B3" s="2" t="s">
        <v>8</v>
      </c>
      <c r="M3" s="2" t="s">
        <v>560</v>
      </c>
      <c r="N3" s="8">
        <f>SUM(H6:H1000) - SUM(O6:O1000)</f>
        <v>0</v>
      </c>
      <c r="O3" s="2" t="s">
        <v>561</v>
      </c>
    </row>
    <row r="5">
      <c r="A5" s="22" t="s">
        <v>104</v>
      </c>
      <c r="B5" s="22" t="s">
        <v>105</v>
      </c>
      <c r="C5" s="22" t="s">
        <v>106</v>
      </c>
      <c r="D5" s="22" t="s">
        <v>107</v>
      </c>
      <c r="E5" s="22" t="s">
        <v>108</v>
      </c>
      <c r="F5" s="22" t="s">
        <v>111</v>
      </c>
      <c r="G5" s="22" t="s">
        <v>112</v>
      </c>
      <c r="H5" s="22" t="s">
        <v>113</v>
      </c>
      <c r="I5" s="22" t="s">
        <v>115</v>
      </c>
      <c r="J5" s="22" t="s">
        <v>116</v>
      </c>
      <c r="K5" s="22" t="s">
        <v>117</v>
      </c>
      <c r="M5" s="23" t="s">
        <v>118</v>
      </c>
      <c r="N5" s="23" t="s">
        <v>107</v>
      </c>
      <c r="O5" s="23" t="s">
        <v>113</v>
      </c>
      <c r="P5" s="23" t="s">
        <v>111</v>
      </c>
    </row>
    <row r="6">
      <c r="A6" s="2">
        <v>3.72012518E8</v>
      </c>
      <c r="B6" s="2">
        <v>202305.0</v>
      </c>
      <c r="C6" s="2" t="s">
        <v>130</v>
      </c>
      <c r="D6" s="24">
        <v>45013.0</v>
      </c>
      <c r="E6" s="2" t="s">
        <v>131</v>
      </c>
      <c r="F6" s="2">
        <v>1809.0</v>
      </c>
      <c r="G6" s="27">
        <v>45291.0</v>
      </c>
      <c r="H6" s="2">
        <v>0.1</v>
      </c>
      <c r="I6" s="8"/>
      <c r="J6" s="8"/>
      <c r="K6" s="53"/>
      <c r="M6" s="2" t="s">
        <v>65</v>
      </c>
      <c r="N6" s="24">
        <v>45015.0</v>
      </c>
      <c r="O6" s="2">
        <v>0.1</v>
      </c>
      <c r="P6" s="2">
        <v>1809.0</v>
      </c>
    </row>
    <row r="7">
      <c r="C7" s="8"/>
      <c r="D7" s="24"/>
      <c r="G7" s="29"/>
      <c r="I7" s="8"/>
      <c r="J7" s="8"/>
      <c r="N7" s="24"/>
    </row>
    <row r="8">
      <c r="C8" s="28"/>
      <c r="D8" s="28"/>
      <c r="E8" s="28"/>
      <c r="F8" s="28"/>
      <c r="I8" s="8"/>
      <c r="J8" s="8"/>
      <c r="N8" s="28"/>
    </row>
    <row r="9">
      <c r="C9" s="28"/>
      <c r="D9" s="28"/>
      <c r="E9" s="28"/>
      <c r="F9" s="28"/>
      <c r="I9" s="8"/>
      <c r="J9" s="8"/>
      <c r="N9" s="28"/>
    </row>
    <row r="10">
      <c r="C10" s="28"/>
      <c r="D10" s="28"/>
      <c r="E10" s="28"/>
      <c r="F10" s="28"/>
      <c r="I10" s="8"/>
      <c r="J10" s="8"/>
      <c r="N10" s="28"/>
    </row>
    <row r="11">
      <c r="C11" s="28"/>
      <c r="D11" s="28"/>
      <c r="E11" s="28"/>
      <c r="F11" s="28"/>
      <c r="I11" s="8"/>
      <c r="J11" s="8"/>
      <c r="N11" s="28"/>
    </row>
    <row r="12">
      <c r="C12" s="28"/>
      <c r="D12" s="28"/>
      <c r="E12" s="28"/>
      <c r="F12" s="28"/>
      <c r="I12" s="8"/>
      <c r="J12" s="8"/>
      <c r="N12" s="28"/>
    </row>
    <row r="13">
      <c r="C13" s="28"/>
      <c r="D13" s="28"/>
      <c r="E13" s="28"/>
      <c r="F13" s="28"/>
      <c r="I13" s="8"/>
      <c r="J13" s="8"/>
      <c r="N13" s="28"/>
    </row>
    <row r="14">
      <c r="C14" s="28"/>
      <c r="D14" s="28"/>
      <c r="E14" s="28"/>
      <c r="F14" s="28"/>
      <c r="I14" s="8"/>
      <c r="J14" s="8"/>
      <c r="N14" s="28"/>
    </row>
    <row r="15">
      <c r="C15" s="28"/>
      <c r="D15" s="28"/>
      <c r="E15" s="28"/>
      <c r="F15" s="28"/>
      <c r="I15" s="8"/>
      <c r="J15" s="8"/>
      <c r="N15" s="28"/>
    </row>
    <row r="16">
      <c r="C16" s="28"/>
      <c r="D16" s="28"/>
      <c r="E16" s="28"/>
      <c r="F16" s="28"/>
      <c r="I16" s="8"/>
      <c r="J16" s="8"/>
      <c r="N16" s="28"/>
    </row>
    <row r="17">
      <c r="C17" s="28"/>
      <c r="D17" s="28"/>
      <c r="E17" s="28"/>
      <c r="F17" s="28"/>
      <c r="I17" s="8"/>
      <c r="J17" s="8"/>
      <c r="N17" s="28"/>
    </row>
    <row r="18">
      <c r="C18" s="28"/>
      <c r="D18" s="28"/>
      <c r="E18" s="28"/>
      <c r="F18" s="28"/>
      <c r="I18" s="8"/>
      <c r="J18" s="8"/>
      <c r="N18" s="28"/>
    </row>
    <row r="19">
      <c r="C19" s="28"/>
      <c r="D19" s="28"/>
      <c r="E19" s="28"/>
      <c r="F19" s="28"/>
      <c r="I19" s="8"/>
      <c r="J19" s="8"/>
      <c r="N19" s="28"/>
    </row>
    <row r="20">
      <c r="C20" s="28"/>
      <c r="D20" s="28"/>
      <c r="E20" s="28"/>
      <c r="F20" s="28"/>
      <c r="I20" s="8"/>
      <c r="J20" s="8"/>
      <c r="N20" s="28"/>
    </row>
    <row r="21">
      <c r="C21" s="28"/>
      <c r="D21" s="28"/>
      <c r="E21" s="28"/>
      <c r="F21" s="28"/>
      <c r="I21" s="8"/>
      <c r="J21" s="8"/>
      <c r="N21" s="28"/>
    </row>
    <row r="22">
      <c r="C22" s="28"/>
      <c r="D22" s="28"/>
      <c r="E22" s="28"/>
      <c r="F22" s="28"/>
      <c r="I22" s="8"/>
      <c r="J22" s="8"/>
      <c r="N22" s="28"/>
    </row>
    <row r="23">
      <c r="C23" s="28"/>
      <c r="D23" s="28"/>
      <c r="E23" s="28"/>
      <c r="F23" s="28"/>
      <c r="I23" s="8"/>
      <c r="J23" s="8"/>
      <c r="N23" s="28"/>
    </row>
    <row r="24">
      <c r="C24" s="28"/>
      <c r="D24" s="28"/>
      <c r="E24" s="28"/>
      <c r="F24" s="28"/>
      <c r="I24" s="8"/>
      <c r="J24" s="8"/>
      <c r="N24" s="28"/>
    </row>
    <row r="25">
      <c r="C25" s="28"/>
      <c r="D25" s="28"/>
      <c r="E25" s="28"/>
      <c r="F25" s="28"/>
      <c r="I25" s="8"/>
      <c r="J25" s="8"/>
      <c r="N25" s="28"/>
    </row>
    <row r="26">
      <c r="C26" s="28"/>
      <c r="D26" s="28"/>
      <c r="E26" s="28"/>
      <c r="F26" s="28"/>
      <c r="I26" s="8"/>
      <c r="J26" s="8"/>
      <c r="N26" s="28"/>
    </row>
    <row r="27">
      <c r="C27" s="28"/>
      <c r="D27" s="28"/>
      <c r="E27" s="28"/>
      <c r="F27" s="28"/>
      <c r="I27" s="8"/>
      <c r="J27" s="8"/>
      <c r="N27" s="28"/>
    </row>
    <row r="28">
      <c r="C28" s="28"/>
      <c r="D28" s="28"/>
      <c r="E28" s="28"/>
      <c r="F28" s="28"/>
      <c r="I28" s="8"/>
      <c r="J28" s="8"/>
      <c r="N28" s="28"/>
    </row>
    <row r="29">
      <c r="C29" s="28"/>
      <c r="D29" s="28"/>
      <c r="E29" s="28"/>
      <c r="F29" s="28"/>
      <c r="I29" s="8"/>
      <c r="J29" s="8"/>
      <c r="N29" s="28"/>
    </row>
    <row r="30">
      <c r="C30" s="28"/>
      <c r="D30" s="28"/>
      <c r="E30" s="28"/>
      <c r="F30" s="28"/>
      <c r="I30" s="8"/>
      <c r="J30" s="8"/>
      <c r="N30" s="28"/>
    </row>
    <row r="31">
      <c r="C31" s="28"/>
      <c r="D31" s="28"/>
      <c r="E31" s="28"/>
      <c r="F31" s="28"/>
      <c r="I31" s="8"/>
      <c r="J31" s="8"/>
      <c r="N31" s="28"/>
    </row>
    <row r="32">
      <c r="C32" s="28"/>
      <c r="D32" s="28"/>
      <c r="E32" s="28"/>
      <c r="F32" s="28"/>
      <c r="I32" s="8"/>
      <c r="J32" s="8"/>
      <c r="N32" s="28"/>
    </row>
    <row r="33">
      <c r="C33" s="8"/>
      <c r="I33" s="8"/>
      <c r="J33" s="8"/>
      <c r="N33" s="28"/>
    </row>
    <row r="34">
      <c r="C34" s="8"/>
      <c r="I34" s="8"/>
      <c r="J34" s="8"/>
    </row>
    <row r="35">
      <c r="C35" s="8"/>
      <c r="I35" s="8"/>
      <c r="J35" s="8"/>
    </row>
    <row r="36">
      <c r="C36" s="8"/>
      <c r="I36" s="8"/>
      <c r="J36" s="8"/>
    </row>
    <row r="37">
      <c r="C37" s="8"/>
      <c r="I37" s="8"/>
      <c r="J37" s="8"/>
    </row>
    <row r="38">
      <c r="C38" s="8"/>
      <c r="I38" s="8"/>
      <c r="J38" s="8"/>
    </row>
    <row r="39">
      <c r="C39" s="8"/>
      <c r="I39" s="8"/>
      <c r="J39" s="8"/>
    </row>
    <row r="40">
      <c r="C40" s="8"/>
      <c r="I40" s="8"/>
      <c r="J40" s="8"/>
    </row>
    <row r="41">
      <c r="C41" s="8"/>
      <c r="I41" s="8"/>
      <c r="J41" s="8"/>
    </row>
    <row r="42">
      <c r="C42" s="8"/>
      <c r="I42" s="8"/>
      <c r="J42" s="8"/>
    </row>
    <row r="43">
      <c r="C43" s="8"/>
      <c r="I43" s="8"/>
      <c r="J43" s="8"/>
    </row>
    <row r="44">
      <c r="C44" s="8"/>
      <c r="I44" s="8"/>
      <c r="J44" s="8"/>
    </row>
    <row r="45">
      <c r="C45" s="8"/>
      <c r="I45" s="8"/>
      <c r="J45" s="8"/>
    </row>
    <row r="46">
      <c r="C46" s="8"/>
      <c r="I46" s="8"/>
      <c r="J46" s="8"/>
    </row>
    <row r="47">
      <c r="C47" s="8"/>
      <c r="I47" s="8"/>
      <c r="J47" s="8"/>
    </row>
    <row r="48">
      <c r="C48" s="8"/>
      <c r="I48" s="8"/>
      <c r="J48" s="8"/>
    </row>
    <row r="49">
      <c r="C49" s="8"/>
      <c r="I49" s="8"/>
      <c r="J49" s="8"/>
    </row>
    <row r="50">
      <c r="C50" s="8"/>
      <c r="I50" s="8"/>
      <c r="J50" s="8"/>
    </row>
    <row r="51">
      <c r="C51" s="8"/>
      <c r="I51" s="8"/>
      <c r="J51" s="8"/>
    </row>
    <row r="52">
      <c r="C52" s="8"/>
      <c r="I52" s="8"/>
      <c r="J52" s="8"/>
    </row>
    <row r="53">
      <c r="C53" s="8"/>
      <c r="I53" s="8"/>
      <c r="J53" s="8"/>
    </row>
    <row r="54">
      <c r="C54" s="8"/>
      <c r="I54" s="8"/>
      <c r="J54" s="8"/>
    </row>
    <row r="55">
      <c r="C55" s="8"/>
      <c r="I55" s="8"/>
      <c r="J55" s="8"/>
    </row>
    <row r="56">
      <c r="C56" s="8"/>
      <c r="I56" s="8"/>
      <c r="J56" s="8"/>
    </row>
    <row r="57">
      <c r="C57" s="8"/>
      <c r="I57" s="8"/>
      <c r="J57" s="8"/>
    </row>
    <row r="58">
      <c r="C58" s="8"/>
      <c r="I58" s="8"/>
      <c r="J58" s="8"/>
    </row>
    <row r="59">
      <c r="C59" s="8"/>
      <c r="I59" s="8"/>
      <c r="J59" s="8"/>
    </row>
    <row r="60">
      <c r="C60" s="8"/>
      <c r="I60" s="8"/>
      <c r="J60" s="8"/>
    </row>
    <row r="61">
      <c r="C61" s="8"/>
      <c r="I61" s="8"/>
      <c r="J61" s="8"/>
    </row>
    <row r="62">
      <c r="C62" s="8"/>
      <c r="I62" s="8"/>
      <c r="J62" s="8"/>
    </row>
    <row r="63">
      <c r="C63" s="8"/>
      <c r="I63" s="8"/>
      <c r="J63" s="8"/>
    </row>
    <row r="64">
      <c r="C64" s="8"/>
      <c r="I64" s="8"/>
      <c r="J64" s="8"/>
    </row>
    <row r="65">
      <c r="C65" s="8"/>
      <c r="I65" s="8"/>
      <c r="J65" s="8"/>
    </row>
    <row r="66">
      <c r="C66" s="8"/>
      <c r="I66" s="8"/>
      <c r="J66" s="8"/>
    </row>
    <row r="67">
      <c r="C67" s="8"/>
      <c r="I67" s="8"/>
      <c r="J67" s="8"/>
    </row>
    <row r="68">
      <c r="C68" s="8"/>
      <c r="I68" s="8"/>
      <c r="J68" s="8"/>
    </row>
    <row r="69">
      <c r="C69" s="8"/>
      <c r="I69" s="8"/>
      <c r="J69" s="8"/>
    </row>
    <row r="70">
      <c r="C70" s="8"/>
      <c r="I70" s="8"/>
      <c r="J70" s="8"/>
    </row>
    <row r="71">
      <c r="C71" s="8"/>
      <c r="I71" s="8"/>
      <c r="J71" s="8"/>
    </row>
    <row r="72">
      <c r="C72" s="8"/>
      <c r="I72" s="8"/>
      <c r="J72" s="8"/>
    </row>
    <row r="73">
      <c r="C73" s="8"/>
      <c r="I73" s="8"/>
      <c r="J73" s="8"/>
    </row>
    <row r="74">
      <c r="C74" s="8"/>
      <c r="I74" s="8"/>
      <c r="J74" s="8"/>
    </row>
    <row r="75">
      <c r="C75" s="8"/>
      <c r="I75" s="8"/>
      <c r="J75" s="8"/>
    </row>
    <row r="76">
      <c r="C76" s="8"/>
      <c r="I76" s="8"/>
      <c r="J76" s="8"/>
    </row>
    <row r="77">
      <c r="C77" s="8"/>
      <c r="I77" s="8"/>
      <c r="J77" s="8"/>
    </row>
    <row r="78">
      <c r="C78" s="8"/>
      <c r="I78" s="8"/>
      <c r="J78" s="8"/>
    </row>
    <row r="79">
      <c r="C79" s="8"/>
      <c r="I79" s="8"/>
      <c r="J79" s="8"/>
    </row>
    <row r="80">
      <c r="C80" s="8"/>
      <c r="I80" s="8"/>
      <c r="J80" s="8"/>
    </row>
    <row r="81">
      <c r="C81" s="8"/>
      <c r="I81" s="8"/>
      <c r="J81" s="8"/>
    </row>
    <row r="82">
      <c r="C82" s="8"/>
      <c r="I82" s="8"/>
      <c r="J82" s="8"/>
    </row>
    <row r="83">
      <c r="C83" s="8"/>
      <c r="I83" s="8"/>
      <c r="J83" s="8"/>
    </row>
    <row r="84">
      <c r="C84" s="8"/>
      <c r="I84" s="8"/>
      <c r="J84" s="8"/>
    </row>
    <row r="85">
      <c r="C85" s="8"/>
      <c r="I85" s="8"/>
      <c r="J85" s="8"/>
    </row>
    <row r="86">
      <c r="C86" s="8"/>
      <c r="I86" s="8"/>
      <c r="J86" s="8"/>
    </row>
    <row r="87">
      <c r="C87" s="8"/>
      <c r="I87" s="8"/>
      <c r="J87" s="8"/>
    </row>
    <row r="88">
      <c r="C88" s="8"/>
      <c r="I88" s="8"/>
      <c r="J88" s="8"/>
    </row>
    <row r="89">
      <c r="C89" s="8"/>
      <c r="I89" s="8"/>
      <c r="J89" s="8"/>
    </row>
    <row r="90">
      <c r="C90" s="8"/>
      <c r="I90" s="8"/>
      <c r="J90" s="8"/>
    </row>
    <row r="91">
      <c r="C91" s="8"/>
      <c r="I91" s="8"/>
      <c r="J91" s="8"/>
    </row>
    <row r="92">
      <c r="C92" s="8"/>
      <c r="I92" s="8"/>
      <c r="J92" s="8"/>
    </row>
    <row r="93">
      <c r="C93" s="8"/>
      <c r="I93" s="8"/>
      <c r="J93" s="8"/>
    </row>
    <row r="94">
      <c r="C94" s="8"/>
      <c r="I94" s="8"/>
      <c r="J94" s="8"/>
    </row>
    <row r="95">
      <c r="C95" s="8"/>
      <c r="I95" s="8"/>
      <c r="J95" s="8"/>
    </row>
    <row r="96">
      <c r="C96" s="8"/>
      <c r="I96" s="8"/>
      <c r="J96" s="8"/>
    </row>
    <row r="97">
      <c r="C97" s="8"/>
      <c r="I97" s="8"/>
      <c r="J97" s="8"/>
    </row>
    <row r="98">
      <c r="C98" s="8"/>
      <c r="I98" s="8"/>
      <c r="J98" s="8"/>
    </row>
    <row r="99">
      <c r="C99" s="8"/>
      <c r="I99" s="8"/>
      <c r="J99" s="8"/>
    </row>
    <row r="100">
      <c r="C100" s="8"/>
      <c r="I100" s="8"/>
      <c r="J100" s="8"/>
    </row>
    <row r="101">
      <c r="C101" s="8"/>
      <c r="I101" s="8"/>
      <c r="J101" s="8"/>
    </row>
    <row r="102">
      <c r="C102" s="8"/>
      <c r="I102" s="8"/>
      <c r="J102" s="8"/>
    </row>
    <row r="103">
      <c r="C103" s="8"/>
      <c r="I103" s="8"/>
      <c r="J103" s="8"/>
    </row>
    <row r="104">
      <c r="C104" s="8"/>
      <c r="I104" s="8"/>
      <c r="J104" s="8"/>
    </row>
    <row r="105">
      <c r="C105" s="8"/>
      <c r="I105" s="8"/>
      <c r="J105" s="8"/>
    </row>
    <row r="106">
      <c r="C106" s="8"/>
      <c r="I106" s="8"/>
      <c r="J106" s="8"/>
    </row>
    <row r="107">
      <c r="C107" s="8"/>
      <c r="I107" s="8"/>
      <c r="J107" s="8"/>
    </row>
    <row r="108">
      <c r="C108" s="8"/>
      <c r="I108" s="8"/>
      <c r="J108" s="8"/>
    </row>
    <row r="109">
      <c r="C109" s="8"/>
      <c r="I109" s="8"/>
      <c r="J109" s="8"/>
    </row>
    <row r="110">
      <c r="C110" s="8"/>
      <c r="I110" s="8"/>
      <c r="J110" s="8"/>
    </row>
    <row r="111">
      <c r="C111" s="8"/>
      <c r="I111" s="8"/>
      <c r="J111" s="8"/>
    </row>
    <row r="112">
      <c r="C112" s="8"/>
      <c r="I112" s="8"/>
      <c r="J112" s="8"/>
    </row>
    <row r="113">
      <c r="C113" s="8"/>
      <c r="I113" s="8"/>
      <c r="J113" s="8"/>
    </row>
    <row r="114">
      <c r="C114" s="8"/>
      <c r="I114" s="8"/>
      <c r="J114" s="8"/>
    </row>
    <row r="115">
      <c r="C115" s="8"/>
      <c r="I115" s="8"/>
      <c r="J115" s="8"/>
    </row>
    <row r="116">
      <c r="C116" s="8"/>
      <c r="I116" s="8"/>
      <c r="J116" s="8"/>
    </row>
    <row r="117">
      <c r="C117" s="8"/>
      <c r="I117" s="8"/>
      <c r="J117" s="8"/>
    </row>
    <row r="118">
      <c r="C118" s="8"/>
      <c r="I118" s="8"/>
      <c r="J118" s="8"/>
    </row>
    <row r="119">
      <c r="C119" s="8"/>
      <c r="I119" s="8"/>
      <c r="J119" s="8"/>
    </row>
    <row r="120">
      <c r="C120" s="8"/>
      <c r="I120" s="8"/>
      <c r="J120" s="8"/>
    </row>
    <row r="121">
      <c r="C121" s="8"/>
      <c r="I121" s="8"/>
      <c r="J121" s="8"/>
    </row>
    <row r="122">
      <c r="C122" s="8"/>
      <c r="I122" s="8"/>
      <c r="J122" s="8"/>
    </row>
    <row r="123">
      <c r="C123" s="8"/>
      <c r="I123" s="8"/>
      <c r="J123" s="8"/>
    </row>
    <row r="124">
      <c r="C124" s="8"/>
      <c r="I124" s="8"/>
      <c r="J124" s="8"/>
    </row>
    <row r="125">
      <c r="C125" s="8"/>
      <c r="I125" s="8"/>
      <c r="J125" s="8"/>
    </row>
    <row r="126">
      <c r="C126" s="8"/>
      <c r="I126" s="8"/>
      <c r="J126" s="8"/>
    </row>
    <row r="127">
      <c r="C127" s="8"/>
      <c r="I127" s="8"/>
      <c r="J127" s="8"/>
    </row>
    <row r="128">
      <c r="C128" s="8"/>
      <c r="I128" s="8"/>
      <c r="J128" s="8"/>
    </row>
    <row r="129">
      <c r="C129" s="8"/>
      <c r="I129" s="8"/>
      <c r="J129" s="8"/>
    </row>
    <row r="130">
      <c r="C130" s="8"/>
      <c r="I130" s="8"/>
      <c r="J130" s="8"/>
    </row>
    <row r="131">
      <c r="C131" s="8"/>
      <c r="I131" s="8"/>
      <c r="J131" s="8"/>
    </row>
    <row r="132">
      <c r="C132" s="8"/>
      <c r="I132" s="8"/>
      <c r="J132" s="8"/>
    </row>
    <row r="133">
      <c r="C133" s="8"/>
      <c r="I133" s="8"/>
      <c r="J133" s="8"/>
    </row>
    <row r="134">
      <c r="C134" s="8"/>
      <c r="I134" s="8"/>
      <c r="J134" s="8"/>
    </row>
    <row r="135">
      <c r="C135" s="8"/>
      <c r="I135" s="8"/>
      <c r="J135" s="8"/>
    </row>
    <row r="136">
      <c r="C136" s="8"/>
      <c r="I136" s="8"/>
      <c r="J136" s="8"/>
    </row>
    <row r="137">
      <c r="C137" s="8"/>
      <c r="I137" s="8"/>
      <c r="J137" s="8"/>
    </row>
    <row r="138">
      <c r="C138" s="8"/>
      <c r="I138" s="8"/>
      <c r="J138" s="8"/>
    </row>
    <row r="139">
      <c r="C139" s="8"/>
      <c r="I139" s="8"/>
      <c r="J139" s="8"/>
    </row>
    <row r="140">
      <c r="C140" s="8"/>
      <c r="I140" s="8"/>
      <c r="J140" s="8"/>
    </row>
    <row r="141">
      <c r="C141" s="8"/>
      <c r="I141" s="8"/>
      <c r="J141" s="8"/>
    </row>
    <row r="142">
      <c r="C142" s="8"/>
      <c r="I142" s="8"/>
      <c r="J142" s="8"/>
    </row>
    <row r="143">
      <c r="C143" s="8"/>
      <c r="I143" s="8"/>
      <c r="J143" s="8"/>
    </row>
    <row r="144">
      <c r="C144" s="8"/>
      <c r="I144" s="8"/>
      <c r="J144" s="8"/>
    </row>
    <row r="145">
      <c r="C145" s="8"/>
      <c r="I145" s="8"/>
      <c r="J145" s="8"/>
    </row>
    <row r="146">
      <c r="C146" s="8"/>
      <c r="I146" s="8"/>
      <c r="J146" s="8"/>
    </row>
    <row r="147">
      <c r="C147" s="8"/>
      <c r="I147" s="8"/>
      <c r="J147" s="8"/>
    </row>
    <row r="148">
      <c r="C148" s="8"/>
      <c r="I148" s="8"/>
      <c r="J148" s="8"/>
    </row>
    <row r="149">
      <c r="C149" s="8"/>
      <c r="I149" s="8"/>
      <c r="J149" s="8"/>
    </row>
    <row r="150">
      <c r="C150" s="8"/>
      <c r="I150" s="8"/>
      <c r="J150" s="8"/>
    </row>
    <row r="151">
      <c r="C151" s="8"/>
      <c r="I151" s="8"/>
      <c r="J151" s="8"/>
    </row>
    <row r="152">
      <c r="C152" s="8"/>
      <c r="I152" s="8"/>
      <c r="J152" s="8"/>
    </row>
    <row r="153">
      <c r="C153" s="8"/>
      <c r="I153" s="8"/>
      <c r="J153" s="8"/>
    </row>
    <row r="154">
      <c r="C154" s="8"/>
      <c r="I154" s="8"/>
      <c r="J154" s="8"/>
    </row>
    <row r="155">
      <c r="C155" s="8"/>
      <c r="I155" s="8"/>
      <c r="J155" s="8"/>
    </row>
    <row r="156">
      <c r="C156" s="8"/>
      <c r="I156" s="8"/>
      <c r="J156" s="8"/>
    </row>
    <row r="157">
      <c r="C157" s="8"/>
      <c r="I157" s="8"/>
      <c r="J157" s="8"/>
    </row>
    <row r="158">
      <c r="C158" s="8"/>
      <c r="I158" s="8"/>
      <c r="J158" s="8"/>
    </row>
    <row r="159">
      <c r="C159" s="8"/>
      <c r="I159" s="8"/>
      <c r="J159" s="8"/>
    </row>
    <row r="160">
      <c r="C160" s="8"/>
      <c r="I160" s="8"/>
      <c r="J160" s="8"/>
    </row>
    <row r="161">
      <c r="C161" s="8"/>
      <c r="I161" s="8"/>
      <c r="J161" s="8"/>
    </row>
    <row r="162">
      <c r="C162" s="8"/>
      <c r="I162" s="8"/>
      <c r="J162" s="8"/>
    </row>
    <row r="163">
      <c r="C163" s="8"/>
      <c r="I163" s="8"/>
      <c r="J163" s="8"/>
    </row>
    <row r="164">
      <c r="C164" s="8"/>
      <c r="I164" s="8"/>
      <c r="J164" s="8"/>
    </row>
    <row r="165">
      <c r="C165" s="8"/>
      <c r="I165" s="8"/>
      <c r="J165" s="8"/>
    </row>
    <row r="166">
      <c r="C166" s="8"/>
      <c r="I166" s="8"/>
      <c r="J166" s="8"/>
    </row>
    <row r="167">
      <c r="C167" s="8"/>
      <c r="I167" s="8"/>
      <c r="J167" s="8"/>
    </row>
    <row r="168">
      <c r="C168" s="8"/>
      <c r="I168" s="8"/>
      <c r="J168" s="8"/>
    </row>
    <row r="169">
      <c r="C169" s="8"/>
      <c r="I169" s="8"/>
      <c r="J169" s="8"/>
    </row>
    <row r="170">
      <c r="C170" s="8"/>
      <c r="I170" s="8"/>
      <c r="J170" s="8"/>
    </row>
    <row r="171">
      <c r="C171" s="8"/>
      <c r="I171" s="8"/>
      <c r="J171" s="8"/>
    </row>
    <row r="172">
      <c r="C172" s="8"/>
      <c r="I172" s="8"/>
      <c r="J172" s="8"/>
    </row>
    <row r="173">
      <c r="C173" s="8"/>
      <c r="I173" s="8"/>
      <c r="J173" s="8"/>
    </row>
    <row r="174">
      <c r="C174" s="8"/>
      <c r="I174" s="8"/>
      <c r="J174" s="8"/>
    </row>
    <row r="175">
      <c r="C175" s="8"/>
      <c r="I175" s="8"/>
      <c r="J175" s="8"/>
    </row>
    <row r="176">
      <c r="C176" s="8"/>
      <c r="I176" s="8"/>
      <c r="J176" s="8"/>
    </row>
    <row r="177">
      <c r="C177" s="8"/>
      <c r="I177" s="8"/>
      <c r="J177" s="8"/>
    </row>
    <row r="178">
      <c r="C178" s="8"/>
      <c r="I178" s="8"/>
      <c r="J178" s="8"/>
    </row>
    <row r="179">
      <c r="C179" s="8"/>
      <c r="I179" s="8"/>
      <c r="J179" s="8"/>
    </row>
    <row r="180">
      <c r="C180" s="8"/>
      <c r="I180" s="8"/>
      <c r="J180" s="8"/>
    </row>
    <row r="181">
      <c r="C181" s="8"/>
      <c r="I181" s="8"/>
      <c r="J181" s="8"/>
    </row>
    <row r="182">
      <c r="C182" s="8"/>
      <c r="I182" s="8"/>
      <c r="J182" s="8"/>
    </row>
    <row r="183">
      <c r="C183" s="8"/>
      <c r="I183" s="8"/>
      <c r="J183" s="8"/>
    </row>
    <row r="184">
      <c r="C184" s="8"/>
      <c r="I184" s="8"/>
      <c r="J184" s="8"/>
    </row>
    <row r="185">
      <c r="C185" s="8"/>
      <c r="I185" s="8"/>
      <c r="J185" s="8"/>
    </row>
    <row r="186">
      <c r="C186" s="8"/>
      <c r="I186" s="8"/>
      <c r="J186" s="8"/>
    </row>
    <row r="187">
      <c r="C187" s="8"/>
      <c r="I187" s="8"/>
      <c r="J187" s="8"/>
    </row>
    <row r="188">
      <c r="C188" s="8"/>
      <c r="I188" s="8"/>
      <c r="J188" s="8"/>
    </row>
    <row r="189">
      <c r="C189" s="8"/>
      <c r="I189" s="8"/>
      <c r="J189" s="8"/>
    </row>
    <row r="190">
      <c r="C190" s="8"/>
      <c r="I190" s="8"/>
      <c r="J190" s="8"/>
    </row>
    <row r="191">
      <c r="C191" s="8"/>
      <c r="I191" s="8"/>
      <c r="J191" s="8"/>
    </row>
    <row r="192">
      <c r="C192" s="8"/>
      <c r="I192" s="8"/>
      <c r="J192" s="8"/>
    </row>
    <row r="193">
      <c r="C193" s="8"/>
      <c r="I193" s="8"/>
      <c r="J193" s="8"/>
    </row>
    <row r="194">
      <c r="C194" s="8"/>
      <c r="I194" s="8"/>
      <c r="J194" s="8"/>
    </row>
    <row r="195">
      <c r="C195" s="8"/>
      <c r="I195" s="8"/>
      <c r="J195" s="8"/>
    </row>
    <row r="196">
      <c r="C196" s="8"/>
      <c r="I196" s="8"/>
      <c r="J196" s="8"/>
    </row>
    <row r="197">
      <c r="C197" s="8"/>
      <c r="I197" s="8"/>
      <c r="J197" s="8"/>
    </row>
    <row r="198">
      <c r="C198" s="8"/>
      <c r="I198" s="8"/>
      <c r="J198" s="8"/>
    </row>
    <row r="199">
      <c r="C199" s="8"/>
      <c r="I199" s="8"/>
      <c r="J199" s="8"/>
    </row>
    <row r="200">
      <c r="C200" s="8"/>
      <c r="I200" s="8"/>
      <c r="J200" s="8"/>
    </row>
    <row r="201">
      <c r="C201" s="8"/>
      <c r="I201" s="8"/>
      <c r="J201" s="8"/>
    </row>
    <row r="202">
      <c r="C202" s="8"/>
      <c r="I202" s="8"/>
      <c r="J202" s="8"/>
    </row>
    <row r="203">
      <c r="C203" s="8"/>
      <c r="I203" s="8"/>
      <c r="J203" s="8"/>
    </row>
    <row r="204">
      <c r="C204" s="8"/>
      <c r="I204" s="8"/>
      <c r="J204" s="8"/>
    </row>
    <row r="205">
      <c r="C205" s="8"/>
      <c r="I205" s="8"/>
      <c r="J205" s="8"/>
    </row>
    <row r="206">
      <c r="C206" s="8"/>
      <c r="I206" s="8"/>
      <c r="J206" s="8"/>
    </row>
    <row r="207">
      <c r="C207" s="8"/>
      <c r="I207" s="8"/>
      <c r="J207" s="8"/>
    </row>
    <row r="208">
      <c r="C208" s="8"/>
      <c r="I208" s="8"/>
      <c r="J208" s="8"/>
    </row>
    <row r="209">
      <c r="C209" s="8"/>
      <c r="I209" s="8"/>
      <c r="J209" s="8"/>
    </row>
    <row r="210">
      <c r="C210" s="8"/>
      <c r="I210" s="8"/>
      <c r="J210" s="8"/>
    </row>
    <row r="211">
      <c r="C211" s="8"/>
      <c r="I211" s="8"/>
      <c r="J211" s="8"/>
    </row>
    <row r="212">
      <c r="C212" s="8"/>
      <c r="I212" s="8"/>
      <c r="J212" s="8"/>
    </row>
    <row r="213">
      <c r="C213" s="8"/>
      <c r="I213" s="8"/>
      <c r="J213" s="8"/>
    </row>
    <row r="214">
      <c r="C214" s="8"/>
      <c r="I214" s="8"/>
      <c r="J214" s="8"/>
    </row>
    <row r="215">
      <c r="C215" s="8"/>
      <c r="I215" s="8"/>
      <c r="J215" s="8"/>
    </row>
    <row r="216">
      <c r="C216" s="8"/>
      <c r="I216" s="8"/>
      <c r="J216" s="8"/>
    </row>
    <row r="217">
      <c r="C217" s="8"/>
      <c r="I217" s="8"/>
      <c r="J217" s="8"/>
    </row>
    <row r="218">
      <c r="C218" s="8"/>
      <c r="I218" s="8"/>
      <c r="J218" s="8"/>
    </row>
    <row r="219">
      <c r="C219" s="8"/>
      <c r="I219" s="8"/>
      <c r="J219" s="8"/>
    </row>
    <row r="220">
      <c r="C220" s="8"/>
      <c r="I220" s="8"/>
      <c r="J220" s="8"/>
    </row>
    <row r="221">
      <c r="C221" s="8"/>
      <c r="I221" s="8"/>
      <c r="J221" s="8"/>
    </row>
    <row r="222">
      <c r="C222" s="8"/>
      <c r="I222" s="8"/>
      <c r="J222" s="8"/>
    </row>
    <row r="223">
      <c r="C223" s="8"/>
      <c r="I223" s="8"/>
      <c r="J223" s="8"/>
    </row>
    <row r="224">
      <c r="C224" s="8"/>
      <c r="I224" s="8"/>
      <c r="J224" s="8"/>
    </row>
    <row r="225">
      <c r="C225" s="8"/>
      <c r="I225" s="8"/>
      <c r="J225" s="8"/>
    </row>
    <row r="226">
      <c r="C226" s="8"/>
      <c r="I226" s="8"/>
      <c r="J226" s="8"/>
    </row>
    <row r="227">
      <c r="C227" s="8"/>
      <c r="I227" s="8"/>
      <c r="J227" s="8"/>
    </row>
    <row r="228">
      <c r="C228" s="8"/>
      <c r="I228" s="8"/>
      <c r="J228" s="8"/>
    </row>
    <row r="229">
      <c r="C229" s="8"/>
      <c r="I229" s="8"/>
      <c r="J229" s="8"/>
    </row>
    <row r="230">
      <c r="C230" s="8"/>
      <c r="I230" s="8"/>
      <c r="J230" s="8"/>
    </row>
    <row r="231">
      <c r="C231" s="8"/>
      <c r="I231" s="8"/>
      <c r="J231" s="8"/>
    </row>
    <row r="232">
      <c r="C232" s="8"/>
      <c r="I232" s="8"/>
      <c r="J232" s="8"/>
    </row>
    <row r="233">
      <c r="C233" s="8"/>
      <c r="I233" s="8"/>
      <c r="J233" s="8"/>
    </row>
    <row r="234">
      <c r="C234" s="8"/>
      <c r="I234" s="8"/>
      <c r="J234" s="8"/>
    </row>
    <row r="235">
      <c r="C235" s="8"/>
      <c r="I235" s="8"/>
      <c r="J235" s="8"/>
    </row>
    <row r="236">
      <c r="C236" s="8"/>
      <c r="I236" s="8"/>
      <c r="J236" s="8"/>
    </row>
    <row r="237">
      <c r="C237" s="8"/>
      <c r="I237" s="8"/>
      <c r="J237" s="8"/>
    </row>
    <row r="238">
      <c r="C238" s="8"/>
      <c r="I238" s="8"/>
      <c r="J238" s="8"/>
    </row>
    <row r="239">
      <c r="C239" s="8"/>
      <c r="I239" s="8"/>
      <c r="J239" s="8"/>
    </row>
    <row r="240">
      <c r="C240" s="8"/>
      <c r="I240" s="8"/>
      <c r="J240" s="8"/>
    </row>
    <row r="241">
      <c r="C241" s="8"/>
      <c r="I241" s="8"/>
      <c r="J241" s="8"/>
    </row>
    <row r="242">
      <c r="C242" s="8"/>
      <c r="I242" s="8"/>
      <c r="J242" s="8"/>
    </row>
    <row r="243">
      <c r="C243" s="8"/>
      <c r="I243" s="8"/>
      <c r="J243" s="8"/>
    </row>
    <row r="244">
      <c r="C244" s="8"/>
      <c r="I244" s="8"/>
      <c r="J244" s="8"/>
    </row>
    <row r="245">
      <c r="C245" s="8"/>
      <c r="I245" s="8"/>
      <c r="J245" s="8"/>
    </row>
    <row r="246">
      <c r="C246" s="8"/>
      <c r="I246" s="8"/>
      <c r="J246" s="8"/>
    </row>
    <row r="247">
      <c r="C247" s="8"/>
      <c r="I247" s="8"/>
      <c r="J247" s="8"/>
    </row>
    <row r="248">
      <c r="C248" s="8"/>
      <c r="I248" s="8"/>
      <c r="J248" s="8"/>
    </row>
    <row r="249">
      <c r="C249" s="8"/>
      <c r="I249" s="8"/>
      <c r="J249" s="8"/>
    </row>
    <row r="250">
      <c r="C250" s="8"/>
      <c r="I250" s="8"/>
      <c r="J250" s="8"/>
    </row>
    <row r="251">
      <c r="C251" s="8"/>
      <c r="I251" s="8"/>
      <c r="J251" s="8"/>
    </row>
    <row r="252">
      <c r="C252" s="8"/>
      <c r="I252" s="8"/>
      <c r="J252" s="8"/>
    </row>
    <row r="253">
      <c r="C253" s="8"/>
      <c r="I253" s="8"/>
      <c r="J253" s="8"/>
    </row>
    <row r="254">
      <c r="C254" s="8"/>
      <c r="I254" s="8"/>
      <c r="J254" s="8"/>
    </row>
    <row r="255">
      <c r="C255" s="8"/>
      <c r="I255" s="8"/>
      <c r="J255" s="8"/>
    </row>
    <row r="256">
      <c r="C256" s="8"/>
      <c r="I256" s="8"/>
      <c r="J256" s="8"/>
    </row>
    <row r="257">
      <c r="C257" s="8"/>
      <c r="I257" s="8"/>
      <c r="J257" s="8"/>
    </row>
    <row r="258">
      <c r="C258" s="8"/>
      <c r="I258" s="8"/>
      <c r="J258" s="8"/>
    </row>
    <row r="259">
      <c r="C259" s="8"/>
      <c r="I259" s="8"/>
      <c r="J259" s="8"/>
    </row>
    <row r="260">
      <c r="C260" s="8"/>
      <c r="I260" s="8"/>
      <c r="J260" s="8"/>
    </row>
    <row r="261">
      <c r="C261" s="8"/>
      <c r="I261" s="8"/>
      <c r="J261" s="8"/>
    </row>
    <row r="262">
      <c r="C262" s="8"/>
      <c r="I262" s="8"/>
      <c r="J262" s="8"/>
    </row>
    <row r="263">
      <c r="C263" s="8"/>
      <c r="I263" s="8"/>
      <c r="J263" s="8"/>
    </row>
    <row r="264">
      <c r="C264" s="8"/>
      <c r="I264" s="8"/>
      <c r="J264" s="8"/>
    </row>
    <row r="265">
      <c r="C265" s="8"/>
      <c r="I265" s="8"/>
      <c r="J265" s="8"/>
    </row>
    <row r="266">
      <c r="C266" s="8"/>
      <c r="I266" s="8"/>
      <c r="J266" s="8"/>
    </row>
    <row r="267">
      <c r="C267" s="8"/>
      <c r="I267" s="8"/>
      <c r="J267" s="8"/>
    </row>
    <row r="268">
      <c r="C268" s="8"/>
      <c r="I268" s="8"/>
      <c r="J268" s="8"/>
    </row>
    <row r="269">
      <c r="C269" s="8"/>
      <c r="I269" s="8"/>
      <c r="J269" s="8"/>
    </row>
    <row r="270">
      <c r="C270" s="8"/>
      <c r="I270" s="8"/>
      <c r="J270" s="8"/>
    </row>
    <row r="271">
      <c r="C271" s="8"/>
      <c r="I271" s="8"/>
      <c r="J271" s="8"/>
    </row>
    <row r="272">
      <c r="C272" s="8"/>
      <c r="I272" s="8"/>
      <c r="J272" s="8"/>
    </row>
    <row r="273">
      <c r="C273" s="8"/>
      <c r="I273" s="8"/>
      <c r="J273" s="8"/>
    </row>
    <row r="274">
      <c r="C274" s="8"/>
      <c r="I274" s="8"/>
      <c r="J274" s="8"/>
    </row>
    <row r="275">
      <c r="C275" s="8"/>
      <c r="I275" s="8"/>
      <c r="J275" s="8"/>
    </row>
    <row r="276">
      <c r="C276" s="8"/>
      <c r="I276" s="8"/>
      <c r="J276" s="8"/>
    </row>
    <row r="277">
      <c r="C277" s="8"/>
      <c r="I277" s="8"/>
      <c r="J277" s="8"/>
    </row>
    <row r="278">
      <c r="C278" s="8"/>
      <c r="I278" s="8"/>
      <c r="J278" s="8"/>
    </row>
    <row r="279">
      <c r="C279" s="8"/>
      <c r="I279" s="8"/>
      <c r="J279" s="8"/>
    </row>
    <row r="280">
      <c r="C280" s="8"/>
      <c r="I280" s="8"/>
      <c r="J280" s="8"/>
    </row>
    <row r="281">
      <c r="C281" s="8"/>
      <c r="I281" s="8"/>
      <c r="J281" s="8"/>
    </row>
    <row r="282">
      <c r="C282" s="8"/>
      <c r="I282" s="8"/>
      <c r="J282" s="8"/>
    </row>
    <row r="283">
      <c r="C283" s="8"/>
      <c r="I283" s="8"/>
      <c r="J283" s="8"/>
    </row>
    <row r="284">
      <c r="C284" s="8"/>
      <c r="I284" s="8"/>
      <c r="J284" s="8"/>
    </row>
    <row r="285">
      <c r="C285" s="8"/>
      <c r="I285" s="8"/>
      <c r="J285" s="8"/>
    </row>
    <row r="286">
      <c r="C286" s="8"/>
      <c r="I286" s="8"/>
      <c r="J286" s="8"/>
    </row>
    <row r="287">
      <c r="C287" s="8"/>
      <c r="I287" s="8"/>
      <c r="J287" s="8"/>
    </row>
    <row r="288">
      <c r="C288" s="8"/>
      <c r="I288" s="8"/>
      <c r="J288" s="8"/>
    </row>
    <row r="289">
      <c r="C289" s="8"/>
      <c r="I289" s="8"/>
      <c r="J289" s="8"/>
    </row>
    <row r="290">
      <c r="C290" s="8"/>
      <c r="I290" s="8"/>
      <c r="J290" s="8"/>
    </row>
    <row r="291">
      <c r="C291" s="8"/>
      <c r="I291" s="8"/>
      <c r="J291" s="8"/>
    </row>
    <row r="292">
      <c r="C292" s="8"/>
      <c r="I292" s="8"/>
      <c r="J292" s="8"/>
    </row>
    <row r="293">
      <c r="C293" s="8"/>
      <c r="I293" s="8"/>
      <c r="J293" s="8"/>
    </row>
    <row r="294">
      <c r="C294" s="8"/>
      <c r="I294" s="8"/>
      <c r="J294" s="8"/>
    </row>
    <row r="295">
      <c r="C295" s="8"/>
      <c r="I295" s="8"/>
      <c r="J295" s="8"/>
    </row>
    <row r="296">
      <c r="C296" s="8"/>
      <c r="I296" s="8"/>
      <c r="J296" s="8"/>
    </row>
    <row r="297">
      <c r="C297" s="8"/>
      <c r="I297" s="8"/>
      <c r="J297" s="8"/>
    </row>
    <row r="298">
      <c r="C298" s="8"/>
      <c r="I298" s="8"/>
      <c r="J298" s="8"/>
    </row>
    <row r="299">
      <c r="C299" s="8"/>
      <c r="I299" s="8"/>
      <c r="J299" s="8"/>
    </row>
    <row r="300">
      <c r="C300" s="8"/>
      <c r="I300" s="8"/>
      <c r="J300" s="8"/>
    </row>
    <row r="301">
      <c r="C301" s="8"/>
      <c r="I301" s="8"/>
      <c r="J301" s="8"/>
    </row>
    <row r="302">
      <c r="C302" s="8"/>
      <c r="I302" s="8"/>
      <c r="J302" s="8"/>
    </row>
    <row r="303">
      <c r="C303" s="8"/>
      <c r="I303" s="8"/>
      <c r="J303" s="8"/>
    </row>
    <row r="304">
      <c r="C304" s="8"/>
      <c r="I304" s="8"/>
      <c r="J304" s="8"/>
    </row>
    <row r="305">
      <c r="C305" s="8"/>
      <c r="I305" s="8"/>
      <c r="J305" s="8"/>
    </row>
    <row r="306">
      <c r="C306" s="8"/>
      <c r="I306" s="8"/>
      <c r="J306" s="8"/>
    </row>
    <row r="307">
      <c r="C307" s="8"/>
      <c r="I307" s="8"/>
      <c r="J307" s="8"/>
    </row>
    <row r="308">
      <c r="C308" s="8"/>
      <c r="I308" s="8"/>
      <c r="J308" s="8"/>
    </row>
    <row r="309">
      <c r="C309" s="8"/>
      <c r="I309" s="8"/>
      <c r="J309" s="8"/>
    </row>
    <row r="310">
      <c r="C310" s="8"/>
      <c r="I310" s="8"/>
      <c r="J310" s="8"/>
    </row>
    <row r="311">
      <c r="C311" s="8"/>
      <c r="I311" s="8"/>
      <c r="J311" s="8"/>
    </row>
    <row r="312">
      <c r="C312" s="8"/>
      <c r="I312" s="8"/>
      <c r="J312" s="8"/>
    </row>
    <row r="313">
      <c r="C313" s="8"/>
      <c r="I313" s="8"/>
      <c r="J313" s="8"/>
    </row>
    <row r="314">
      <c r="C314" s="8"/>
      <c r="I314" s="8"/>
      <c r="J314" s="8"/>
    </row>
    <row r="315">
      <c r="C315" s="8"/>
      <c r="I315" s="8"/>
      <c r="J315" s="8"/>
    </row>
    <row r="316">
      <c r="C316" s="8"/>
      <c r="I316" s="8"/>
      <c r="J316" s="8"/>
    </row>
    <row r="317">
      <c r="C317" s="8"/>
      <c r="I317" s="8"/>
      <c r="J317" s="8"/>
    </row>
    <row r="318">
      <c r="C318" s="8"/>
      <c r="I318" s="8"/>
      <c r="J318" s="8"/>
    </row>
    <row r="319">
      <c r="C319" s="8"/>
      <c r="I319" s="8"/>
      <c r="J319" s="8"/>
    </row>
    <row r="320">
      <c r="C320" s="8"/>
      <c r="I320" s="8"/>
      <c r="J320" s="8"/>
    </row>
    <row r="321">
      <c r="C321" s="8"/>
      <c r="I321" s="8"/>
      <c r="J321" s="8"/>
    </row>
    <row r="322">
      <c r="C322" s="8"/>
      <c r="I322" s="8"/>
      <c r="J322" s="8"/>
    </row>
    <row r="323">
      <c r="C323" s="8"/>
      <c r="I323" s="8"/>
      <c r="J323" s="8"/>
    </row>
    <row r="324">
      <c r="C324" s="8"/>
      <c r="I324" s="8"/>
      <c r="J324" s="8"/>
    </row>
    <row r="325">
      <c r="C325" s="8"/>
      <c r="I325" s="8"/>
      <c r="J325" s="8"/>
    </row>
    <row r="326">
      <c r="C326" s="8"/>
      <c r="I326" s="8"/>
      <c r="J326" s="8"/>
    </row>
    <row r="327">
      <c r="C327" s="8"/>
      <c r="I327" s="8"/>
      <c r="J327" s="8"/>
    </row>
    <row r="328">
      <c r="C328" s="8"/>
      <c r="I328" s="8"/>
      <c r="J328" s="8"/>
    </row>
    <row r="329">
      <c r="C329" s="8"/>
      <c r="I329" s="8"/>
      <c r="J329" s="8"/>
    </row>
    <row r="330">
      <c r="C330" s="8"/>
      <c r="I330" s="8"/>
      <c r="J330" s="8"/>
    </row>
    <row r="331">
      <c r="C331" s="8"/>
      <c r="I331" s="8"/>
      <c r="J331" s="8"/>
    </row>
    <row r="332">
      <c r="C332" s="8"/>
      <c r="I332" s="8"/>
      <c r="J332" s="8"/>
    </row>
    <row r="333">
      <c r="C333" s="8"/>
      <c r="I333" s="8"/>
      <c r="J333" s="8"/>
    </row>
    <row r="334">
      <c r="C334" s="8"/>
      <c r="I334" s="8"/>
      <c r="J334" s="8"/>
    </row>
    <row r="335">
      <c r="C335" s="8"/>
      <c r="I335" s="8"/>
      <c r="J335" s="8"/>
    </row>
    <row r="336">
      <c r="C336" s="8"/>
      <c r="I336" s="8"/>
      <c r="J336" s="8"/>
    </row>
    <row r="337">
      <c r="C337" s="8"/>
      <c r="I337" s="8"/>
      <c r="J337" s="8"/>
    </row>
    <row r="338">
      <c r="C338" s="8"/>
      <c r="I338" s="8"/>
      <c r="J338" s="8"/>
    </row>
    <row r="339">
      <c r="C339" s="8"/>
      <c r="I339" s="8"/>
      <c r="J339" s="8"/>
    </row>
    <row r="340">
      <c r="C340" s="8"/>
      <c r="I340" s="8"/>
      <c r="J340" s="8"/>
    </row>
    <row r="341">
      <c r="C341" s="8"/>
      <c r="I341" s="8"/>
      <c r="J341" s="8"/>
    </row>
    <row r="342">
      <c r="C342" s="8"/>
      <c r="I342" s="8"/>
      <c r="J342" s="8"/>
    </row>
    <row r="343">
      <c r="C343" s="8"/>
      <c r="I343" s="8"/>
      <c r="J343" s="8"/>
    </row>
    <row r="344">
      <c r="C344" s="8"/>
      <c r="I344" s="8"/>
      <c r="J344" s="8"/>
    </row>
    <row r="345">
      <c r="C345" s="8"/>
      <c r="I345" s="8"/>
      <c r="J345" s="8"/>
    </row>
    <row r="346">
      <c r="C346" s="8"/>
      <c r="I346" s="8"/>
      <c r="J346" s="8"/>
    </row>
    <row r="347">
      <c r="C347" s="8"/>
      <c r="I347" s="8"/>
      <c r="J347" s="8"/>
    </row>
    <row r="348">
      <c r="C348" s="8"/>
      <c r="I348" s="8"/>
      <c r="J348" s="8"/>
    </row>
    <row r="349">
      <c r="C349" s="8"/>
      <c r="I349" s="8"/>
      <c r="J349" s="8"/>
    </row>
    <row r="350">
      <c r="C350" s="8"/>
      <c r="I350" s="8"/>
      <c r="J350" s="8"/>
    </row>
    <row r="351">
      <c r="C351" s="8"/>
      <c r="I351" s="8"/>
      <c r="J351" s="8"/>
    </row>
    <row r="352">
      <c r="C352" s="8"/>
      <c r="I352" s="8"/>
      <c r="J352" s="8"/>
    </row>
    <row r="353">
      <c r="C353" s="8"/>
      <c r="I353" s="8"/>
      <c r="J353" s="8"/>
    </row>
    <row r="354">
      <c r="C354" s="8"/>
      <c r="I354" s="8"/>
      <c r="J354" s="8"/>
    </row>
    <row r="355">
      <c r="C355" s="8"/>
      <c r="I355" s="8"/>
      <c r="J355" s="8"/>
    </row>
    <row r="356">
      <c r="C356" s="8"/>
      <c r="I356" s="8"/>
      <c r="J356" s="8"/>
    </row>
    <row r="357">
      <c r="C357" s="8"/>
      <c r="I357" s="8"/>
      <c r="J357" s="8"/>
    </row>
    <row r="358">
      <c r="C358" s="8"/>
      <c r="I358" s="8"/>
      <c r="J358" s="8"/>
    </row>
    <row r="359">
      <c r="C359" s="8"/>
      <c r="I359" s="8"/>
      <c r="J359" s="8"/>
    </row>
    <row r="360">
      <c r="C360" s="8"/>
      <c r="I360" s="8"/>
      <c r="J360" s="8"/>
    </row>
    <row r="361">
      <c r="C361" s="8"/>
      <c r="I361" s="8"/>
      <c r="J361" s="8"/>
    </row>
    <row r="362">
      <c r="C362" s="8"/>
      <c r="I362" s="8"/>
      <c r="J362" s="8"/>
    </row>
    <row r="363">
      <c r="C363" s="8"/>
      <c r="I363" s="8"/>
      <c r="J363" s="8"/>
    </row>
    <row r="364">
      <c r="C364" s="8"/>
      <c r="I364" s="8"/>
      <c r="J364" s="8"/>
    </row>
    <row r="365">
      <c r="C365" s="8"/>
      <c r="I365" s="8"/>
      <c r="J365" s="8"/>
    </row>
    <row r="366">
      <c r="C366" s="8"/>
      <c r="I366" s="8"/>
      <c r="J366" s="8"/>
    </row>
    <row r="367">
      <c r="C367" s="8"/>
      <c r="I367" s="8"/>
      <c r="J367" s="8"/>
    </row>
    <row r="368">
      <c r="C368" s="8"/>
      <c r="I368" s="8"/>
      <c r="J368" s="8"/>
    </row>
    <row r="369">
      <c r="C369" s="8"/>
      <c r="I369" s="8"/>
      <c r="J369" s="8"/>
    </row>
    <row r="370">
      <c r="C370" s="8"/>
      <c r="I370" s="8"/>
      <c r="J370" s="8"/>
    </row>
    <row r="371">
      <c r="C371" s="8"/>
      <c r="I371" s="8"/>
      <c r="J371" s="8"/>
    </row>
    <row r="372">
      <c r="C372" s="8"/>
      <c r="I372" s="8"/>
      <c r="J372" s="8"/>
    </row>
    <row r="373">
      <c r="C373" s="8"/>
      <c r="I373" s="8"/>
      <c r="J373" s="8"/>
    </row>
    <row r="374">
      <c r="C374" s="8"/>
      <c r="I374" s="8"/>
      <c r="J374" s="8"/>
    </row>
    <row r="375">
      <c r="C375" s="8"/>
      <c r="I375" s="8"/>
      <c r="J375" s="8"/>
    </row>
    <row r="376">
      <c r="C376" s="8"/>
      <c r="I376" s="8"/>
      <c r="J376" s="8"/>
    </row>
    <row r="377">
      <c r="C377" s="8"/>
      <c r="I377" s="8"/>
      <c r="J377" s="8"/>
    </row>
    <row r="378">
      <c r="C378" s="8"/>
      <c r="I378" s="8"/>
      <c r="J378" s="8"/>
    </row>
    <row r="379">
      <c r="C379" s="8"/>
      <c r="I379" s="8"/>
      <c r="J379" s="8"/>
    </row>
    <row r="380">
      <c r="C380" s="8"/>
      <c r="I380" s="8"/>
      <c r="J380" s="8"/>
    </row>
    <row r="381">
      <c r="C381" s="8"/>
      <c r="I381" s="8"/>
      <c r="J381" s="8"/>
    </row>
    <row r="382">
      <c r="C382" s="8"/>
      <c r="I382" s="8"/>
      <c r="J382" s="8"/>
    </row>
    <row r="383">
      <c r="C383" s="8"/>
      <c r="I383" s="8"/>
      <c r="J383" s="8"/>
    </row>
    <row r="384">
      <c r="C384" s="8"/>
      <c r="I384" s="8"/>
      <c r="J384" s="8"/>
    </row>
    <row r="385">
      <c r="C385" s="8"/>
      <c r="I385" s="8"/>
      <c r="J385" s="8"/>
    </row>
    <row r="386">
      <c r="C386" s="8"/>
      <c r="I386" s="8"/>
      <c r="J386" s="8"/>
    </row>
    <row r="387">
      <c r="C387" s="8"/>
      <c r="I387" s="8"/>
      <c r="J387" s="8"/>
    </row>
    <row r="388">
      <c r="C388" s="8"/>
      <c r="I388" s="8"/>
      <c r="J388" s="8"/>
    </row>
    <row r="389">
      <c r="C389" s="8"/>
      <c r="I389" s="8"/>
      <c r="J389" s="8"/>
    </row>
    <row r="390">
      <c r="C390" s="8"/>
      <c r="I390" s="8"/>
      <c r="J390" s="8"/>
    </row>
    <row r="391">
      <c r="C391" s="8"/>
      <c r="I391" s="8"/>
      <c r="J391" s="8"/>
    </row>
    <row r="392">
      <c r="C392" s="8"/>
      <c r="I392" s="8"/>
      <c r="J392" s="8"/>
    </row>
    <row r="393">
      <c r="C393" s="8"/>
      <c r="I393" s="8"/>
      <c r="J393" s="8"/>
    </row>
    <row r="394">
      <c r="C394" s="8"/>
      <c r="I394" s="8"/>
      <c r="J394" s="8"/>
    </row>
    <row r="395">
      <c r="C395" s="8"/>
      <c r="I395" s="8"/>
      <c r="J395" s="8"/>
    </row>
    <row r="396">
      <c r="C396" s="8"/>
      <c r="I396" s="8"/>
      <c r="J396" s="8"/>
    </row>
    <row r="397">
      <c r="C397" s="8"/>
      <c r="I397" s="8"/>
      <c r="J397" s="8"/>
    </row>
    <row r="398">
      <c r="C398" s="8"/>
      <c r="I398" s="8"/>
      <c r="J398" s="8"/>
    </row>
    <row r="399">
      <c r="C399" s="8"/>
      <c r="I399" s="8"/>
      <c r="J399" s="8"/>
    </row>
    <row r="400">
      <c r="C400" s="8"/>
      <c r="I400" s="8"/>
      <c r="J400" s="8"/>
    </row>
    <row r="401">
      <c r="C401" s="8"/>
      <c r="I401" s="8"/>
      <c r="J401" s="8"/>
    </row>
    <row r="402">
      <c r="C402" s="8"/>
      <c r="I402" s="8"/>
      <c r="J402" s="8"/>
    </row>
    <row r="403">
      <c r="C403" s="8"/>
      <c r="I403" s="8"/>
      <c r="J403" s="8"/>
    </row>
    <row r="404">
      <c r="C404" s="8"/>
      <c r="I404" s="8"/>
      <c r="J404" s="8"/>
    </row>
    <row r="405">
      <c r="C405" s="8"/>
      <c r="I405" s="8"/>
      <c r="J405" s="8"/>
    </row>
    <row r="406">
      <c r="C406" s="8"/>
      <c r="I406" s="8"/>
      <c r="J406" s="8"/>
    </row>
    <row r="407">
      <c r="C407" s="8"/>
      <c r="I407" s="8"/>
      <c r="J407" s="8"/>
    </row>
    <row r="408">
      <c r="C408" s="8"/>
      <c r="I408" s="8"/>
      <c r="J408" s="8"/>
    </row>
    <row r="409">
      <c r="C409" s="8"/>
      <c r="I409" s="8"/>
      <c r="J409" s="8"/>
    </row>
    <row r="410">
      <c r="C410" s="8"/>
      <c r="I410" s="8"/>
      <c r="J410" s="8"/>
    </row>
    <row r="411">
      <c r="C411" s="8"/>
      <c r="I411" s="8"/>
      <c r="J411" s="8"/>
    </row>
    <row r="412">
      <c r="C412" s="8"/>
      <c r="I412" s="8"/>
      <c r="J412" s="8"/>
    </row>
    <row r="413">
      <c r="C413" s="8"/>
      <c r="I413" s="8"/>
      <c r="J413" s="8"/>
    </row>
    <row r="414">
      <c r="C414" s="8"/>
      <c r="I414" s="8"/>
      <c r="J414" s="8"/>
    </row>
    <row r="415">
      <c r="C415" s="8"/>
      <c r="I415" s="8"/>
      <c r="J415" s="8"/>
    </row>
    <row r="416">
      <c r="C416" s="8"/>
      <c r="I416" s="8"/>
      <c r="J416" s="8"/>
    </row>
    <row r="417">
      <c r="C417" s="8"/>
      <c r="I417" s="8"/>
      <c r="J417" s="8"/>
    </row>
    <row r="418">
      <c r="C418" s="8"/>
      <c r="I418" s="8"/>
      <c r="J418" s="8"/>
    </row>
    <row r="419">
      <c r="C419" s="8"/>
      <c r="I419" s="8"/>
      <c r="J419" s="8"/>
    </row>
    <row r="420">
      <c r="C420" s="8"/>
      <c r="I420" s="8"/>
      <c r="J420" s="8"/>
    </row>
    <row r="421">
      <c r="C421" s="8"/>
      <c r="I421" s="8"/>
      <c r="J421" s="8"/>
    </row>
    <row r="422">
      <c r="C422" s="8"/>
      <c r="I422" s="8"/>
      <c r="J422" s="8"/>
    </row>
    <row r="423">
      <c r="C423" s="8"/>
      <c r="I423" s="8"/>
      <c r="J423" s="8"/>
    </row>
    <row r="424">
      <c r="C424" s="8"/>
      <c r="I424" s="8"/>
      <c r="J424" s="8"/>
    </row>
    <row r="425">
      <c r="C425" s="8"/>
      <c r="I425" s="8"/>
      <c r="J425" s="8"/>
    </row>
    <row r="426">
      <c r="C426" s="8"/>
      <c r="I426" s="8"/>
      <c r="J426" s="8"/>
    </row>
    <row r="427">
      <c r="C427" s="8"/>
      <c r="I427" s="8"/>
      <c r="J427" s="8"/>
    </row>
    <row r="428">
      <c r="C428" s="8"/>
      <c r="I428" s="8"/>
      <c r="J428" s="8"/>
    </row>
    <row r="429">
      <c r="C429" s="8"/>
      <c r="I429" s="8"/>
      <c r="J429" s="8"/>
    </row>
    <row r="430">
      <c r="C430" s="8"/>
      <c r="I430" s="8"/>
      <c r="J430" s="8"/>
    </row>
    <row r="431">
      <c r="C431" s="8"/>
      <c r="I431" s="8"/>
      <c r="J431" s="8"/>
    </row>
    <row r="432">
      <c r="C432" s="8"/>
      <c r="I432" s="8"/>
      <c r="J432" s="8"/>
    </row>
    <row r="433">
      <c r="C433" s="8"/>
      <c r="I433" s="8"/>
      <c r="J433" s="8"/>
    </row>
    <row r="434">
      <c r="C434" s="8"/>
      <c r="I434" s="8"/>
      <c r="J434" s="8"/>
    </row>
    <row r="435">
      <c r="C435" s="8"/>
      <c r="I435" s="8"/>
      <c r="J435" s="8"/>
    </row>
    <row r="436">
      <c r="C436" s="8"/>
      <c r="I436" s="8"/>
      <c r="J436" s="8"/>
    </row>
    <row r="437">
      <c r="C437" s="8"/>
      <c r="I437" s="8"/>
      <c r="J437" s="8"/>
    </row>
    <row r="438">
      <c r="C438" s="8"/>
      <c r="I438" s="8"/>
      <c r="J438" s="8"/>
    </row>
    <row r="439">
      <c r="C439" s="8"/>
      <c r="I439" s="8"/>
      <c r="J439" s="8"/>
    </row>
    <row r="440">
      <c r="C440" s="8"/>
      <c r="I440" s="8"/>
      <c r="J440" s="8"/>
    </row>
    <row r="441">
      <c r="C441" s="8"/>
      <c r="I441" s="8"/>
      <c r="J441" s="8"/>
    </row>
    <row r="442">
      <c r="C442" s="8"/>
      <c r="I442" s="8"/>
      <c r="J442" s="8"/>
    </row>
    <row r="443">
      <c r="C443" s="8"/>
      <c r="I443" s="8"/>
      <c r="J443" s="8"/>
    </row>
    <row r="444">
      <c r="C444" s="8"/>
      <c r="I444" s="8"/>
      <c r="J444" s="8"/>
    </row>
    <row r="445">
      <c r="C445" s="8"/>
      <c r="I445" s="8"/>
      <c r="J445" s="8"/>
    </row>
    <row r="446">
      <c r="C446" s="8"/>
      <c r="I446" s="8"/>
      <c r="J446" s="8"/>
    </row>
    <row r="447">
      <c r="C447" s="8"/>
      <c r="I447" s="8"/>
      <c r="J447" s="8"/>
    </row>
    <row r="448">
      <c r="C448" s="8"/>
      <c r="I448" s="8"/>
      <c r="J448" s="8"/>
    </row>
    <row r="449">
      <c r="C449" s="8"/>
      <c r="I449" s="8"/>
      <c r="J449" s="8"/>
    </row>
    <row r="450">
      <c r="C450" s="8"/>
      <c r="I450" s="8"/>
      <c r="J450" s="8"/>
    </row>
    <row r="451">
      <c r="C451" s="8"/>
      <c r="I451" s="8"/>
      <c r="J451" s="8"/>
    </row>
    <row r="452">
      <c r="C452" s="8"/>
      <c r="I452" s="8"/>
      <c r="J452" s="8"/>
    </row>
    <row r="453">
      <c r="C453" s="8"/>
      <c r="I453" s="8"/>
      <c r="J453" s="8"/>
    </row>
    <row r="454">
      <c r="C454" s="8"/>
      <c r="I454" s="8"/>
      <c r="J454" s="8"/>
    </row>
    <row r="455">
      <c r="C455" s="8"/>
      <c r="I455" s="8"/>
      <c r="J455" s="8"/>
    </row>
    <row r="456">
      <c r="C456" s="8"/>
      <c r="I456" s="8"/>
      <c r="J456" s="8"/>
    </row>
    <row r="457">
      <c r="C457" s="8"/>
      <c r="I457" s="8"/>
      <c r="J457" s="8"/>
    </row>
    <row r="458">
      <c r="C458" s="8"/>
      <c r="I458" s="8"/>
      <c r="J458" s="8"/>
    </row>
    <row r="459">
      <c r="C459" s="8"/>
      <c r="I459" s="8"/>
      <c r="J459" s="8"/>
    </row>
    <row r="460">
      <c r="C460" s="8"/>
      <c r="I460" s="8"/>
      <c r="J460" s="8"/>
    </row>
    <row r="461">
      <c r="C461" s="8"/>
      <c r="I461" s="8"/>
      <c r="J461" s="8"/>
    </row>
    <row r="462">
      <c r="C462" s="8"/>
      <c r="I462" s="8"/>
      <c r="J462" s="8"/>
    </row>
    <row r="463">
      <c r="C463" s="8"/>
      <c r="I463" s="8"/>
      <c r="J463" s="8"/>
    </row>
    <row r="464">
      <c r="C464" s="8"/>
      <c r="I464" s="8"/>
      <c r="J464" s="8"/>
    </row>
    <row r="465">
      <c r="C465" s="8"/>
      <c r="I465" s="8"/>
      <c r="J465" s="8"/>
    </row>
    <row r="466">
      <c r="C466" s="8"/>
      <c r="I466" s="8"/>
      <c r="J466" s="8"/>
    </row>
    <row r="467">
      <c r="C467" s="8"/>
      <c r="I467" s="8"/>
      <c r="J467" s="8"/>
    </row>
    <row r="468">
      <c r="C468" s="8"/>
      <c r="I468" s="8"/>
      <c r="J468" s="8"/>
    </row>
    <row r="469">
      <c r="C469" s="8"/>
      <c r="I469" s="8"/>
      <c r="J469" s="8"/>
    </row>
    <row r="470">
      <c r="C470" s="8"/>
      <c r="I470" s="8"/>
      <c r="J470" s="8"/>
    </row>
    <row r="471">
      <c r="C471" s="8"/>
      <c r="I471" s="8"/>
      <c r="J471" s="8"/>
    </row>
    <row r="472">
      <c r="C472" s="8"/>
      <c r="I472" s="8"/>
      <c r="J472" s="8"/>
    </row>
    <row r="473">
      <c r="C473" s="8"/>
      <c r="I473" s="8"/>
      <c r="J473" s="8"/>
    </row>
    <row r="474">
      <c r="C474" s="8"/>
      <c r="I474" s="8"/>
      <c r="J474" s="8"/>
    </row>
    <row r="475">
      <c r="C475" s="8"/>
      <c r="I475" s="8"/>
      <c r="J475" s="8"/>
    </row>
    <row r="476">
      <c r="C476" s="8"/>
      <c r="I476" s="8"/>
      <c r="J476" s="8"/>
    </row>
    <row r="477">
      <c r="C477" s="8"/>
      <c r="I477" s="8"/>
      <c r="J477" s="8"/>
    </row>
    <row r="478">
      <c r="C478" s="8"/>
      <c r="I478" s="8"/>
      <c r="J478" s="8"/>
    </row>
    <row r="479">
      <c r="C479" s="8"/>
      <c r="I479" s="8"/>
      <c r="J479" s="8"/>
    </row>
    <row r="480">
      <c r="C480" s="8"/>
      <c r="I480" s="8"/>
      <c r="J480" s="8"/>
    </row>
    <row r="481">
      <c r="C481" s="8"/>
      <c r="I481" s="8"/>
      <c r="J481" s="8"/>
    </row>
    <row r="482">
      <c r="C482" s="8"/>
      <c r="I482" s="8"/>
      <c r="J482" s="8"/>
    </row>
    <row r="483">
      <c r="C483" s="8"/>
      <c r="I483" s="8"/>
      <c r="J483" s="8"/>
    </row>
    <row r="484">
      <c r="C484" s="8"/>
      <c r="I484" s="8"/>
      <c r="J484" s="8"/>
    </row>
    <row r="485">
      <c r="C485" s="8"/>
      <c r="I485" s="8"/>
      <c r="J485" s="8"/>
    </row>
    <row r="486">
      <c r="C486" s="8"/>
      <c r="I486" s="8"/>
      <c r="J486" s="8"/>
    </row>
    <row r="487">
      <c r="C487" s="8"/>
      <c r="I487" s="8"/>
      <c r="J487" s="8"/>
    </row>
    <row r="488">
      <c r="C488" s="8"/>
      <c r="I488" s="8"/>
      <c r="J488" s="8"/>
    </row>
    <row r="489">
      <c r="C489" s="8"/>
      <c r="I489" s="8"/>
      <c r="J489" s="8"/>
    </row>
    <row r="490">
      <c r="C490" s="8"/>
      <c r="I490" s="8"/>
      <c r="J490" s="8"/>
    </row>
    <row r="491">
      <c r="C491" s="8"/>
      <c r="I491" s="8"/>
      <c r="J491" s="8"/>
    </row>
    <row r="492">
      <c r="C492" s="8"/>
      <c r="I492" s="8"/>
      <c r="J492" s="8"/>
    </row>
    <row r="493">
      <c r="C493" s="8"/>
      <c r="I493" s="8"/>
      <c r="J493" s="8"/>
    </row>
    <row r="494">
      <c r="C494" s="8"/>
      <c r="I494" s="8"/>
      <c r="J494" s="8"/>
    </row>
    <row r="495">
      <c r="C495" s="8"/>
      <c r="I495" s="8"/>
      <c r="J495" s="8"/>
    </row>
    <row r="496">
      <c r="C496" s="8"/>
      <c r="I496" s="8"/>
      <c r="J496" s="8"/>
    </row>
    <row r="497">
      <c r="C497" s="8"/>
      <c r="I497" s="8"/>
      <c r="J497" s="8"/>
    </row>
    <row r="498">
      <c r="C498" s="8"/>
      <c r="I498" s="8"/>
      <c r="J498" s="8"/>
    </row>
    <row r="499">
      <c r="C499" s="8"/>
      <c r="I499" s="8"/>
      <c r="J499" s="8"/>
    </row>
    <row r="500">
      <c r="C500" s="8"/>
      <c r="I500" s="8"/>
      <c r="J500" s="8"/>
    </row>
    <row r="501">
      <c r="C501" s="8"/>
      <c r="I501" s="8"/>
      <c r="J501" s="8"/>
    </row>
    <row r="502">
      <c r="C502" s="8"/>
      <c r="I502" s="8"/>
      <c r="J502" s="8"/>
    </row>
    <row r="503">
      <c r="C503" s="8"/>
      <c r="I503" s="8"/>
      <c r="J503" s="8"/>
    </row>
    <row r="504">
      <c r="C504" s="8"/>
      <c r="I504" s="8"/>
      <c r="J504" s="8"/>
    </row>
    <row r="505">
      <c r="C505" s="8"/>
      <c r="I505" s="8"/>
      <c r="J505" s="8"/>
    </row>
    <row r="506">
      <c r="C506" s="8"/>
      <c r="I506" s="8"/>
      <c r="J506" s="8"/>
    </row>
    <row r="507">
      <c r="C507" s="8"/>
      <c r="I507" s="8"/>
      <c r="J507" s="8"/>
    </row>
    <row r="508">
      <c r="C508" s="8"/>
      <c r="I508" s="8"/>
      <c r="J508" s="8"/>
    </row>
    <row r="509">
      <c r="C509" s="8"/>
      <c r="I509" s="8"/>
      <c r="J509" s="8"/>
    </row>
    <row r="510">
      <c r="C510" s="8"/>
      <c r="I510" s="8"/>
      <c r="J510" s="8"/>
    </row>
    <row r="511">
      <c r="C511" s="8"/>
      <c r="I511" s="8"/>
      <c r="J511" s="8"/>
    </row>
    <row r="512">
      <c r="C512" s="8"/>
      <c r="I512" s="8"/>
      <c r="J512" s="8"/>
    </row>
    <row r="513">
      <c r="C513" s="8"/>
      <c r="I513" s="8"/>
      <c r="J513" s="8"/>
    </row>
    <row r="514">
      <c r="C514" s="8"/>
      <c r="I514" s="8"/>
      <c r="J514" s="8"/>
    </row>
    <row r="515">
      <c r="C515" s="8"/>
      <c r="I515" s="8"/>
      <c r="J515" s="8"/>
    </row>
    <row r="516">
      <c r="C516" s="8"/>
      <c r="I516" s="8"/>
      <c r="J516" s="8"/>
    </row>
    <row r="517">
      <c r="C517" s="8"/>
      <c r="I517" s="8"/>
      <c r="J517" s="8"/>
    </row>
    <row r="518">
      <c r="C518" s="8"/>
      <c r="I518" s="8"/>
      <c r="J518" s="8"/>
    </row>
    <row r="519">
      <c r="C519" s="8"/>
      <c r="I519" s="8"/>
      <c r="J519" s="8"/>
    </row>
    <row r="520">
      <c r="C520" s="8"/>
      <c r="I520" s="8"/>
      <c r="J520" s="8"/>
    </row>
    <row r="521">
      <c r="C521" s="8"/>
      <c r="I521" s="8"/>
      <c r="J521" s="8"/>
    </row>
    <row r="522">
      <c r="C522" s="8"/>
      <c r="I522" s="8"/>
      <c r="J522" s="8"/>
    </row>
    <row r="523">
      <c r="C523" s="8"/>
      <c r="I523" s="8"/>
      <c r="J523" s="8"/>
    </row>
    <row r="524">
      <c r="C524" s="8"/>
      <c r="I524" s="8"/>
      <c r="J524" s="8"/>
    </row>
    <row r="525">
      <c r="C525" s="8"/>
      <c r="I525" s="8"/>
      <c r="J525" s="8"/>
    </row>
    <row r="526">
      <c r="C526" s="8"/>
      <c r="I526" s="8"/>
      <c r="J526" s="8"/>
    </row>
    <row r="527">
      <c r="C527" s="8"/>
      <c r="I527" s="8"/>
      <c r="J527" s="8"/>
    </row>
    <row r="528">
      <c r="C528" s="8"/>
      <c r="I528" s="8"/>
      <c r="J528" s="8"/>
    </row>
    <row r="529">
      <c r="C529" s="8"/>
      <c r="I529" s="8"/>
      <c r="J529" s="8"/>
    </row>
    <row r="530">
      <c r="C530" s="8"/>
      <c r="I530" s="8"/>
      <c r="J530" s="8"/>
    </row>
    <row r="531">
      <c r="C531" s="8"/>
      <c r="I531" s="8"/>
      <c r="J531" s="8"/>
    </row>
    <row r="532">
      <c r="C532" s="8"/>
      <c r="I532" s="8"/>
      <c r="J532" s="8"/>
    </row>
    <row r="533">
      <c r="C533" s="8"/>
      <c r="I533" s="8"/>
      <c r="J533" s="8"/>
    </row>
    <row r="534">
      <c r="C534" s="8"/>
      <c r="I534" s="8"/>
      <c r="J534" s="8"/>
    </row>
    <row r="535">
      <c r="C535" s="8"/>
      <c r="I535" s="8"/>
      <c r="J535" s="8"/>
    </row>
    <row r="536">
      <c r="C536" s="8"/>
      <c r="I536" s="8"/>
      <c r="J536" s="8"/>
    </row>
    <row r="537">
      <c r="C537" s="8"/>
      <c r="I537" s="8"/>
      <c r="J537" s="8"/>
    </row>
    <row r="538">
      <c r="C538" s="8"/>
      <c r="I538" s="8"/>
      <c r="J538" s="8"/>
    </row>
    <row r="539">
      <c r="C539" s="8"/>
      <c r="I539" s="8"/>
      <c r="J539" s="8"/>
    </row>
    <row r="540">
      <c r="C540" s="8"/>
      <c r="I540" s="8"/>
      <c r="J540" s="8"/>
    </row>
    <row r="541">
      <c r="C541" s="8"/>
      <c r="I541" s="8"/>
      <c r="J541" s="8"/>
    </row>
    <row r="542">
      <c r="C542" s="8"/>
      <c r="I542" s="8"/>
      <c r="J542" s="8"/>
    </row>
    <row r="543">
      <c r="C543" s="8"/>
      <c r="I543" s="8"/>
      <c r="J543" s="8"/>
    </row>
    <row r="544">
      <c r="C544" s="8"/>
      <c r="I544" s="8"/>
      <c r="J544" s="8"/>
    </row>
    <row r="545">
      <c r="C545" s="8"/>
      <c r="I545" s="8"/>
      <c r="J545" s="8"/>
    </row>
    <row r="546">
      <c r="C546" s="8"/>
      <c r="I546" s="8"/>
      <c r="J546" s="8"/>
    </row>
    <row r="547">
      <c r="C547" s="8"/>
      <c r="I547" s="8"/>
      <c r="J547" s="8"/>
    </row>
    <row r="548">
      <c r="C548" s="8"/>
      <c r="I548" s="8"/>
      <c r="J548" s="8"/>
    </row>
    <row r="549">
      <c r="C549" s="8"/>
      <c r="I549" s="8"/>
      <c r="J549" s="8"/>
    </row>
    <row r="550">
      <c r="C550" s="8"/>
      <c r="I550" s="8"/>
      <c r="J550" s="8"/>
    </row>
    <row r="551">
      <c r="C551" s="8"/>
      <c r="I551" s="8"/>
      <c r="J551" s="8"/>
    </row>
    <row r="552">
      <c r="C552" s="8"/>
      <c r="I552" s="8"/>
      <c r="J552" s="8"/>
    </row>
    <row r="553">
      <c r="C553" s="8"/>
      <c r="I553" s="8"/>
      <c r="J553" s="8"/>
    </row>
    <row r="554">
      <c r="C554" s="8"/>
      <c r="I554" s="8"/>
      <c r="J554" s="8"/>
    </row>
    <row r="555">
      <c r="C555" s="8"/>
      <c r="I555" s="8"/>
      <c r="J555" s="8"/>
    </row>
    <row r="556">
      <c r="C556" s="8"/>
      <c r="I556" s="8"/>
      <c r="J556" s="8"/>
    </row>
    <row r="557">
      <c r="C557" s="8"/>
      <c r="I557" s="8"/>
      <c r="J557" s="8"/>
    </row>
    <row r="558">
      <c r="C558" s="8"/>
      <c r="I558" s="8"/>
      <c r="J558" s="8"/>
    </row>
    <row r="559">
      <c r="C559" s="8"/>
      <c r="I559" s="8"/>
      <c r="J559" s="8"/>
    </row>
    <row r="560">
      <c r="C560" s="8"/>
      <c r="I560" s="8"/>
      <c r="J560" s="8"/>
    </row>
    <row r="561">
      <c r="C561" s="8"/>
      <c r="I561" s="8"/>
      <c r="J561" s="8"/>
    </row>
    <row r="562">
      <c r="C562" s="8"/>
      <c r="I562" s="8"/>
      <c r="J562" s="8"/>
    </row>
    <row r="563">
      <c r="C563" s="8"/>
      <c r="I563" s="8"/>
      <c r="J563" s="8"/>
    </row>
    <row r="564">
      <c r="C564" s="8"/>
      <c r="I564" s="8"/>
      <c r="J564" s="8"/>
    </row>
    <row r="565">
      <c r="C565" s="8"/>
      <c r="I565" s="8"/>
      <c r="J565" s="8"/>
    </row>
    <row r="566">
      <c r="C566" s="8"/>
      <c r="I566" s="8"/>
      <c r="J566" s="8"/>
    </row>
    <row r="567">
      <c r="C567" s="8"/>
      <c r="I567" s="8"/>
      <c r="J567" s="8"/>
    </row>
    <row r="568">
      <c r="C568" s="8"/>
      <c r="I568" s="8"/>
      <c r="J568" s="8"/>
    </row>
    <row r="569">
      <c r="C569" s="8"/>
      <c r="I569" s="8"/>
      <c r="J569" s="8"/>
    </row>
    <row r="570">
      <c r="C570" s="8"/>
      <c r="I570" s="8"/>
      <c r="J570" s="8"/>
    </row>
    <row r="571">
      <c r="C571" s="8"/>
      <c r="I571" s="8"/>
      <c r="J571" s="8"/>
    </row>
    <row r="572">
      <c r="C572" s="8"/>
      <c r="I572" s="8"/>
      <c r="J572" s="8"/>
    </row>
    <row r="573">
      <c r="C573" s="8"/>
      <c r="I573" s="8"/>
      <c r="J573" s="8"/>
    </row>
    <row r="574">
      <c r="C574" s="8"/>
      <c r="I574" s="8"/>
      <c r="J574" s="8"/>
    </row>
    <row r="575">
      <c r="C575" s="8"/>
      <c r="I575" s="8"/>
      <c r="J575" s="8"/>
    </row>
    <row r="576">
      <c r="C576" s="8"/>
      <c r="I576" s="8"/>
      <c r="J576" s="8"/>
    </row>
    <row r="577">
      <c r="C577" s="8"/>
      <c r="I577" s="8"/>
      <c r="J577" s="8"/>
    </row>
    <row r="578">
      <c r="C578" s="8"/>
      <c r="I578" s="8"/>
      <c r="J578" s="8"/>
    </row>
    <row r="579">
      <c r="C579" s="8"/>
      <c r="I579" s="8"/>
      <c r="J579" s="8"/>
    </row>
    <row r="580">
      <c r="C580" s="8"/>
      <c r="I580" s="8"/>
      <c r="J580" s="8"/>
    </row>
    <row r="581">
      <c r="C581" s="8"/>
      <c r="I581" s="8"/>
      <c r="J581" s="8"/>
    </row>
    <row r="582">
      <c r="C582" s="8"/>
      <c r="I582" s="8"/>
      <c r="J582" s="8"/>
    </row>
    <row r="583">
      <c r="C583" s="8"/>
      <c r="I583" s="8"/>
      <c r="J583" s="8"/>
    </row>
    <row r="584">
      <c r="C584" s="8"/>
      <c r="I584" s="8"/>
      <c r="J584" s="8"/>
    </row>
    <row r="585">
      <c r="C585" s="8"/>
      <c r="I585" s="8"/>
      <c r="J585" s="8"/>
    </row>
    <row r="586">
      <c r="C586" s="8"/>
      <c r="I586" s="8"/>
      <c r="J586" s="8"/>
    </row>
    <row r="587">
      <c r="C587" s="8"/>
      <c r="I587" s="8"/>
      <c r="J587" s="8"/>
    </row>
    <row r="588">
      <c r="C588" s="8"/>
      <c r="I588" s="8"/>
      <c r="J588" s="8"/>
    </row>
    <row r="589">
      <c r="C589" s="8"/>
      <c r="I589" s="8"/>
      <c r="J589" s="8"/>
    </row>
    <row r="590">
      <c r="C590" s="8"/>
      <c r="I590" s="8"/>
      <c r="J590" s="8"/>
    </row>
    <row r="591">
      <c r="C591" s="8"/>
      <c r="I591" s="8"/>
      <c r="J591" s="8"/>
    </row>
    <row r="592">
      <c r="C592" s="8"/>
      <c r="I592" s="8"/>
      <c r="J592" s="8"/>
    </row>
    <row r="593">
      <c r="C593" s="8"/>
      <c r="I593" s="8"/>
      <c r="J593" s="8"/>
    </row>
    <row r="594">
      <c r="C594" s="8"/>
      <c r="I594" s="8"/>
      <c r="J594" s="8"/>
    </row>
    <row r="595">
      <c r="C595" s="8"/>
      <c r="I595" s="8"/>
      <c r="J595" s="8"/>
    </row>
    <row r="596">
      <c r="C596" s="8"/>
      <c r="I596" s="8"/>
      <c r="J596" s="8"/>
    </row>
    <row r="597">
      <c r="C597" s="8"/>
      <c r="I597" s="8"/>
      <c r="J597" s="8"/>
    </row>
    <row r="598">
      <c r="C598" s="8"/>
      <c r="I598" s="8"/>
      <c r="J598" s="8"/>
    </row>
    <row r="599">
      <c r="C599" s="8"/>
      <c r="I599" s="8"/>
      <c r="J599" s="8"/>
    </row>
    <row r="600">
      <c r="C600" s="8"/>
      <c r="I600" s="8"/>
      <c r="J600" s="8"/>
    </row>
    <row r="601">
      <c r="C601" s="8"/>
      <c r="I601" s="8"/>
      <c r="J601" s="8"/>
    </row>
    <row r="602">
      <c r="C602" s="8"/>
      <c r="I602" s="8"/>
      <c r="J602" s="8"/>
    </row>
    <row r="603">
      <c r="C603" s="8"/>
      <c r="I603" s="8"/>
      <c r="J603" s="8"/>
    </row>
    <row r="604">
      <c r="C604" s="8"/>
      <c r="I604" s="8"/>
      <c r="J604" s="8"/>
    </row>
    <row r="605">
      <c r="C605" s="8"/>
      <c r="I605" s="8"/>
      <c r="J605" s="8"/>
    </row>
    <row r="606">
      <c r="C606" s="8"/>
      <c r="I606" s="8"/>
      <c r="J606" s="8"/>
    </row>
    <row r="607">
      <c r="C607" s="8"/>
      <c r="I607" s="8"/>
      <c r="J607" s="8"/>
    </row>
    <row r="608">
      <c r="C608" s="8"/>
      <c r="I608" s="8"/>
      <c r="J608" s="8"/>
    </row>
    <row r="609">
      <c r="C609" s="8"/>
      <c r="I609" s="8"/>
      <c r="J609" s="8"/>
    </row>
    <row r="610">
      <c r="C610" s="8"/>
      <c r="I610" s="8"/>
      <c r="J610" s="8"/>
    </row>
    <row r="611">
      <c r="C611" s="8"/>
      <c r="I611" s="8"/>
      <c r="J611" s="8"/>
    </row>
    <row r="612">
      <c r="C612" s="8"/>
      <c r="I612" s="8"/>
      <c r="J612" s="8"/>
    </row>
    <row r="613">
      <c r="C613" s="8"/>
      <c r="I613" s="8"/>
      <c r="J613" s="8"/>
    </row>
    <row r="614">
      <c r="C614" s="8"/>
      <c r="I614" s="8"/>
      <c r="J614" s="8"/>
    </row>
    <row r="615">
      <c r="C615" s="8"/>
      <c r="I615" s="8"/>
      <c r="J615" s="8"/>
    </row>
    <row r="616">
      <c r="C616" s="8"/>
      <c r="I616" s="8"/>
      <c r="J616" s="8"/>
    </row>
    <row r="617">
      <c r="C617" s="8"/>
      <c r="I617" s="8"/>
      <c r="J617" s="8"/>
    </row>
    <row r="618">
      <c r="C618" s="8"/>
      <c r="I618" s="8"/>
      <c r="J618" s="8"/>
    </row>
    <row r="619">
      <c r="C619" s="8"/>
      <c r="I619" s="8"/>
      <c r="J619" s="8"/>
    </row>
    <row r="620">
      <c r="C620" s="8"/>
      <c r="I620" s="8"/>
      <c r="J620" s="8"/>
    </row>
    <row r="621">
      <c r="C621" s="8"/>
      <c r="I621" s="8"/>
      <c r="J621" s="8"/>
    </row>
    <row r="622">
      <c r="C622" s="8"/>
      <c r="I622" s="8"/>
      <c r="J622" s="8"/>
    </row>
    <row r="623">
      <c r="C623" s="8"/>
      <c r="I623" s="8"/>
      <c r="J623" s="8"/>
    </row>
    <row r="624">
      <c r="C624" s="8"/>
      <c r="I624" s="8"/>
      <c r="J624" s="8"/>
    </row>
    <row r="625">
      <c r="C625" s="8"/>
      <c r="I625" s="8"/>
      <c r="J625" s="8"/>
    </row>
    <row r="626">
      <c r="C626" s="8"/>
      <c r="I626" s="8"/>
      <c r="J626" s="8"/>
    </row>
    <row r="627">
      <c r="C627" s="8"/>
      <c r="I627" s="8"/>
      <c r="J627" s="8"/>
    </row>
    <row r="628">
      <c r="C628" s="8"/>
      <c r="I628" s="8"/>
      <c r="J628" s="8"/>
    </row>
    <row r="629">
      <c r="C629" s="8"/>
      <c r="I629" s="8"/>
      <c r="J629" s="8"/>
    </row>
    <row r="630">
      <c r="C630" s="8"/>
      <c r="I630" s="8"/>
      <c r="J630" s="8"/>
    </row>
    <row r="631">
      <c r="C631" s="8"/>
      <c r="I631" s="8"/>
      <c r="J631" s="8"/>
    </row>
    <row r="632">
      <c r="C632" s="8"/>
      <c r="I632" s="8"/>
      <c r="J632" s="8"/>
    </row>
    <row r="633">
      <c r="C633" s="8"/>
      <c r="I633" s="8"/>
      <c r="J633" s="8"/>
    </row>
    <row r="634">
      <c r="C634" s="8"/>
      <c r="I634" s="8"/>
      <c r="J634" s="8"/>
    </row>
    <row r="635">
      <c r="C635" s="8"/>
      <c r="I635" s="8"/>
      <c r="J635" s="8"/>
    </row>
    <row r="636">
      <c r="C636" s="8"/>
      <c r="I636" s="8"/>
      <c r="J636" s="8"/>
    </row>
    <row r="637">
      <c r="C637" s="8"/>
      <c r="I637" s="8"/>
      <c r="J637" s="8"/>
    </row>
    <row r="638">
      <c r="C638" s="8"/>
      <c r="I638" s="8"/>
      <c r="J638" s="8"/>
    </row>
    <row r="639">
      <c r="C639" s="8"/>
      <c r="I639" s="8"/>
      <c r="J639" s="8"/>
    </row>
    <row r="640">
      <c r="C640" s="8"/>
      <c r="I640" s="8"/>
      <c r="J640" s="8"/>
    </row>
    <row r="641">
      <c r="C641" s="8"/>
      <c r="I641" s="8"/>
      <c r="J641" s="8"/>
    </row>
    <row r="642">
      <c r="C642" s="8"/>
      <c r="I642" s="8"/>
      <c r="J642" s="8"/>
    </row>
    <row r="643">
      <c r="C643" s="8"/>
      <c r="I643" s="8"/>
      <c r="J643" s="8"/>
    </row>
    <row r="644">
      <c r="C644" s="8"/>
      <c r="I644" s="8"/>
      <c r="J644" s="8"/>
    </row>
    <row r="645">
      <c r="C645" s="8"/>
      <c r="I645" s="8"/>
      <c r="J645" s="8"/>
    </row>
    <row r="646">
      <c r="C646" s="8"/>
      <c r="I646" s="8"/>
      <c r="J646" s="8"/>
    </row>
    <row r="647">
      <c r="C647" s="8"/>
      <c r="I647" s="8"/>
      <c r="J647" s="8"/>
    </row>
    <row r="648">
      <c r="C648" s="8"/>
      <c r="I648" s="8"/>
      <c r="J648" s="8"/>
    </row>
    <row r="649">
      <c r="C649" s="8"/>
      <c r="I649" s="8"/>
      <c r="J649" s="8"/>
    </row>
    <row r="650">
      <c r="C650" s="8"/>
      <c r="I650" s="8"/>
      <c r="J650" s="8"/>
    </row>
    <row r="651">
      <c r="C651" s="8"/>
      <c r="I651" s="8"/>
      <c r="J651" s="8"/>
    </row>
    <row r="652">
      <c r="C652" s="8"/>
      <c r="I652" s="8"/>
      <c r="J652" s="8"/>
    </row>
    <row r="653">
      <c r="C653" s="8"/>
      <c r="I653" s="8"/>
      <c r="J653" s="8"/>
    </row>
    <row r="654">
      <c r="C654" s="8"/>
      <c r="I654" s="8"/>
      <c r="J654" s="8"/>
    </row>
    <row r="655">
      <c r="C655" s="8"/>
      <c r="I655" s="8"/>
      <c r="J655" s="8"/>
    </row>
    <row r="656">
      <c r="C656" s="8"/>
      <c r="I656" s="8"/>
      <c r="J656" s="8"/>
    </row>
    <row r="657">
      <c r="C657" s="8"/>
      <c r="I657" s="8"/>
      <c r="J657" s="8"/>
    </row>
    <row r="658">
      <c r="C658" s="8"/>
      <c r="I658" s="8"/>
      <c r="J658" s="8"/>
    </row>
    <row r="659">
      <c r="C659" s="8"/>
      <c r="I659" s="8"/>
      <c r="J659" s="8"/>
    </row>
    <row r="660">
      <c r="C660" s="8"/>
      <c r="I660" s="8"/>
      <c r="J660" s="8"/>
    </row>
    <row r="661">
      <c r="C661" s="8"/>
      <c r="I661" s="8"/>
      <c r="J661" s="8"/>
    </row>
    <row r="662">
      <c r="C662" s="8"/>
      <c r="I662" s="8"/>
      <c r="J662" s="8"/>
    </row>
    <row r="663">
      <c r="C663" s="8"/>
      <c r="I663" s="8"/>
      <c r="J663" s="8"/>
    </row>
    <row r="664">
      <c r="C664" s="8"/>
      <c r="I664" s="8"/>
      <c r="J664" s="8"/>
    </row>
    <row r="665">
      <c r="C665" s="8"/>
      <c r="I665" s="8"/>
      <c r="J665" s="8"/>
    </row>
    <row r="666">
      <c r="C666" s="8"/>
      <c r="I666" s="8"/>
      <c r="J666" s="8"/>
    </row>
    <row r="667">
      <c r="C667" s="8"/>
      <c r="I667" s="8"/>
      <c r="J667" s="8"/>
    </row>
    <row r="668">
      <c r="C668" s="8"/>
      <c r="I668" s="8"/>
      <c r="J668" s="8"/>
    </row>
    <row r="669">
      <c r="C669" s="8"/>
      <c r="I669" s="8"/>
      <c r="J669" s="8"/>
    </row>
    <row r="670">
      <c r="C670" s="8"/>
      <c r="I670" s="8"/>
      <c r="J670" s="8"/>
    </row>
    <row r="671">
      <c r="C671" s="8"/>
      <c r="I671" s="8"/>
      <c r="J671" s="8"/>
    </row>
    <row r="672">
      <c r="C672" s="8"/>
      <c r="I672" s="8"/>
      <c r="J672" s="8"/>
    </row>
    <row r="673">
      <c r="C673" s="8"/>
      <c r="I673" s="8"/>
      <c r="J673" s="8"/>
    </row>
    <row r="674">
      <c r="C674" s="8"/>
      <c r="I674" s="8"/>
      <c r="J674" s="8"/>
    </row>
    <row r="675">
      <c r="C675" s="8"/>
      <c r="I675" s="8"/>
      <c r="J675" s="8"/>
    </row>
    <row r="676">
      <c r="C676" s="8"/>
      <c r="I676" s="8"/>
      <c r="J676" s="8"/>
    </row>
    <row r="677">
      <c r="C677" s="8"/>
      <c r="I677" s="8"/>
      <c r="J677" s="8"/>
    </row>
    <row r="678">
      <c r="C678" s="8"/>
      <c r="I678" s="8"/>
      <c r="J678" s="8"/>
    </row>
    <row r="679">
      <c r="C679" s="8"/>
      <c r="I679" s="8"/>
      <c r="J679" s="8"/>
    </row>
    <row r="680">
      <c r="C680" s="8"/>
      <c r="I680" s="8"/>
      <c r="J680" s="8"/>
    </row>
    <row r="681">
      <c r="C681" s="8"/>
      <c r="I681" s="8"/>
      <c r="J681" s="8"/>
    </row>
    <row r="682">
      <c r="C682" s="8"/>
      <c r="I682" s="8"/>
      <c r="J682" s="8"/>
    </row>
    <row r="683">
      <c r="C683" s="8"/>
      <c r="I683" s="8"/>
      <c r="J683" s="8"/>
    </row>
    <row r="684">
      <c r="C684" s="8"/>
      <c r="I684" s="8"/>
      <c r="J684" s="8"/>
    </row>
    <row r="685">
      <c r="C685" s="8"/>
      <c r="I685" s="8"/>
      <c r="J685" s="8"/>
    </row>
    <row r="686">
      <c r="C686" s="8"/>
      <c r="I686" s="8"/>
      <c r="J686" s="8"/>
    </row>
    <row r="687">
      <c r="C687" s="8"/>
      <c r="I687" s="8"/>
      <c r="J687" s="8"/>
    </row>
    <row r="688">
      <c r="C688" s="8"/>
      <c r="I688" s="8"/>
      <c r="J688" s="8"/>
    </row>
    <row r="689">
      <c r="C689" s="8"/>
      <c r="I689" s="8"/>
      <c r="J689" s="8"/>
    </row>
    <row r="690">
      <c r="C690" s="8"/>
      <c r="I690" s="8"/>
      <c r="J690" s="8"/>
    </row>
    <row r="691">
      <c r="C691" s="8"/>
      <c r="I691" s="8"/>
      <c r="J691" s="8"/>
    </row>
    <row r="692">
      <c r="C692" s="8"/>
      <c r="I692" s="8"/>
      <c r="J692" s="8"/>
    </row>
    <row r="693">
      <c r="C693" s="8"/>
      <c r="I693" s="8"/>
      <c r="J693" s="8"/>
    </row>
    <row r="694">
      <c r="C694" s="8"/>
      <c r="I694" s="8"/>
      <c r="J694" s="8"/>
    </row>
    <row r="695">
      <c r="C695" s="8"/>
      <c r="I695" s="8"/>
      <c r="J695" s="8"/>
    </row>
    <row r="696">
      <c r="C696" s="8"/>
      <c r="I696" s="8"/>
      <c r="J696" s="8"/>
    </row>
    <row r="697">
      <c r="C697" s="8"/>
      <c r="I697" s="8"/>
      <c r="J697" s="8"/>
    </row>
    <row r="698">
      <c r="C698" s="8"/>
      <c r="I698" s="8"/>
      <c r="J698" s="8"/>
    </row>
    <row r="699">
      <c r="C699" s="8"/>
      <c r="I699" s="8"/>
      <c r="J699" s="8"/>
    </row>
    <row r="700">
      <c r="C700" s="8"/>
      <c r="I700" s="8"/>
      <c r="J700" s="8"/>
    </row>
    <row r="701">
      <c r="C701" s="8"/>
      <c r="I701" s="8"/>
      <c r="J701" s="8"/>
    </row>
    <row r="702">
      <c r="C702" s="8"/>
      <c r="I702" s="8"/>
      <c r="J702" s="8"/>
    </row>
    <row r="703">
      <c r="C703" s="8"/>
      <c r="I703" s="8"/>
      <c r="J703" s="8"/>
    </row>
    <row r="704">
      <c r="C704" s="8"/>
      <c r="I704" s="8"/>
      <c r="J704" s="8"/>
    </row>
    <row r="705">
      <c r="C705" s="8"/>
      <c r="I705" s="8"/>
      <c r="J705" s="8"/>
    </row>
    <row r="706">
      <c r="C706" s="8"/>
      <c r="I706" s="8"/>
      <c r="J706" s="8"/>
    </row>
    <row r="707">
      <c r="C707" s="8"/>
      <c r="I707" s="8"/>
      <c r="J707" s="8"/>
    </row>
    <row r="708">
      <c r="C708" s="8"/>
      <c r="I708" s="8"/>
      <c r="J708" s="8"/>
    </row>
    <row r="709">
      <c r="C709" s="8"/>
      <c r="I709" s="8"/>
      <c r="J709" s="8"/>
    </row>
    <row r="710">
      <c r="C710" s="8"/>
      <c r="I710" s="8"/>
      <c r="J710" s="8"/>
    </row>
    <row r="711">
      <c r="C711" s="8"/>
      <c r="I711" s="8"/>
      <c r="J711" s="8"/>
    </row>
    <row r="712">
      <c r="C712" s="8"/>
      <c r="I712" s="8"/>
      <c r="J712" s="8"/>
    </row>
    <row r="713">
      <c r="C713" s="8"/>
      <c r="I713" s="8"/>
      <c r="J713" s="8"/>
    </row>
    <row r="714">
      <c r="C714" s="8"/>
      <c r="I714" s="8"/>
      <c r="J714" s="8"/>
    </row>
    <row r="715">
      <c r="C715" s="8"/>
      <c r="I715" s="8"/>
      <c r="J715" s="8"/>
    </row>
    <row r="716">
      <c r="C716" s="8"/>
      <c r="I716" s="8"/>
      <c r="J716" s="8"/>
    </row>
    <row r="717">
      <c r="C717" s="8"/>
      <c r="I717" s="8"/>
      <c r="J717" s="8"/>
    </row>
    <row r="718">
      <c r="C718" s="8"/>
      <c r="I718" s="8"/>
      <c r="J718" s="8"/>
    </row>
    <row r="719">
      <c r="C719" s="8"/>
      <c r="I719" s="8"/>
      <c r="J719" s="8"/>
    </row>
    <row r="720">
      <c r="C720" s="8"/>
      <c r="I720" s="8"/>
      <c r="J720" s="8"/>
    </row>
    <row r="721">
      <c r="C721" s="8"/>
      <c r="I721" s="8"/>
      <c r="J721" s="8"/>
    </row>
    <row r="722">
      <c r="C722" s="8"/>
      <c r="I722" s="8"/>
      <c r="J722" s="8"/>
    </row>
    <row r="723">
      <c r="C723" s="8"/>
      <c r="I723" s="8"/>
      <c r="J723" s="8"/>
    </row>
    <row r="724">
      <c r="C724" s="8"/>
      <c r="I724" s="8"/>
      <c r="J724" s="8"/>
    </row>
    <row r="725">
      <c r="C725" s="8"/>
      <c r="I725" s="8"/>
      <c r="J725" s="8"/>
    </row>
    <row r="726">
      <c r="C726" s="8"/>
      <c r="I726" s="8"/>
      <c r="J726" s="8"/>
    </row>
    <row r="727">
      <c r="C727" s="8"/>
      <c r="I727" s="8"/>
      <c r="J727" s="8"/>
    </row>
    <row r="728">
      <c r="C728" s="8"/>
      <c r="I728" s="8"/>
      <c r="J728" s="8"/>
    </row>
    <row r="729">
      <c r="C729" s="8"/>
      <c r="I729" s="8"/>
      <c r="J729" s="8"/>
    </row>
    <row r="730">
      <c r="C730" s="8"/>
      <c r="I730" s="8"/>
      <c r="J730" s="8"/>
    </row>
    <row r="731">
      <c r="C731" s="8"/>
      <c r="I731" s="8"/>
      <c r="J731" s="8"/>
    </row>
    <row r="732">
      <c r="C732" s="8"/>
      <c r="I732" s="8"/>
      <c r="J732" s="8"/>
    </row>
    <row r="733">
      <c r="C733" s="8"/>
      <c r="I733" s="8"/>
      <c r="J733" s="8"/>
    </row>
    <row r="734">
      <c r="C734" s="8"/>
      <c r="I734" s="8"/>
      <c r="J734" s="8"/>
    </row>
    <row r="735">
      <c r="C735" s="8"/>
      <c r="I735" s="8"/>
      <c r="J735" s="8"/>
    </row>
    <row r="736">
      <c r="C736" s="8"/>
      <c r="I736" s="8"/>
      <c r="J736" s="8"/>
    </row>
    <row r="737">
      <c r="C737" s="8"/>
      <c r="I737" s="8"/>
      <c r="J737" s="8"/>
    </row>
    <row r="738">
      <c r="C738" s="8"/>
      <c r="I738" s="8"/>
      <c r="J738" s="8"/>
    </row>
    <row r="739">
      <c r="C739" s="8"/>
      <c r="I739" s="8"/>
      <c r="J739" s="8"/>
    </row>
    <row r="740">
      <c r="C740" s="8"/>
      <c r="I740" s="8"/>
      <c r="J740" s="8"/>
    </row>
    <row r="741">
      <c r="C741" s="8"/>
      <c r="I741" s="8"/>
      <c r="J741" s="8"/>
    </row>
    <row r="742">
      <c r="C742" s="8"/>
      <c r="I742" s="8"/>
      <c r="J742" s="8"/>
    </row>
    <row r="743">
      <c r="C743" s="8"/>
      <c r="I743" s="8"/>
      <c r="J743" s="8"/>
    </row>
    <row r="744">
      <c r="C744" s="8"/>
      <c r="I744" s="8"/>
      <c r="J744" s="8"/>
    </row>
    <row r="745">
      <c r="C745" s="8"/>
      <c r="I745" s="8"/>
      <c r="J745" s="8"/>
    </row>
    <row r="746">
      <c r="C746" s="8"/>
      <c r="I746" s="8"/>
      <c r="J746" s="8"/>
    </row>
    <row r="747">
      <c r="C747" s="8"/>
      <c r="I747" s="8"/>
      <c r="J747" s="8"/>
    </row>
    <row r="748">
      <c r="C748" s="8"/>
      <c r="I748" s="8"/>
      <c r="J748" s="8"/>
    </row>
    <row r="749">
      <c r="C749" s="8"/>
      <c r="I749" s="8"/>
      <c r="J749" s="8"/>
    </row>
    <row r="750">
      <c r="C750" s="8"/>
      <c r="I750" s="8"/>
      <c r="J750" s="8"/>
    </row>
    <row r="751">
      <c r="C751" s="8"/>
      <c r="I751" s="8"/>
      <c r="J751" s="8"/>
    </row>
    <row r="752">
      <c r="C752" s="8"/>
      <c r="I752" s="8"/>
      <c r="J752" s="8"/>
    </row>
    <row r="753">
      <c r="C753" s="8"/>
      <c r="I753" s="8"/>
      <c r="J753" s="8"/>
    </row>
    <row r="754">
      <c r="C754" s="8"/>
      <c r="I754" s="8"/>
      <c r="J754" s="8"/>
    </row>
    <row r="755">
      <c r="C755" s="8"/>
      <c r="I755" s="8"/>
      <c r="J755" s="8"/>
    </row>
    <row r="756">
      <c r="C756" s="8"/>
      <c r="I756" s="8"/>
      <c r="J756" s="8"/>
    </row>
    <row r="757">
      <c r="C757" s="8"/>
      <c r="I757" s="8"/>
      <c r="J757" s="8"/>
    </row>
    <row r="758">
      <c r="C758" s="8"/>
      <c r="I758" s="8"/>
      <c r="J758" s="8"/>
    </row>
    <row r="759">
      <c r="C759" s="8"/>
      <c r="I759" s="8"/>
      <c r="J759" s="8"/>
    </row>
    <row r="760">
      <c r="C760" s="8"/>
      <c r="I760" s="8"/>
      <c r="J760" s="8"/>
    </row>
    <row r="761">
      <c r="C761" s="8"/>
      <c r="I761" s="8"/>
      <c r="J761" s="8"/>
    </row>
    <row r="762">
      <c r="C762" s="8"/>
      <c r="I762" s="8"/>
      <c r="J762" s="8"/>
    </row>
    <row r="763">
      <c r="C763" s="8"/>
      <c r="I763" s="8"/>
      <c r="J763" s="8"/>
    </row>
    <row r="764">
      <c r="C764" s="8"/>
      <c r="I764" s="8"/>
      <c r="J764" s="8"/>
    </row>
    <row r="765">
      <c r="C765" s="8"/>
      <c r="I765" s="8"/>
      <c r="J765" s="8"/>
    </row>
    <row r="766">
      <c r="C766" s="8"/>
      <c r="I766" s="8"/>
      <c r="J766" s="8"/>
    </row>
    <row r="767">
      <c r="C767" s="8"/>
      <c r="I767" s="8"/>
      <c r="J767" s="8"/>
    </row>
    <row r="768">
      <c r="C768" s="8"/>
      <c r="I768" s="8"/>
      <c r="J768" s="8"/>
    </row>
    <row r="769">
      <c r="C769" s="8"/>
      <c r="I769" s="8"/>
      <c r="J769" s="8"/>
    </row>
    <row r="770">
      <c r="C770" s="8"/>
      <c r="I770" s="8"/>
      <c r="J770" s="8"/>
    </row>
    <row r="771">
      <c r="C771" s="8"/>
      <c r="I771" s="8"/>
      <c r="J771" s="8"/>
    </row>
    <row r="772">
      <c r="C772" s="8"/>
      <c r="I772" s="8"/>
      <c r="J772" s="8"/>
    </row>
    <row r="773">
      <c r="C773" s="8"/>
      <c r="I773" s="8"/>
      <c r="J773" s="8"/>
    </row>
    <row r="774">
      <c r="C774" s="8"/>
      <c r="I774" s="8"/>
      <c r="J774" s="8"/>
    </row>
    <row r="775">
      <c r="C775" s="8"/>
      <c r="I775" s="8"/>
      <c r="J775" s="8"/>
    </row>
    <row r="776">
      <c r="C776" s="8"/>
      <c r="I776" s="8"/>
      <c r="J776" s="8"/>
    </row>
    <row r="777">
      <c r="C777" s="8"/>
      <c r="I777" s="8"/>
      <c r="J777" s="8"/>
    </row>
    <row r="778">
      <c r="C778" s="8"/>
      <c r="I778" s="8"/>
      <c r="J778" s="8"/>
    </row>
    <row r="779">
      <c r="C779" s="8"/>
      <c r="I779" s="8"/>
      <c r="J779" s="8"/>
    </row>
    <row r="780">
      <c r="C780" s="8"/>
      <c r="I780" s="8"/>
      <c r="J780" s="8"/>
    </row>
    <row r="781">
      <c r="C781" s="8"/>
      <c r="I781" s="8"/>
      <c r="J781" s="8"/>
    </row>
    <row r="782">
      <c r="C782" s="8"/>
      <c r="I782" s="8"/>
      <c r="J782" s="8"/>
    </row>
    <row r="783">
      <c r="C783" s="8"/>
      <c r="I783" s="8"/>
      <c r="J783" s="8"/>
    </row>
    <row r="784">
      <c r="C784" s="8"/>
      <c r="I784" s="8"/>
      <c r="J784" s="8"/>
    </row>
    <row r="785">
      <c r="C785" s="8"/>
      <c r="I785" s="8"/>
      <c r="J785" s="8"/>
    </row>
    <row r="786">
      <c r="C786" s="8"/>
      <c r="I786" s="8"/>
      <c r="J786" s="8"/>
    </row>
    <row r="787">
      <c r="C787" s="8"/>
      <c r="I787" s="8"/>
      <c r="J787" s="8"/>
    </row>
    <row r="788">
      <c r="C788" s="8"/>
      <c r="I788" s="8"/>
      <c r="J788" s="8"/>
    </row>
    <row r="789">
      <c r="C789" s="8"/>
      <c r="I789" s="8"/>
      <c r="J789" s="8"/>
    </row>
    <row r="790">
      <c r="C790" s="8"/>
      <c r="I790" s="8"/>
      <c r="J790" s="8"/>
    </row>
    <row r="791">
      <c r="C791" s="8"/>
      <c r="I791" s="8"/>
      <c r="J791" s="8"/>
    </row>
    <row r="792">
      <c r="C792" s="8"/>
      <c r="I792" s="8"/>
      <c r="J792" s="8"/>
    </row>
    <row r="793">
      <c r="C793" s="8"/>
      <c r="I793" s="8"/>
      <c r="J793" s="8"/>
    </row>
    <row r="794">
      <c r="C794" s="8"/>
      <c r="I794" s="8"/>
      <c r="J794" s="8"/>
    </row>
    <row r="795">
      <c r="C795" s="8"/>
      <c r="I795" s="8"/>
      <c r="J795" s="8"/>
    </row>
    <row r="796">
      <c r="C796" s="8"/>
      <c r="I796" s="8"/>
      <c r="J796" s="8"/>
    </row>
    <row r="797">
      <c r="C797" s="8"/>
      <c r="I797" s="8"/>
      <c r="J797" s="8"/>
    </row>
    <row r="798">
      <c r="C798" s="8"/>
      <c r="I798" s="8"/>
      <c r="J798" s="8"/>
    </row>
    <row r="799">
      <c r="C799" s="8"/>
      <c r="I799" s="8"/>
      <c r="J799" s="8"/>
    </row>
    <row r="800">
      <c r="C800" s="8"/>
      <c r="I800" s="8"/>
      <c r="J800" s="8"/>
    </row>
    <row r="801">
      <c r="C801" s="8"/>
      <c r="I801" s="8"/>
      <c r="J801" s="8"/>
    </row>
    <row r="802">
      <c r="C802" s="8"/>
      <c r="I802" s="8"/>
      <c r="J802" s="8"/>
    </row>
    <row r="803">
      <c r="C803" s="8"/>
      <c r="I803" s="8"/>
      <c r="J803" s="8"/>
    </row>
    <row r="804">
      <c r="C804" s="8"/>
      <c r="I804" s="8"/>
      <c r="J804" s="8"/>
    </row>
    <row r="805">
      <c r="C805" s="8"/>
      <c r="I805" s="8"/>
      <c r="J805" s="8"/>
    </row>
    <row r="806">
      <c r="C806" s="8"/>
      <c r="I806" s="8"/>
      <c r="J806" s="8"/>
    </row>
    <row r="807">
      <c r="C807" s="8"/>
      <c r="I807" s="8"/>
      <c r="J807" s="8"/>
    </row>
    <row r="808">
      <c r="C808" s="8"/>
      <c r="I808" s="8"/>
      <c r="J808" s="8"/>
    </row>
    <row r="809">
      <c r="C809" s="8"/>
      <c r="I809" s="8"/>
      <c r="J809" s="8"/>
    </row>
    <row r="810">
      <c r="C810" s="8"/>
      <c r="I810" s="8"/>
      <c r="J810" s="8"/>
    </row>
    <row r="811">
      <c r="C811" s="8"/>
      <c r="I811" s="8"/>
      <c r="J811" s="8"/>
    </row>
    <row r="812">
      <c r="C812" s="8"/>
      <c r="I812" s="8"/>
      <c r="J812" s="8"/>
    </row>
    <row r="813">
      <c r="C813" s="8"/>
      <c r="I813" s="8"/>
      <c r="J813" s="8"/>
    </row>
    <row r="814">
      <c r="C814" s="8"/>
      <c r="I814" s="8"/>
      <c r="J814" s="8"/>
    </row>
    <row r="815">
      <c r="C815" s="8"/>
      <c r="I815" s="8"/>
      <c r="J815" s="8"/>
    </row>
    <row r="816">
      <c r="C816" s="8"/>
      <c r="I816" s="8"/>
      <c r="J816" s="8"/>
    </row>
    <row r="817">
      <c r="C817" s="8"/>
      <c r="I817" s="8"/>
      <c r="J817" s="8"/>
    </row>
    <row r="818">
      <c r="C818" s="8"/>
      <c r="I818" s="8"/>
      <c r="J818" s="8"/>
    </row>
    <row r="819">
      <c r="C819" s="8"/>
      <c r="I819" s="8"/>
      <c r="J819" s="8"/>
    </row>
    <row r="820">
      <c r="C820" s="8"/>
      <c r="I820" s="8"/>
      <c r="J820" s="8"/>
    </row>
    <row r="821">
      <c r="C821" s="8"/>
      <c r="I821" s="8"/>
      <c r="J821" s="8"/>
    </row>
    <row r="822">
      <c r="C822" s="8"/>
      <c r="I822" s="8"/>
      <c r="J822" s="8"/>
    </row>
    <row r="823">
      <c r="C823" s="8"/>
      <c r="I823" s="8"/>
      <c r="J823" s="8"/>
    </row>
    <row r="824">
      <c r="C824" s="8"/>
      <c r="I824" s="8"/>
      <c r="J824" s="8"/>
    </row>
    <row r="825">
      <c r="C825" s="8"/>
      <c r="I825" s="8"/>
      <c r="J825" s="8"/>
    </row>
    <row r="826">
      <c r="C826" s="8"/>
      <c r="I826" s="8"/>
      <c r="J826" s="8"/>
    </row>
    <row r="827">
      <c r="C827" s="8"/>
      <c r="I827" s="8"/>
      <c r="J827" s="8"/>
    </row>
    <row r="828">
      <c r="C828" s="8"/>
      <c r="I828" s="8"/>
      <c r="J828" s="8"/>
    </row>
    <row r="829">
      <c r="C829" s="8"/>
      <c r="I829" s="8"/>
      <c r="J829" s="8"/>
    </row>
    <row r="830">
      <c r="C830" s="8"/>
      <c r="I830" s="8"/>
      <c r="J830" s="8"/>
    </row>
    <row r="831">
      <c r="C831" s="8"/>
      <c r="I831" s="8"/>
      <c r="J831" s="8"/>
    </row>
    <row r="832">
      <c r="C832" s="8"/>
      <c r="I832" s="8"/>
      <c r="J832" s="8"/>
    </row>
    <row r="833">
      <c r="C833" s="8"/>
      <c r="I833" s="8"/>
      <c r="J833" s="8"/>
    </row>
    <row r="834">
      <c r="C834" s="8"/>
      <c r="I834" s="8"/>
      <c r="J834" s="8"/>
    </row>
    <row r="835">
      <c r="C835" s="8"/>
      <c r="I835" s="8"/>
      <c r="J835" s="8"/>
    </row>
    <row r="836">
      <c r="C836" s="8"/>
      <c r="I836" s="8"/>
      <c r="J836" s="8"/>
    </row>
    <row r="837">
      <c r="C837" s="8"/>
      <c r="I837" s="8"/>
      <c r="J837" s="8"/>
    </row>
    <row r="838">
      <c r="C838" s="8"/>
      <c r="I838" s="8"/>
      <c r="J838" s="8"/>
    </row>
    <row r="839">
      <c r="C839" s="8"/>
      <c r="I839" s="8"/>
      <c r="J839" s="8"/>
    </row>
    <row r="840">
      <c r="C840" s="8"/>
      <c r="I840" s="8"/>
      <c r="J840" s="8"/>
    </row>
    <row r="841">
      <c r="C841" s="8"/>
      <c r="I841" s="8"/>
      <c r="J841" s="8"/>
    </row>
    <row r="842">
      <c r="C842" s="8"/>
      <c r="I842" s="8"/>
      <c r="J842" s="8"/>
    </row>
    <row r="843">
      <c r="C843" s="8"/>
      <c r="I843" s="8"/>
      <c r="J843" s="8"/>
    </row>
    <row r="844">
      <c r="C844" s="8"/>
      <c r="I844" s="8"/>
      <c r="J844" s="8"/>
    </row>
    <row r="845">
      <c r="C845" s="8"/>
      <c r="I845" s="8"/>
      <c r="J845" s="8"/>
    </row>
    <row r="846">
      <c r="C846" s="8"/>
      <c r="I846" s="8"/>
      <c r="J846" s="8"/>
    </row>
    <row r="847">
      <c r="C847" s="8"/>
      <c r="I847" s="8"/>
      <c r="J847" s="8"/>
    </row>
    <row r="848">
      <c r="C848" s="8"/>
      <c r="I848" s="8"/>
      <c r="J848" s="8"/>
    </row>
    <row r="849">
      <c r="C849" s="8"/>
      <c r="I849" s="8"/>
      <c r="J849" s="8"/>
    </row>
    <row r="850">
      <c r="C850" s="8"/>
      <c r="I850" s="8"/>
      <c r="J850" s="8"/>
    </row>
    <row r="851">
      <c r="C851" s="8"/>
      <c r="I851" s="8"/>
      <c r="J851" s="8"/>
    </row>
    <row r="852">
      <c r="C852" s="8"/>
      <c r="I852" s="8"/>
      <c r="J852" s="8"/>
    </row>
    <row r="853">
      <c r="C853" s="8"/>
      <c r="I853" s="8"/>
      <c r="J853" s="8"/>
    </row>
    <row r="854">
      <c r="C854" s="8"/>
      <c r="I854" s="8"/>
      <c r="J854" s="8"/>
    </row>
    <row r="855">
      <c r="C855" s="8"/>
      <c r="I855" s="8"/>
      <c r="J855" s="8"/>
    </row>
    <row r="856">
      <c r="C856" s="8"/>
      <c r="I856" s="8"/>
      <c r="J856" s="8"/>
    </row>
    <row r="857">
      <c r="C857" s="8"/>
      <c r="I857" s="8"/>
      <c r="J857" s="8"/>
    </row>
    <row r="858">
      <c r="C858" s="8"/>
      <c r="I858" s="8"/>
      <c r="J858" s="8"/>
    </row>
    <row r="859">
      <c r="C859" s="8"/>
      <c r="I859" s="8"/>
      <c r="J859" s="8"/>
    </row>
    <row r="860">
      <c r="C860" s="8"/>
      <c r="I860" s="8"/>
      <c r="J860" s="8"/>
    </row>
    <row r="861">
      <c r="C861" s="8"/>
      <c r="I861" s="8"/>
      <c r="J861" s="8"/>
    </row>
    <row r="862">
      <c r="C862" s="8"/>
      <c r="I862" s="8"/>
      <c r="J862" s="8"/>
    </row>
    <row r="863">
      <c r="C863" s="8"/>
      <c r="I863" s="8"/>
      <c r="J863" s="8"/>
    </row>
    <row r="864">
      <c r="C864" s="8"/>
      <c r="I864" s="8"/>
      <c r="J864" s="8"/>
    </row>
    <row r="865">
      <c r="C865" s="8"/>
      <c r="I865" s="8"/>
      <c r="J865" s="8"/>
    </row>
    <row r="866">
      <c r="C866" s="8"/>
      <c r="I866" s="8"/>
      <c r="J866" s="8"/>
    </row>
    <row r="867">
      <c r="C867" s="8"/>
      <c r="I867" s="8"/>
      <c r="J867" s="8"/>
    </row>
    <row r="868">
      <c r="C868" s="8"/>
      <c r="I868" s="8"/>
      <c r="J868" s="8"/>
    </row>
    <row r="869">
      <c r="C869" s="8"/>
      <c r="I869" s="8"/>
      <c r="J869" s="8"/>
    </row>
    <row r="870">
      <c r="C870" s="8"/>
      <c r="I870" s="8"/>
      <c r="J870" s="8"/>
    </row>
    <row r="871">
      <c r="C871" s="8"/>
      <c r="I871" s="8"/>
      <c r="J871" s="8"/>
    </row>
    <row r="872">
      <c r="C872" s="8"/>
      <c r="I872" s="8"/>
      <c r="J872" s="8"/>
    </row>
    <row r="873">
      <c r="C873" s="8"/>
      <c r="I873" s="8"/>
      <c r="J873" s="8"/>
    </row>
    <row r="874">
      <c r="C874" s="8"/>
      <c r="I874" s="8"/>
      <c r="J874" s="8"/>
    </row>
    <row r="875">
      <c r="C875" s="8"/>
      <c r="I875" s="8"/>
      <c r="J875" s="8"/>
    </row>
    <row r="876">
      <c r="C876" s="8"/>
      <c r="I876" s="8"/>
      <c r="J876" s="8"/>
    </row>
    <row r="877">
      <c r="C877" s="8"/>
      <c r="I877" s="8"/>
      <c r="J877" s="8"/>
    </row>
    <row r="878">
      <c r="C878" s="8"/>
      <c r="I878" s="8"/>
      <c r="J878" s="8"/>
    </row>
    <row r="879">
      <c r="C879" s="8"/>
      <c r="I879" s="8"/>
      <c r="J879" s="8"/>
    </row>
    <row r="880">
      <c r="C880" s="8"/>
      <c r="I880" s="8"/>
      <c r="J880" s="8"/>
    </row>
    <row r="881">
      <c r="C881" s="8"/>
      <c r="I881" s="8"/>
      <c r="J881" s="8"/>
    </row>
    <row r="882">
      <c r="C882" s="8"/>
      <c r="I882" s="8"/>
      <c r="J882" s="8"/>
    </row>
    <row r="883">
      <c r="C883" s="8"/>
      <c r="I883" s="8"/>
      <c r="J883" s="8"/>
    </row>
    <row r="884">
      <c r="C884" s="8"/>
      <c r="I884" s="8"/>
      <c r="J884" s="8"/>
    </row>
    <row r="885">
      <c r="C885" s="8"/>
      <c r="I885" s="8"/>
      <c r="J885" s="8"/>
    </row>
    <row r="886">
      <c r="C886" s="8"/>
      <c r="I886" s="8"/>
      <c r="J886" s="8"/>
    </row>
    <row r="887">
      <c r="C887" s="8"/>
      <c r="I887" s="8"/>
      <c r="J887" s="8"/>
    </row>
    <row r="888">
      <c r="C888" s="8"/>
      <c r="I888" s="8"/>
      <c r="J888" s="8"/>
    </row>
    <row r="889">
      <c r="C889" s="8"/>
      <c r="I889" s="8"/>
      <c r="J889" s="8"/>
    </row>
    <row r="890">
      <c r="C890" s="8"/>
      <c r="I890" s="8"/>
      <c r="J890" s="8"/>
    </row>
    <row r="891">
      <c r="C891" s="8"/>
      <c r="I891" s="8"/>
      <c r="J891" s="8"/>
    </row>
    <row r="892">
      <c r="C892" s="8"/>
      <c r="I892" s="8"/>
      <c r="J892" s="8"/>
    </row>
    <row r="893">
      <c r="C893" s="8"/>
      <c r="I893" s="8"/>
      <c r="J893" s="8"/>
    </row>
    <row r="894">
      <c r="C894" s="8"/>
      <c r="I894" s="8"/>
      <c r="J894" s="8"/>
    </row>
    <row r="895">
      <c r="C895" s="8"/>
      <c r="I895" s="8"/>
      <c r="J895" s="8"/>
    </row>
    <row r="896">
      <c r="C896" s="8"/>
      <c r="I896" s="8"/>
      <c r="J896" s="8"/>
    </row>
    <row r="897">
      <c r="C897" s="8"/>
      <c r="I897" s="8"/>
      <c r="J897" s="8"/>
    </row>
    <row r="898">
      <c r="C898" s="8"/>
      <c r="I898" s="8"/>
      <c r="J898" s="8"/>
    </row>
    <row r="899">
      <c r="C899" s="8"/>
      <c r="I899" s="8"/>
      <c r="J899" s="8"/>
    </row>
    <row r="900">
      <c r="C900" s="8"/>
      <c r="I900" s="8"/>
      <c r="J900" s="8"/>
    </row>
    <row r="901">
      <c r="C901" s="8"/>
      <c r="I901" s="8"/>
      <c r="J901" s="8"/>
    </row>
    <row r="902">
      <c r="C902" s="8"/>
      <c r="I902" s="8"/>
      <c r="J902" s="8"/>
    </row>
    <row r="903">
      <c r="C903" s="8"/>
      <c r="I903" s="8"/>
      <c r="J903" s="8"/>
    </row>
    <row r="904">
      <c r="C904" s="8"/>
      <c r="I904" s="8"/>
      <c r="J904" s="8"/>
    </row>
    <row r="905">
      <c r="C905" s="8"/>
      <c r="I905" s="8"/>
      <c r="J905" s="8"/>
    </row>
    <row r="906">
      <c r="C906" s="8"/>
      <c r="I906" s="8"/>
      <c r="J906" s="8"/>
    </row>
    <row r="907">
      <c r="C907" s="8"/>
      <c r="I907" s="8"/>
      <c r="J907" s="8"/>
    </row>
    <row r="908">
      <c r="C908" s="8"/>
      <c r="I908" s="8"/>
      <c r="J908" s="8"/>
    </row>
    <row r="909">
      <c r="C909" s="8"/>
      <c r="I909" s="8"/>
      <c r="J909" s="8"/>
    </row>
    <row r="910">
      <c r="C910" s="8"/>
      <c r="I910" s="8"/>
      <c r="J910" s="8"/>
    </row>
    <row r="911">
      <c r="C911" s="8"/>
      <c r="I911" s="8"/>
      <c r="J911" s="8"/>
    </row>
    <row r="912">
      <c r="C912" s="8"/>
      <c r="I912" s="8"/>
      <c r="J912" s="8"/>
    </row>
    <row r="913">
      <c r="C913" s="8"/>
      <c r="I913" s="8"/>
      <c r="J913" s="8"/>
    </row>
    <row r="914">
      <c r="C914" s="8"/>
      <c r="I914" s="8"/>
      <c r="J914" s="8"/>
    </row>
    <row r="915">
      <c r="C915" s="8"/>
      <c r="I915" s="8"/>
      <c r="J915" s="8"/>
    </row>
    <row r="916">
      <c r="C916" s="8"/>
      <c r="I916" s="8"/>
      <c r="J916" s="8"/>
    </row>
    <row r="917">
      <c r="C917" s="8"/>
      <c r="I917" s="8"/>
      <c r="J917" s="8"/>
    </row>
    <row r="918">
      <c r="C918" s="8"/>
      <c r="I918" s="8"/>
      <c r="J918" s="8"/>
    </row>
    <row r="919">
      <c r="C919" s="8"/>
      <c r="I919" s="8"/>
      <c r="J919" s="8"/>
    </row>
    <row r="920">
      <c r="C920" s="8"/>
      <c r="I920" s="8"/>
      <c r="J920" s="8"/>
    </row>
    <row r="921">
      <c r="C921" s="8"/>
      <c r="I921" s="8"/>
      <c r="J921" s="8"/>
    </row>
    <row r="922">
      <c r="C922" s="8"/>
      <c r="I922" s="8"/>
      <c r="J922" s="8"/>
    </row>
    <row r="923">
      <c r="C923" s="8"/>
      <c r="I923" s="8"/>
      <c r="J923" s="8"/>
    </row>
    <row r="924">
      <c r="C924" s="8"/>
      <c r="I924" s="8"/>
      <c r="J924" s="8"/>
    </row>
    <row r="925">
      <c r="C925" s="8"/>
      <c r="I925" s="8"/>
      <c r="J925" s="8"/>
    </row>
    <row r="926">
      <c r="C926" s="8"/>
      <c r="I926" s="8"/>
      <c r="J926" s="8"/>
    </row>
    <row r="927">
      <c r="C927" s="8"/>
      <c r="I927" s="8"/>
      <c r="J927" s="8"/>
    </row>
    <row r="928">
      <c r="C928" s="8"/>
      <c r="I928" s="8"/>
      <c r="J928" s="8"/>
    </row>
    <row r="929">
      <c r="C929" s="8"/>
      <c r="I929" s="8"/>
      <c r="J929" s="8"/>
    </row>
    <row r="930">
      <c r="C930" s="8"/>
      <c r="I930" s="8"/>
      <c r="J930" s="8"/>
    </row>
    <row r="931">
      <c r="C931" s="8"/>
      <c r="I931" s="8"/>
      <c r="J931" s="8"/>
    </row>
    <row r="932">
      <c r="C932" s="8"/>
      <c r="I932" s="8"/>
      <c r="J932" s="8"/>
    </row>
    <row r="933">
      <c r="C933" s="8"/>
      <c r="I933" s="8"/>
      <c r="J933" s="8"/>
    </row>
    <row r="934">
      <c r="C934" s="8"/>
      <c r="I934" s="8"/>
      <c r="J934" s="8"/>
    </row>
    <row r="935">
      <c r="C935" s="8"/>
      <c r="I935" s="8"/>
      <c r="J935" s="8"/>
    </row>
    <row r="936">
      <c r="C936" s="8"/>
      <c r="I936" s="8"/>
      <c r="J936" s="8"/>
    </row>
    <row r="937">
      <c r="C937" s="8"/>
      <c r="I937" s="8"/>
      <c r="J937" s="8"/>
    </row>
    <row r="938">
      <c r="C938" s="8"/>
      <c r="I938" s="8"/>
      <c r="J938" s="8"/>
    </row>
    <row r="939">
      <c r="C939" s="8"/>
      <c r="I939" s="8"/>
      <c r="J939" s="8"/>
    </row>
    <row r="940">
      <c r="C940" s="8"/>
      <c r="I940" s="8"/>
      <c r="J940" s="8"/>
    </row>
    <row r="941">
      <c r="C941" s="8"/>
      <c r="I941" s="8"/>
      <c r="J941" s="8"/>
    </row>
    <row r="942">
      <c r="C942" s="8"/>
      <c r="I942" s="8"/>
      <c r="J942" s="8"/>
    </row>
    <row r="943">
      <c r="C943" s="8"/>
      <c r="I943" s="8"/>
      <c r="J943" s="8"/>
    </row>
    <row r="944">
      <c r="C944" s="8"/>
      <c r="I944" s="8"/>
      <c r="J944" s="8"/>
    </row>
    <row r="945">
      <c r="C945" s="8"/>
      <c r="I945" s="8"/>
      <c r="J945" s="8"/>
    </row>
    <row r="946">
      <c r="C946" s="8"/>
      <c r="I946" s="8"/>
      <c r="J946" s="8"/>
    </row>
    <row r="947">
      <c r="C947" s="8"/>
      <c r="I947" s="8"/>
      <c r="J947" s="8"/>
    </row>
    <row r="948">
      <c r="C948" s="8"/>
      <c r="I948" s="8"/>
      <c r="J948" s="8"/>
    </row>
    <row r="949">
      <c r="C949" s="8"/>
      <c r="I949" s="8"/>
      <c r="J949" s="8"/>
    </row>
    <row r="950">
      <c r="C950" s="8"/>
      <c r="I950" s="8"/>
      <c r="J950" s="8"/>
    </row>
    <row r="951">
      <c r="C951" s="8"/>
      <c r="I951" s="8"/>
      <c r="J951" s="8"/>
    </row>
    <row r="952">
      <c r="C952" s="8"/>
      <c r="I952" s="8"/>
      <c r="J952" s="8"/>
    </row>
    <row r="953">
      <c r="C953" s="8"/>
      <c r="I953" s="8"/>
      <c r="J953" s="8"/>
    </row>
    <row r="954">
      <c r="C954" s="8"/>
      <c r="I954" s="8"/>
      <c r="J954" s="8"/>
    </row>
    <row r="955">
      <c r="C955" s="8"/>
      <c r="I955" s="8"/>
      <c r="J955" s="8"/>
    </row>
    <row r="956">
      <c r="C956" s="8"/>
      <c r="I956" s="8"/>
      <c r="J956" s="8"/>
    </row>
    <row r="957">
      <c r="C957" s="8"/>
      <c r="I957" s="8"/>
      <c r="J957" s="8"/>
    </row>
    <row r="958">
      <c r="C958" s="8"/>
      <c r="I958" s="8"/>
      <c r="J958" s="8"/>
    </row>
    <row r="959">
      <c r="C959" s="8"/>
      <c r="I959" s="8"/>
      <c r="J959" s="8"/>
    </row>
    <row r="960">
      <c r="C960" s="8"/>
      <c r="I960" s="8"/>
      <c r="J960" s="8"/>
    </row>
    <row r="961">
      <c r="C961" s="8"/>
      <c r="I961" s="8"/>
      <c r="J961" s="8"/>
    </row>
    <row r="962">
      <c r="C962" s="8"/>
      <c r="I962" s="8"/>
      <c r="J962" s="8"/>
    </row>
    <row r="963">
      <c r="C963" s="8"/>
      <c r="I963" s="8"/>
      <c r="J963" s="8"/>
    </row>
    <row r="964">
      <c r="C964" s="8"/>
      <c r="I964" s="8"/>
      <c r="J964" s="8"/>
    </row>
    <row r="965">
      <c r="C965" s="8"/>
      <c r="I965" s="8"/>
      <c r="J965" s="8"/>
    </row>
    <row r="966">
      <c r="C966" s="8"/>
      <c r="I966" s="8"/>
      <c r="J966" s="8"/>
    </row>
    <row r="967">
      <c r="C967" s="8"/>
      <c r="I967" s="8"/>
      <c r="J967" s="8"/>
    </row>
    <row r="968">
      <c r="C968" s="8"/>
      <c r="I968" s="8"/>
      <c r="J968" s="8"/>
    </row>
    <row r="969">
      <c r="C969" s="8"/>
      <c r="I969" s="8"/>
      <c r="J969" s="8"/>
    </row>
    <row r="970">
      <c r="C970" s="8"/>
      <c r="I970" s="8"/>
      <c r="J970" s="8"/>
    </row>
    <row r="971">
      <c r="C971" s="8"/>
      <c r="I971" s="8"/>
      <c r="J971" s="8"/>
    </row>
    <row r="972">
      <c r="C972" s="8"/>
      <c r="I972" s="8"/>
      <c r="J972" s="8"/>
    </row>
    <row r="973">
      <c r="C973" s="8"/>
      <c r="I973" s="8"/>
      <c r="J973" s="8"/>
    </row>
    <row r="974">
      <c r="C974" s="8"/>
      <c r="I974" s="8"/>
      <c r="J974" s="8"/>
    </row>
    <row r="975">
      <c r="C975" s="8"/>
      <c r="I975" s="8"/>
      <c r="J975" s="8"/>
    </row>
    <row r="976">
      <c r="C976" s="8"/>
      <c r="I976" s="8"/>
      <c r="J976" s="8"/>
    </row>
    <row r="977">
      <c r="C977" s="8"/>
      <c r="I977" s="8"/>
      <c r="J977" s="8"/>
    </row>
    <row r="978">
      <c r="C978" s="8"/>
      <c r="I978" s="8"/>
      <c r="J978" s="8"/>
    </row>
    <row r="979">
      <c r="C979" s="8"/>
      <c r="I979" s="8"/>
      <c r="J979" s="8"/>
    </row>
    <row r="980">
      <c r="C980" s="8"/>
      <c r="I980" s="8"/>
      <c r="J980" s="8"/>
    </row>
    <row r="981">
      <c r="C981" s="8"/>
      <c r="I981" s="8"/>
      <c r="J981" s="8"/>
    </row>
    <row r="982">
      <c r="C982" s="8"/>
      <c r="I982" s="8"/>
      <c r="J982" s="8"/>
    </row>
    <row r="983">
      <c r="C983" s="8"/>
      <c r="I983" s="8"/>
      <c r="J983" s="8"/>
    </row>
    <row r="984">
      <c r="C984" s="8"/>
      <c r="I984" s="8"/>
      <c r="J984" s="8"/>
    </row>
    <row r="985">
      <c r="C985" s="8"/>
      <c r="I985" s="8"/>
      <c r="J985" s="8"/>
    </row>
    <row r="986">
      <c r="C986" s="8"/>
      <c r="I986" s="8"/>
      <c r="J986" s="8"/>
    </row>
    <row r="987">
      <c r="C987" s="8"/>
      <c r="I987" s="8"/>
      <c r="J987" s="8"/>
    </row>
    <row r="988">
      <c r="C988" s="8"/>
      <c r="I988" s="8"/>
      <c r="J988" s="8"/>
    </row>
    <row r="989">
      <c r="C989" s="8"/>
      <c r="I989" s="8"/>
      <c r="J989" s="8"/>
    </row>
    <row r="990">
      <c r="C990" s="8"/>
      <c r="I990" s="8"/>
      <c r="J990" s="8"/>
    </row>
    <row r="991">
      <c r="C991" s="8"/>
      <c r="I991" s="8"/>
      <c r="J991" s="8"/>
    </row>
    <row r="992">
      <c r="C992" s="8"/>
      <c r="I992" s="8"/>
      <c r="J992" s="8"/>
    </row>
    <row r="993">
      <c r="C993" s="8"/>
      <c r="I993" s="8"/>
      <c r="J993" s="8"/>
    </row>
    <row r="994">
      <c r="C994" s="8"/>
      <c r="I994" s="8"/>
      <c r="J994" s="8"/>
    </row>
    <row r="995">
      <c r="C995" s="8"/>
      <c r="I995" s="8"/>
      <c r="J995" s="8"/>
    </row>
    <row r="996">
      <c r="C996" s="8"/>
      <c r="I996" s="8"/>
      <c r="J996" s="8"/>
    </row>
    <row r="997">
      <c r="C997" s="8"/>
      <c r="I997" s="8"/>
      <c r="J997" s="8"/>
    </row>
    <row r="998">
      <c r="C998" s="8"/>
      <c r="I998" s="8"/>
      <c r="J998" s="8"/>
    </row>
    <row r="999">
      <c r="C999" s="8"/>
      <c r="I999" s="8"/>
      <c r="J999" s="8"/>
    </row>
    <row r="1000">
      <c r="C1000" s="8"/>
      <c r="I1000" s="8"/>
      <c r="J1000" s="8"/>
    </row>
  </sheetData>
  <mergeCells count="1">
    <mergeCell ref="A1:O2"/>
  </mergeCells>
  <dataValidations>
    <dataValidation type="list" allowBlank="1" showErrorMessage="1" sqref="B3">
      <formula1>"Mout,Hop,Gist,Suiker,Fruit,Adjunct"</formula1>
    </dataValidation>
    <dataValidation type="list" allowBlank="1" showErrorMessage="1" sqref="J6:J1000">
      <formula1>Uitleg!$C$2:$C$5</formula1>
    </dataValidation>
    <dataValidation type="list" allowBlank="1" showErrorMessage="1" sqref="I6:I1000">
      <formula1>Uitleg!$B$2:$B$7</formula1>
    </dataValidation>
    <dataValidation type="list" allowBlank="1" showErrorMessage="1" sqref="C6:C1000">
      <formula1>Uitleg!$A$2:$A$3</formula1>
    </dataValidation>
  </dataValidations>
  <drawing r:id="rId1"/>
</worksheet>
</file>