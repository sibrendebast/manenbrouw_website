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zicht" sheetId="1" r:id="rId4"/>
    <sheet state="visible" name="001 - Heisse Hetty" sheetId="2" r:id="rId5"/>
    <sheet state="visible" name="002 - Exquise Elise" sheetId="3" r:id="rId6"/>
    <sheet state="visible" name="003 - Mystieke Margarita" sheetId="4" r:id="rId7"/>
    <sheet state="visible" name="004 - Elegante Elodie" sheetId="5" r:id="rId8"/>
    <sheet state="visible" name="XXX - cola sour" sheetId="6" r:id="rId9"/>
    <sheet state="visible" name="008 - Pastry Orangette" sheetId="7" r:id="rId10"/>
    <sheet state="visible" name="XXX - Parelende Pippa" sheetId="8" r:id="rId11"/>
    <sheet state="visible" name="Voorraadfiche Grondstoffen" sheetId="9" r:id="rId12"/>
    <sheet state="hidden" name="Data" sheetId="10" r:id="rId13"/>
  </sheets>
  <definedNames>
    <definedName localSheetId="5" name="OG">'XXX - cola sour'!$B$9</definedName>
    <definedName name="Volume">#REF!</definedName>
    <definedName localSheetId="7" name="OG">'XXX - Parelende Pippa'!$B$9</definedName>
    <definedName localSheetId="2" name="ABV">'002 - Exquise Elise'!$B$11</definedName>
    <definedName localSheetId="6" name="FG">'008 - Pastry Orangette'!$B$10</definedName>
    <definedName localSheetId="7" name="Attenuation">'XXX - Parelende Pippa'!$B$7</definedName>
    <definedName localSheetId="7" name="Volume">'XXX - Parelende Pippa'!$B$5</definedName>
    <definedName localSheetId="4" name="Volume">'004 - Elegante Elodie'!$B$5</definedName>
    <definedName name="Brouwefficientie">#REF!</definedName>
    <definedName localSheetId="7" name="FG">'XXX - Parelende Pippa'!$B$10</definedName>
    <definedName localSheetId="3" name="FG">'003 - Mystieke Margarita'!$B$10</definedName>
    <definedName localSheetId="3" name="OG">'003 - Mystieke Margarita'!$B$9</definedName>
    <definedName name="kgperpound">Data!$E$3</definedName>
    <definedName localSheetId="1" name="ABV">'001 - Heisse Hetty'!$B$11</definedName>
    <definedName localSheetId="6" name="ABV">'008 - Pastry Orangette'!$B$11</definedName>
    <definedName localSheetId="7" name="ABV">'XXX - Parelende Pippa'!$B$11</definedName>
    <definedName localSheetId="2" name="FG">'002 - Exquise Elise'!$B$10</definedName>
    <definedName localSheetId="1" name="Plato">'001 - Heisse Hetty'!$B$12</definedName>
    <definedName localSheetId="6" name="Brouwefficientie">'008 - Pastry Orangette'!$B$8</definedName>
    <definedName localSheetId="3" name="Attenuation">'003 - Mystieke Margarita'!$B$7</definedName>
    <definedName localSheetId="3" name="Volume">'003 - Mystieke Margarita'!$B$5</definedName>
    <definedName localSheetId="6" name="OG">'008 - Pastry Orangette'!$B$9</definedName>
    <definedName localSheetId="7" name="Plato">'XXX - Parelende Pippa'!$B$12</definedName>
    <definedName localSheetId="5" name="Attenuation">'XXX - cola sour'!$B$7</definedName>
    <definedName name="lpergallon">Data!$E$2</definedName>
    <definedName name="Plato">#REF!</definedName>
    <definedName localSheetId="4" name="Attenuation">'004 - Elegante Elodie'!$B$7</definedName>
    <definedName localSheetId="1" name="FG">'001 - Heisse Hetty'!$B$10</definedName>
    <definedName name="FG">#REF!</definedName>
    <definedName localSheetId="6" name="Volume">'008 - Pastry Orangette'!$B$5</definedName>
    <definedName localSheetId="5" name="Plato">'XXX - cola sour'!$B$12</definedName>
    <definedName localSheetId="2" name="Attenuation">'002 - Exquise Elise'!$B$7</definedName>
    <definedName localSheetId="6" name="Plato">'008 - Pastry Orangette'!$B$12</definedName>
    <definedName localSheetId="1" name="Brouwefficientie">'001 - Heisse Hetty'!$B$8</definedName>
    <definedName localSheetId="5" name="Brouwefficientie">'XXX - cola sour'!$B$8</definedName>
    <definedName name="Attenuation">#REF!</definedName>
    <definedName localSheetId="5" name="FG">'XXX - cola sour'!$B$10</definedName>
    <definedName localSheetId="4" name="ABV">'004 - Elegante Elodie'!$B$11</definedName>
    <definedName name="ABV">#REF!</definedName>
    <definedName localSheetId="2" name="Plato">'002 - Exquise Elise'!$B$12</definedName>
    <definedName localSheetId="2" name="Brouwefficientie">'002 - Exquise Elise'!$B$8</definedName>
    <definedName localSheetId="6" name="Attenuation">'008 - Pastry Orangette'!$B$7</definedName>
    <definedName localSheetId="2" name="OG">'002 - Exquise Elise'!$B$9</definedName>
    <definedName localSheetId="4" name="OG">'004 - Elegante Elodie'!$B$9</definedName>
    <definedName localSheetId="2" name="Volume">'002 - Exquise Elise'!$B$5</definedName>
    <definedName localSheetId="4" name="FG">'004 - Elegante Elodie'!$B$10</definedName>
    <definedName name="ozpergram">Data!$E$4</definedName>
    <definedName name="OG">#REF!</definedName>
    <definedName localSheetId="3" name="Brouwefficientie">'003 - Mystieke Margarita'!$B$8</definedName>
    <definedName localSheetId="5" name="Volume">'XXX - cola sour'!$B$5</definedName>
    <definedName localSheetId="1" name="Attenuation">'001 - Heisse Hetty'!$B$7</definedName>
    <definedName localSheetId="1" name="OG">'001 - Heisse Hetty'!$B$9</definedName>
    <definedName localSheetId="3" name="ABV">'003 - Mystieke Margarita'!$B$11</definedName>
    <definedName localSheetId="3" name="Plato">'003 - Mystieke Margarita'!$B$12</definedName>
    <definedName localSheetId="5" name="ABV">'XXX - cola sour'!$B$11</definedName>
    <definedName localSheetId="1" name="Volume">'001 - Heisse Hetty'!$B$5</definedName>
    <definedName localSheetId="4" name="Brouwefficientie">'004 - Elegante Elodie'!$B$8</definedName>
    <definedName localSheetId="4" name="Plato">'004 - Elegante Elodie'!$B$12</definedName>
    <definedName localSheetId="7" name="Brouwefficientie">'XXX - Parelende Pippa'!$B$8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2">
      <text>
        <t xml:space="preserve">plato = (-1 * 616.868) + (1111.14 * sg) – (630.272 * sg^2) + (135.997 * sg^3)</t>
      </text>
    </comment>
  </commentList>
</comments>
</file>

<file path=xl/sharedStrings.xml><?xml version="1.0" encoding="utf-8"?>
<sst xmlns="http://schemas.openxmlformats.org/spreadsheetml/2006/main" count="960" uniqueCount="163">
  <si>
    <t>T</t>
  </si>
  <si>
    <t xml:space="preserve">Brouwerij </t>
  </si>
  <si>
    <t>Man &amp; Brouw</t>
  </si>
  <si>
    <t>BE0778.696.105</t>
  </si>
  <si>
    <t>Overzicht</t>
  </si>
  <si>
    <t>Verwacht</t>
  </si>
  <si>
    <t>Gemeten</t>
  </si>
  <si>
    <t>Fiche nummer</t>
  </si>
  <si>
    <t>Naam</t>
  </si>
  <si>
    <t>Sheet name</t>
  </si>
  <si>
    <t>OG</t>
  </si>
  <si>
    <t>FG</t>
  </si>
  <si>
    <t>ABV</t>
  </si>
  <si>
    <t>Plato</t>
  </si>
  <si>
    <t>Brouwefficientie</t>
  </si>
  <si>
    <t>2026/001</t>
  </si>
  <si>
    <t>Heisse Hetty</t>
  </si>
  <si>
    <t>2026/002</t>
  </si>
  <si>
    <t>Exquise Elise</t>
  </si>
  <si>
    <t>2026/003</t>
  </si>
  <si>
    <t>2026/004</t>
  </si>
  <si>
    <t>2026/005</t>
  </si>
  <si>
    <t>2026/006</t>
  </si>
  <si>
    <t>2026/007</t>
  </si>
  <si>
    <t>2026/008</t>
  </si>
  <si>
    <t>2026/009</t>
  </si>
  <si>
    <t>2026/010</t>
  </si>
  <si>
    <t>2026/011</t>
  </si>
  <si>
    <t>2026/012</t>
  </si>
  <si>
    <t>2026/013</t>
  </si>
  <si>
    <t>Author:</t>
  </si>
  <si>
    <t>Tom &amp; Sibren</t>
  </si>
  <si>
    <t>Gevraagd</t>
  </si>
  <si>
    <t>Volume</t>
  </si>
  <si>
    <t>Batch Volume</t>
  </si>
  <si>
    <t>Attenuatie</t>
  </si>
  <si>
    <t>IBU</t>
  </si>
  <si>
    <t>EBC</t>
  </si>
  <si>
    <t>Granen</t>
  </si>
  <si>
    <t>Totaal suikers nodig</t>
  </si>
  <si>
    <t>kg</t>
  </si>
  <si>
    <t>Totaal granen nodig</t>
  </si>
  <si>
    <t>Graan type</t>
  </si>
  <si>
    <t>Voorraad</t>
  </si>
  <si>
    <t>Hoeveelheid</t>
  </si>
  <si>
    <t>Graanrendement</t>
  </si>
  <si>
    <t>% van totaal</t>
  </si>
  <si>
    <t>Lot</t>
  </si>
  <si>
    <t>Per hL</t>
  </si>
  <si>
    <t>Per batch</t>
  </si>
  <si>
    <t>Massa</t>
  </si>
  <si>
    <t>Lovibond</t>
  </si>
  <si>
    <t>MCU</t>
  </si>
  <si>
    <t>Pilsmout</t>
  </si>
  <si>
    <t>Tarwemout</t>
  </si>
  <si>
    <t>TOTAL</t>
  </si>
  <si>
    <t>Maisch</t>
  </si>
  <si>
    <t>Stap</t>
  </si>
  <si>
    <t>Temp</t>
  </si>
  <si>
    <t>Duur (min.)</t>
  </si>
  <si>
    <t>Protein Rest (52°C)</t>
  </si>
  <si>
    <t>Beta-Amylase Rest (63°C)</t>
  </si>
  <si>
    <t>Alpha-Amylase Rest (72°C)</t>
  </si>
  <si>
    <t>Mash Out (78°C)</t>
  </si>
  <si>
    <t>TOTALS</t>
  </si>
  <si>
    <t>Minutes</t>
  </si>
  <si>
    <t>Hop</t>
  </si>
  <si>
    <t>Soort hop</t>
  </si>
  <si>
    <t>Pellet of bloem</t>
  </si>
  <si>
    <t>Kooktijd (min.)</t>
  </si>
  <si>
    <t>AA%</t>
  </si>
  <si>
    <t>Biggness factor</t>
  </si>
  <si>
    <t>g</t>
  </si>
  <si>
    <t>Hops in oz</t>
  </si>
  <si>
    <t>Boil factor</t>
  </si>
  <si>
    <t>Utilization</t>
  </si>
  <si>
    <t>Hallertau Blanc</t>
  </si>
  <si>
    <t>Pellet</t>
  </si>
  <si>
    <t>Calista</t>
  </si>
  <si>
    <t>Toevoeging</t>
  </si>
  <si>
    <t>Soort</t>
  </si>
  <si>
    <t>Tijdstip</t>
  </si>
  <si>
    <t>Dosering (g/L)</t>
  </si>
  <si>
    <t>hotsauce</t>
  </si>
  <si>
    <t>Secundaire fermentatie</t>
  </si>
  <si>
    <t>Gist</t>
  </si>
  <si>
    <t>Gistsoort</t>
  </si>
  <si>
    <t>Apres-Ski</t>
  </si>
  <si>
    <t>Fermentatieschema</t>
  </si>
  <si>
    <t>Temperatuur</t>
  </si>
  <si>
    <t>Duur (dagen)</t>
  </si>
  <si>
    <t>°C</t>
  </si>
  <si>
    <t>Hoofd</t>
  </si>
  <si>
    <t>Notities:</t>
  </si>
  <si>
    <t>Tarwe</t>
  </si>
  <si>
    <t>Havervlokken</t>
  </si>
  <si>
    <t>Motueka</t>
  </si>
  <si>
    <t>timut</t>
  </si>
  <si>
    <t>zeezout</t>
  </si>
  <si>
    <t>BE-134</t>
  </si>
  <si>
    <t>LP652</t>
  </si>
  <si>
    <t>acidification</t>
  </si>
  <si>
    <t>hoofd</t>
  </si>
  <si>
    <t>Mystieke Margarita</t>
  </si>
  <si>
    <t>Carapils</t>
  </si>
  <si>
    <t>CaraHell</t>
  </si>
  <si>
    <t>CaraRed</t>
  </si>
  <si>
    <t>gember</t>
  </si>
  <si>
    <t>Whirlpool</t>
  </si>
  <si>
    <t>bloedappelsienzeste</t>
  </si>
  <si>
    <t>whir</t>
  </si>
  <si>
    <t>limoenzeste</t>
  </si>
  <si>
    <t>sec</t>
  </si>
  <si>
    <t>hibiscus</t>
  </si>
  <si>
    <t>s-04</t>
  </si>
  <si>
    <t>acid</t>
  </si>
  <si>
    <t>Elegante Elodie</t>
  </si>
  <si>
    <t>lavendel</t>
  </si>
  <si>
    <t>rozemarijn</t>
  </si>
  <si>
    <t>DA-16</t>
  </si>
  <si>
    <t>Crazy Coco</t>
  </si>
  <si>
    <t>Carared</t>
  </si>
  <si>
    <t>Caramunich</t>
  </si>
  <si>
    <t>Chocolate Dark</t>
  </si>
  <si>
    <t>hallertau</t>
  </si>
  <si>
    <t>Primaire fermentatie</t>
  </si>
  <si>
    <t>https://voordeelkruiden.nl/ancho-chili-peper/?attribute_pa_verpakking=zak-200-gram</t>
  </si>
  <si>
    <t>Grof zeezout</t>
  </si>
  <si>
    <t>S-33</t>
  </si>
  <si>
    <t>voor 5 liter</t>
  </si>
  <si>
    <t>1 limoen, 1 citoren, 2 appelsienen, 1.2g kaneel, 1.2g nootmuskaat, 0.9g vanille, 1.5g corianderzaad, 9g rozenbottel</t>
  </si>
  <si>
    <t>0.25g koffieboon, 1.8g kola poeder, 0.6g kafir blad, 10g colakruid</t>
  </si>
  <si>
    <t>https://www.kevinkos.com/post/homemade-coca-cola</t>
  </si>
  <si>
    <t>Pastry Orangette</t>
  </si>
  <si>
    <t>Sibren</t>
  </si>
  <si>
    <t xml:space="preserve">Tarwe </t>
  </si>
  <si>
    <t>Carafa Special</t>
  </si>
  <si>
    <t>Cara 50 MD</t>
  </si>
  <si>
    <t>S-04</t>
  </si>
  <si>
    <t>rest</t>
  </si>
  <si>
    <t>cold crash</t>
  </si>
  <si>
    <t>Parelende Pippa</t>
  </si>
  <si>
    <t>Munich</t>
  </si>
  <si>
    <t>Light Crystal</t>
  </si>
  <si>
    <t>Wai-iti</t>
  </si>
  <si>
    <t>Perziken</t>
  </si>
  <si>
    <t>Karamel</t>
  </si>
  <si>
    <t>Kook</t>
  </si>
  <si>
    <t>Voss Kveik</t>
  </si>
  <si>
    <t>Te mengen met +-180L cider van Most boys</t>
  </si>
  <si>
    <t>Whirlpool hop zorgt nog voor veel bitterheid in 2de batch -&gt; hop schema aanpassen: batch 1 - bitter 200g - whirlpool 200g - batch 2 - whirlpool 400g</t>
  </si>
  <si>
    <t>Maischstappen</t>
  </si>
  <si>
    <t>Conversiefactoren</t>
  </si>
  <si>
    <t>Dough-In (21°C)</t>
  </si>
  <si>
    <t>l per gallon</t>
  </si>
  <si>
    <t>Acid Rest (38°C)</t>
  </si>
  <si>
    <t>kg per pound</t>
  </si>
  <si>
    <t>Beta-Glucanse Rest (42°C)</t>
  </si>
  <si>
    <t>oz per gram</t>
  </si>
  <si>
    <t>Limit Dextrinase (62°C)</t>
  </si>
  <si>
    <t>Saccharification (Light Body) (63°C)</t>
  </si>
  <si>
    <t>Saccharification (Med Body) (67°C)</t>
  </si>
  <si>
    <t>Saccahrification (Full Body) (69°C)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</si>
</sst>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0.0"/>
    <numFmt numFmtId="166" formatCode="0 l"/>
    <numFmt numFmtId="167" formatCode="0.0%"/>
    <numFmt numFmtId="168" formatCode="00\°C"/>
    <numFmt numFmtId="169" formatCode="000\°"/>
  </numFmts>
  <fonts count="27">
    <font>
      <sz val="11.0"/>
      <color rgb="FF000000"/>
      <name val="Calibri"/>
    </font>
    <font>
      <sz val="18.0"/>
      <name val="Arial"/>
    </font>
    <font>
      <name val="Arial"/>
    </font>
    <font/>
    <font>
      <b/>
      <sz val="44.0"/>
      <color rgb="FF321E13"/>
      <name val="Century Gothic"/>
    </font>
    <font>
      <b/>
      <sz val="11.0"/>
      <color rgb="FF000000"/>
      <name val="Calibri"/>
    </font>
    <font>
      <b/>
      <sz val="12.0"/>
      <color rgb="FF321E13"/>
      <name val="Century Gothic"/>
    </font>
    <font>
      <sz val="12.0"/>
      <color rgb="FF321E13"/>
      <name val="Century Gothic"/>
    </font>
    <font>
      <sz val="12.0"/>
      <color rgb="FF00447C"/>
      <name val="Century Gothic"/>
    </font>
    <font>
      <sz val="11.0"/>
      <color rgb="FF321E13"/>
      <name val="Calibri"/>
    </font>
    <font>
      <b/>
      <sz val="14.0"/>
      <color rgb="FF000000"/>
      <name val="Century Gothic"/>
    </font>
    <font>
      <sz val="10.0"/>
      <color rgb="FF000000"/>
      <name val="Century Gothic"/>
    </font>
    <font>
      <b/>
      <sz val="10.0"/>
      <color rgb="FF321E13"/>
      <name val="Century Gothic"/>
    </font>
    <font>
      <b/>
      <sz val="10.0"/>
      <color rgb="FF000000"/>
      <name val="Century Gothic"/>
    </font>
    <font>
      <b/>
    </font>
    <font>
      <sz val="11.0"/>
      <name val="Calibri"/>
    </font>
    <font>
      <i/>
      <sz val="9.0"/>
      <color rgb="FF321E13"/>
      <name val="Century Gothic"/>
    </font>
    <font>
      <sz val="11.0"/>
      <color rgb="FFFFFFFF"/>
      <name val="Calibri"/>
    </font>
    <font>
      <i/>
      <sz val="8.0"/>
      <color rgb="FF000000"/>
      <name val="Century Gothic"/>
    </font>
    <font>
      <b/>
      <sz val="12.0"/>
      <color rgb="FF00447C"/>
      <name val="Century Gothic"/>
    </font>
    <font>
      <sz val="12.0"/>
      <color rgb="FFFFFFFF"/>
      <name val="Century Gothic"/>
    </font>
    <font>
      <sz val="10.0"/>
      <color rgb="FF321E13"/>
      <name val="Century Gothic"/>
    </font>
    <font>
      <b/>
      <sz val="11.0"/>
      <color rgb="FF321E13"/>
      <name val="Century Gothic"/>
    </font>
    <font>
      <u/>
      <sz val="11.0"/>
      <color rgb="FF000000"/>
      <name val="Calibri"/>
    </font>
    <font>
      <u/>
      <sz val="11.0"/>
      <color rgb="FF000000"/>
      <name val="Calibri"/>
    </font>
    <font>
      <color rgb="FF000000"/>
      <name val="Century Gothic"/>
    </font>
    <font>
      <b/>
      <color rgb="FF321E13"/>
      <name val="Century Gothic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9E9282"/>
        <bgColor rgb="FF9E9282"/>
      </patternFill>
    </fill>
    <fill>
      <patternFill patternType="solid">
        <fgColor rgb="FFFFFCDA"/>
        <bgColor rgb="FFFFFCDA"/>
      </patternFill>
    </fill>
    <fill>
      <patternFill patternType="solid">
        <fgColor rgb="FF6AA84F"/>
        <bgColor rgb="FF6AA84F"/>
      </patternFill>
    </fill>
  </fills>
  <borders count="4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bottom style="medium">
        <color rgb="FF321E13"/>
      </bottom>
    </border>
    <border>
      <top style="medium">
        <color rgb="FF321E13"/>
      </top>
      <bottom style="dotted">
        <color rgb="FF000000"/>
      </bottom>
    </border>
    <border>
      <top style="medium">
        <color rgb="FF321E13"/>
      </top>
    </border>
    <border>
      <top style="dotted">
        <color rgb="FF321E13"/>
      </top>
      <bottom style="dotted">
        <color rgb="FF321E13"/>
      </bottom>
    </border>
    <border>
      <top style="medium">
        <color rgb="FF321E13"/>
      </top>
      <bottom style="dotted">
        <color rgb="FF321E13"/>
      </bottom>
    </border>
    <border>
      <bottom style="dotted">
        <color rgb="FF000000"/>
      </bottom>
    </border>
    <border>
      <bottom style="dotted">
        <color rgb="FF321E13"/>
      </bottom>
    </border>
    <border>
      <top style="medium">
        <color rgb="FF000000"/>
      </top>
    </border>
    <border>
      <bottom style="medium">
        <color rgb="FF000000"/>
      </bottom>
    </border>
    <border>
      <right style="dotted">
        <color rgb="FFD8D8D8"/>
      </right>
    </border>
    <border>
      <left style="dotted">
        <color rgb="FFD8D8D8"/>
      </left>
    </border>
    <border>
      <left style="dotted">
        <color rgb="FFD8D8D8"/>
      </left>
      <right style="dotted">
        <color rgb="FFD8D8D8"/>
      </right>
    </border>
    <border>
      <right style="dotted">
        <color rgb="FFD8D8D8"/>
      </right>
      <bottom style="medium">
        <color rgb="FF321E13"/>
      </bottom>
    </border>
    <border>
      <left style="dotted">
        <color rgb="FFD8D8D8"/>
      </left>
      <right style="dotted">
        <color rgb="FFD8D8D8"/>
      </right>
      <bottom style="medium">
        <color rgb="FF321E13"/>
      </bottom>
    </border>
    <border>
      <left style="dotted">
        <color rgb="FFD8D8D8"/>
      </left>
      <bottom style="medium">
        <color rgb="FF321E13"/>
      </bottom>
    </border>
    <border>
      <bottom style="dotted">
        <color rgb="FFD8D8D8"/>
      </bottom>
    </border>
    <border>
      <right style="dotted">
        <color rgb="FFD8D8D8"/>
      </right>
      <bottom style="dotted">
        <color rgb="FFD8D8D8"/>
      </bottom>
    </border>
    <border>
      <left style="dotted">
        <color rgb="FFD8D8D8"/>
      </left>
      <right style="dotted">
        <color rgb="FFD8D8D8"/>
      </right>
      <bottom style="dotted">
        <color rgb="FFD8D8D8"/>
      </bottom>
    </border>
    <border>
      <left style="dotted">
        <color rgb="FFD8D8D8"/>
      </left>
      <bottom style="dotted">
        <color rgb="FFD8D8D8"/>
      </bottom>
    </border>
    <border>
      <top style="dotted">
        <color rgb="FFD8D8D8"/>
      </top>
      <bottom style="dotted">
        <color rgb="FFD8D8D8"/>
      </bottom>
    </border>
    <border>
      <right style="dotted">
        <color rgb="FFD8D8D8"/>
      </right>
      <top style="dotted">
        <color rgb="FFD8D8D8"/>
      </top>
      <bottom style="dotted">
        <color rgb="FFD8D8D8"/>
      </bottom>
    </border>
    <border>
      <left style="dotted">
        <color rgb="FFD8D8D8"/>
      </left>
      <right style="dotted">
        <color rgb="FFD8D8D8"/>
      </right>
      <top style="dotted">
        <color rgb="FFD8D8D8"/>
      </top>
      <bottom style="dotted">
        <color rgb="FFD8D8D8"/>
      </bottom>
    </border>
    <border>
      <left style="dotted">
        <color rgb="FFD8D8D8"/>
      </left>
      <top style="dotted">
        <color rgb="FFD8D8D8"/>
      </top>
      <bottom style="dotted">
        <color rgb="FFD8D8D8"/>
      </bottom>
    </border>
    <border>
      <top style="dotted">
        <color rgb="FFD8D8D8"/>
      </top>
    </border>
    <border>
      <right style="dotted">
        <color rgb="FFD8D8D8"/>
      </right>
      <top style="dotted">
        <color rgb="FFD8D8D8"/>
      </top>
    </border>
    <border>
      <left style="dotted">
        <color rgb="FFD8D8D8"/>
      </left>
      <right style="dotted">
        <color rgb="FFD8D8D8"/>
      </right>
      <top style="dotted">
        <color rgb="FFD8D8D8"/>
      </top>
    </border>
    <border>
      <left style="dotted">
        <color rgb="FFD8D8D8"/>
      </left>
      <top style="dotted">
        <color rgb="FFD8D8D8"/>
      </top>
    </border>
    <border>
      <top style="medium">
        <color rgb="FF321E13"/>
      </top>
      <bottom style="medium">
        <color rgb="FF321E13"/>
      </bottom>
    </border>
    <border>
      <right style="dotted">
        <color rgb="FFD8D8D8"/>
      </right>
      <top style="medium">
        <color rgb="FF321E13"/>
      </top>
      <bottom style="medium">
        <color rgb="FF321E13"/>
      </bottom>
    </border>
    <border>
      <left style="dotted">
        <color rgb="FFD8D8D8"/>
      </left>
      <right style="dotted">
        <color rgb="FFD8D8D8"/>
      </right>
      <top style="medium">
        <color rgb="FF321E13"/>
      </top>
      <bottom style="medium">
        <color rgb="FF321E13"/>
      </bottom>
    </border>
    <border>
      <left style="dotted">
        <color rgb="FFD8D8D8"/>
      </left>
      <top style="medium">
        <color rgb="FF321E13"/>
      </top>
      <bottom style="medium">
        <color rgb="FF321E13"/>
      </bottom>
    </border>
    <border>
      <right style="dotted">
        <color rgb="FFD8D8D8"/>
      </right>
      <top style="medium">
        <color rgb="FF321E13"/>
      </top>
    </border>
    <border>
      <left style="dotted">
        <color rgb="FFD8D8D8"/>
      </left>
      <top style="medium">
        <color rgb="FF321E13"/>
      </top>
    </border>
    <border>
      <left style="dotted">
        <color rgb="FFD8D8D8"/>
      </left>
      <right style="dotted">
        <color rgb="FFD8D8D8"/>
      </right>
      <top style="medium">
        <color rgb="FF321E13"/>
      </top>
    </border>
  </borders>
  <cellStyleXfs count="1">
    <xf borderId="0" fillId="0" fontId="0" numFmtId="0" applyAlignment="1" applyFont="1"/>
  </cellStyleXfs>
  <cellXfs count="2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1" fillId="3" fontId="2" numFmtId="0" xfId="0" applyAlignment="1" applyBorder="1" applyFill="1" applyFont="1">
      <alignment vertical="bottom"/>
    </xf>
    <xf borderId="2" fillId="0" fontId="3" numFmtId="0" xfId="0" applyBorder="1" applyFont="1"/>
    <xf borderId="3" fillId="3" fontId="2" numFmtId="0" xfId="0" applyAlignment="1" applyBorder="1" applyFont="1">
      <alignment vertical="bottom"/>
    </xf>
    <xf borderId="2" fillId="3" fontId="2" numFmtId="0" xfId="0" applyAlignment="1" applyBorder="1" applyFont="1">
      <alignment vertical="bottom"/>
    </xf>
    <xf borderId="3" fillId="0" fontId="3" numFmtId="0" xfId="0" applyBorder="1" applyFont="1"/>
    <xf borderId="2" fillId="3" fontId="2" numFmtId="0" xfId="0" applyAlignment="1" applyBorder="1" applyFont="1">
      <alignment readingOrder="0" vertical="bottom"/>
    </xf>
    <xf borderId="4" fillId="2" fontId="2" numFmtId="0" xfId="0" applyAlignment="1" applyBorder="1" applyFont="1">
      <alignment vertical="bottom"/>
    </xf>
    <xf borderId="5" fillId="2" fontId="2" numFmtId="0" xfId="0" applyAlignment="1" applyBorder="1" applyFont="1">
      <alignment vertical="bottom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readingOrder="0" vertical="bottom"/>
    </xf>
    <xf borderId="7" fillId="0" fontId="2" numFmtId="49" xfId="0" applyAlignment="1" applyBorder="1" applyFont="1" applyNumberFormat="1">
      <alignment readingOrder="0" vertical="bottom"/>
    </xf>
    <xf borderId="0" fillId="0" fontId="2" numFmtId="0" xfId="0" applyAlignment="1" applyFont="1">
      <alignment readingOrder="0" vertical="bottom"/>
    </xf>
    <xf borderId="8" fillId="0" fontId="2" numFmtId="0" xfId="0" applyAlignment="1" applyBorder="1" applyFont="1">
      <alignment vertical="bottom"/>
    </xf>
    <xf borderId="0" fillId="0" fontId="3" numFmtId="164" xfId="0" applyFont="1" applyNumberFormat="1"/>
    <xf borderId="0" fillId="0" fontId="3" numFmtId="10" xfId="0" applyFont="1" applyNumberFormat="1"/>
    <xf borderId="8" fillId="0" fontId="3" numFmtId="165" xfId="0" applyBorder="1" applyFont="1" applyNumberFormat="1"/>
    <xf borderId="0" fillId="0" fontId="3" numFmtId="165" xfId="0" applyFont="1" applyNumberFormat="1"/>
    <xf borderId="8" fillId="0" fontId="3" numFmtId="9" xfId="0" applyBorder="1" applyFont="1" applyNumberFormat="1"/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0" numFmtId="0" xfId="0" applyFont="1"/>
    <xf borderId="0" fillId="0" fontId="5" numFmtId="0" xfId="0" applyFont="1"/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horizontal="left" vertical="center"/>
    </xf>
    <xf borderId="0" fillId="0" fontId="9" numFmtId="0" xfId="0" applyAlignment="1" applyFont="1">
      <alignment horizontal="left"/>
    </xf>
    <xf borderId="0" fillId="0" fontId="6" numFmtId="2" xfId="0" applyAlignment="1" applyFont="1" applyNumberFormat="1">
      <alignment horizontal="center" readingOrder="0" vertical="center"/>
    </xf>
    <xf borderId="0" fillId="0" fontId="6" numFmtId="0" xfId="0" applyAlignment="1" applyFont="1">
      <alignment readingOrder="0" vertical="center"/>
    </xf>
    <xf borderId="0" fillId="0" fontId="6" numFmtId="2" xfId="0" applyAlignment="1" applyFont="1" applyNumberFormat="1">
      <alignment horizontal="left" readingOrder="0" vertical="center"/>
    </xf>
    <xf borderId="0" fillId="0" fontId="9" numFmtId="0" xfId="0" applyFont="1"/>
    <xf borderId="9" fillId="0" fontId="6" numFmtId="0" xfId="0" applyAlignment="1" applyBorder="1" applyFont="1">
      <alignment horizontal="center" readingOrder="0"/>
    </xf>
    <xf borderId="9" fillId="0" fontId="3" numFmtId="0" xfId="0" applyBorder="1" applyFont="1"/>
    <xf borderId="0" fillId="0" fontId="10" numFmtId="0" xfId="0" applyFont="1"/>
    <xf borderId="0" fillId="0" fontId="11" numFmtId="0" xfId="0" applyFont="1"/>
    <xf borderId="0" fillId="0" fontId="0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12" numFmtId="0" xfId="0" applyAlignment="1" applyFont="1">
      <alignment readingOrder="0" vertical="center"/>
    </xf>
    <xf borderId="10" fillId="0" fontId="11" numFmtId="166" xfId="0" applyAlignment="1" applyBorder="1" applyFont="1" applyNumberFormat="1">
      <alignment horizontal="center" readingOrder="0" vertical="center"/>
    </xf>
    <xf borderId="0" fillId="0" fontId="13" numFmtId="0" xfId="0" applyFont="1"/>
    <xf borderId="11" fillId="0" fontId="12" numFmtId="0" xfId="0" applyAlignment="1" applyBorder="1" applyFont="1">
      <alignment horizontal="left" readingOrder="0" vertical="center"/>
    </xf>
    <xf borderId="11" fillId="0" fontId="3" numFmtId="0" xfId="0" applyBorder="1" applyFont="1"/>
    <xf borderId="12" fillId="4" fontId="11" numFmtId="164" xfId="0" applyAlignment="1" applyBorder="1" applyFill="1" applyFont="1" applyNumberFormat="1">
      <alignment horizontal="center" readingOrder="0" vertical="center"/>
    </xf>
    <xf borderId="12" fillId="0" fontId="3" numFmtId="0" xfId="0" applyBorder="1" applyFont="1"/>
    <xf borderId="0" fillId="0" fontId="12" numFmtId="0" xfId="0" applyAlignment="1" applyFont="1">
      <alignment horizontal="left" readingOrder="0" vertical="center"/>
    </xf>
    <xf borderId="13" fillId="0" fontId="11" numFmtId="0" xfId="0" applyAlignment="1" applyBorder="1" applyFont="1">
      <alignment horizontal="center" readingOrder="0" vertical="center"/>
    </xf>
    <xf borderId="13" fillId="0" fontId="3" numFmtId="0" xfId="0" applyBorder="1" applyFont="1"/>
    <xf borderId="0" fillId="0" fontId="0" numFmtId="164" xfId="0" applyAlignment="1" applyFont="1" applyNumberFormat="1">
      <alignment readingOrder="0"/>
    </xf>
    <xf borderId="0" fillId="0" fontId="9" numFmtId="10" xfId="0" applyAlignment="1" applyFont="1" applyNumberFormat="1">
      <alignment horizontal="right"/>
    </xf>
    <xf borderId="0" fillId="0" fontId="9" numFmtId="10" xfId="0" applyAlignment="1" applyFont="1" applyNumberFormat="1">
      <alignment horizontal="left"/>
    </xf>
    <xf borderId="0" fillId="0" fontId="14" numFmtId="0" xfId="0" applyAlignment="1" applyFont="1">
      <alignment readingOrder="0"/>
    </xf>
    <xf borderId="14" fillId="0" fontId="11" numFmtId="166" xfId="0" applyAlignment="1" applyBorder="1" applyFont="1" applyNumberFormat="1">
      <alignment horizontal="center" readingOrder="0" vertical="center"/>
    </xf>
    <xf borderId="12" fillId="0" fontId="11" numFmtId="0" xfId="0" applyAlignment="1" applyBorder="1" applyFont="1">
      <alignment horizontal="center" readingOrder="0" vertical="center"/>
    </xf>
    <xf borderId="0" fillId="0" fontId="0" numFmtId="164" xfId="0" applyFont="1" applyNumberFormat="1"/>
    <xf borderId="15" fillId="0" fontId="11" numFmtId="9" xfId="0" applyAlignment="1" applyBorder="1" applyFont="1" applyNumberFormat="1">
      <alignment horizontal="center" readingOrder="0" vertical="center"/>
    </xf>
    <xf borderId="0" fillId="0" fontId="13" numFmtId="9" xfId="0" applyAlignment="1" applyFont="1" applyNumberFormat="1">
      <alignment readingOrder="0"/>
    </xf>
    <xf borderId="12" fillId="4" fontId="11" numFmtId="10" xfId="0" applyAlignment="1" applyBorder="1" applyFont="1" applyNumberFormat="1">
      <alignment horizontal="center" vertical="center"/>
    </xf>
    <xf borderId="0" fillId="0" fontId="11" numFmtId="9" xfId="0" applyAlignment="1" applyFont="1" applyNumberFormat="1">
      <alignment horizontal="center" readingOrder="0" vertical="center"/>
    </xf>
    <xf borderId="15" fillId="4" fontId="11" numFmtId="165" xfId="0" applyAlignment="1" applyBorder="1" applyFont="1" applyNumberFormat="1">
      <alignment horizontal="center" readingOrder="0" vertical="center"/>
    </xf>
    <xf borderId="15" fillId="0" fontId="3" numFmtId="0" xfId="0" applyBorder="1" applyFont="1"/>
    <xf borderId="0" fillId="0" fontId="14" numFmtId="0" xfId="0" applyAlignment="1" applyFont="1">
      <alignment horizontal="left" readingOrder="0"/>
    </xf>
    <xf borderId="12" fillId="4" fontId="11" numFmtId="165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readingOrder="0"/>
    </xf>
    <xf borderId="0" fillId="0" fontId="5" numFmtId="4" xfId="0" applyAlignment="1" applyFont="1" applyNumberFormat="1">
      <alignment readingOrder="0"/>
    </xf>
    <xf borderId="0" fillId="0" fontId="11" numFmtId="164" xfId="0" applyFont="1" applyNumberFormat="1"/>
    <xf borderId="0" fillId="0" fontId="13" numFmtId="0" xfId="0" applyAlignment="1" applyFont="1">
      <alignment readingOrder="0"/>
    </xf>
    <xf borderId="12" fillId="4" fontId="11" numFmtId="1" xfId="0" applyAlignment="1" applyBorder="1" applyFont="1" applyNumberFormat="1">
      <alignment horizontal="center" vertical="center"/>
    </xf>
    <xf borderId="0" fillId="0" fontId="12" numFmtId="0" xfId="0" applyAlignment="1" applyFont="1">
      <alignment horizontal="right" readingOrder="0" vertical="center"/>
    </xf>
    <xf borderId="12" fillId="4" fontId="11" numFmtId="9" xfId="0" applyAlignment="1" applyBorder="1" applyFont="1" applyNumberFormat="1">
      <alignment horizontal="center" readingOrder="0" vertical="center"/>
    </xf>
    <xf borderId="0" fillId="0" fontId="11" numFmtId="164" xfId="0" applyAlignment="1" applyFont="1" applyNumberFormat="1">
      <alignment readingOrder="0"/>
    </xf>
    <xf borderId="0" fillId="0" fontId="6" numFmtId="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0" fontId="15" numFmtId="0" xfId="0" applyFont="1"/>
    <xf borderId="16" fillId="0" fontId="7" numFmtId="0" xfId="0" applyAlignment="1" applyBorder="1" applyFont="1">
      <alignment horizontal="left" readingOrder="0"/>
    </xf>
    <xf borderId="16" fillId="0" fontId="3" numFmtId="0" xfId="0" applyBorder="1" applyFont="1"/>
    <xf borderId="16" fillId="0" fontId="6" numFmtId="2" xfId="0" applyAlignment="1" applyBorder="1" applyFont="1" applyNumberFormat="1">
      <alignment horizontal="center" readingOrder="0"/>
    </xf>
    <xf borderId="16" fillId="0" fontId="6" numFmtId="0" xfId="0" applyAlignment="1" applyBorder="1" applyFont="1">
      <alignment horizontal="center" readingOrder="0"/>
    </xf>
    <xf borderId="17" fillId="0" fontId="7" numFmtId="0" xfId="0" applyAlignment="1" applyBorder="1" applyFont="1">
      <alignment horizontal="left" readingOrder="0"/>
    </xf>
    <xf borderId="17" fillId="0" fontId="3" numFmtId="0" xfId="0" applyBorder="1" applyFont="1"/>
    <xf borderId="17" fillId="0" fontId="6" numFmtId="2" xfId="0" applyAlignment="1" applyBorder="1" applyFont="1" applyNumberFormat="1">
      <alignment horizontal="center" readingOrder="0"/>
    </xf>
    <xf borderId="17" fillId="0" fontId="6" numFmtId="0" xfId="0" applyAlignment="1" applyBorder="1" applyFont="1">
      <alignment horizontal="center" readingOrder="0"/>
    </xf>
    <xf borderId="17" fillId="0" fontId="16" numFmtId="9" xfId="0" applyAlignment="1" applyBorder="1" applyFont="1" applyNumberFormat="1">
      <alignment horizontal="center" readingOrder="0"/>
    </xf>
    <xf borderId="17" fillId="0" fontId="16" numFmtId="0" xfId="0" applyAlignment="1" applyBorder="1" applyFont="1">
      <alignment horizontal="center" readingOrder="0"/>
    </xf>
    <xf borderId="0" fillId="0" fontId="17" numFmtId="0" xfId="0" applyFont="1"/>
    <xf borderId="0" fillId="0" fontId="12" numFmtId="0" xfId="0" applyAlignment="1" applyFont="1">
      <alignment horizontal="center" readingOrder="0" vertical="center"/>
    </xf>
    <xf borderId="18" fillId="0" fontId="3" numFmtId="0" xfId="0" applyBorder="1" applyFont="1"/>
    <xf borderId="18" fillId="0" fontId="12" numFmtId="0" xfId="0" applyAlignment="1" applyBorder="1" applyFont="1">
      <alignment horizontal="center" readingOrder="0"/>
    </xf>
    <xf borderId="19" fillId="0" fontId="12" numFmtId="0" xfId="0" applyAlignment="1" applyBorder="1" applyFont="1">
      <alignment horizontal="center" readingOrder="0"/>
    </xf>
    <xf borderId="20" fillId="0" fontId="12" numFmtId="0" xfId="0" applyAlignment="1" applyBorder="1" applyFont="1">
      <alignment horizontal="center" readingOrder="0" shrinkToFit="0" vertical="center" wrapText="1"/>
    </xf>
    <xf borderId="20" fillId="0" fontId="12" numFmtId="0" xfId="0" applyAlignment="1" applyBorder="1" applyFont="1">
      <alignment horizontal="center" readingOrder="0" vertical="center"/>
    </xf>
    <xf borderId="19" fillId="0" fontId="12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1" fillId="0" fontId="11" numFmtId="0" xfId="0" applyAlignment="1" applyBorder="1" applyFont="1">
      <alignment horizontal="center" readingOrder="0"/>
    </xf>
    <xf borderId="22" fillId="0" fontId="11" numFmtId="0" xfId="0" applyAlignment="1" applyBorder="1" applyFont="1">
      <alignment horizontal="center" readingOrder="0"/>
    </xf>
    <xf borderId="22" fillId="0" fontId="11" numFmtId="0" xfId="0" applyAlignment="1" applyBorder="1" applyFont="1">
      <alignment readingOrder="0"/>
    </xf>
    <xf borderId="22" fillId="0" fontId="3" numFmtId="0" xfId="0" applyBorder="1" applyFont="1"/>
    <xf borderId="23" fillId="0" fontId="3" numFmtId="0" xfId="0" applyBorder="1" applyFont="1"/>
    <xf borderId="22" fillId="0" fontId="11" numFmtId="0" xfId="0" applyAlignment="1" applyBorder="1" applyFont="1">
      <alignment horizontal="left" vertical="center"/>
    </xf>
    <xf borderId="23" fillId="0" fontId="11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24" fillId="0" fontId="11" numFmtId="0" xfId="0" applyAlignment="1" applyBorder="1" applyFont="1">
      <alignment horizontal="center" readingOrder="0" vertical="center"/>
    </xf>
    <xf borderId="25" fillId="0" fontId="3" numFmtId="0" xfId="0" applyBorder="1" applyFont="1"/>
    <xf borderId="25" fillId="0" fontId="18" numFmtId="4" xfId="0" applyAlignment="1" applyBorder="1" applyFont="1" applyNumberFormat="1">
      <alignment horizontal="center" readingOrder="0" vertical="center"/>
    </xf>
    <xf borderId="26" fillId="0" fontId="11" numFmtId="4" xfId="0" applyAlignment="1" applyBorder="1" applyFont="1" applyNumberFormat="1">
      <alignment horizontal="center" readingOrder="0" vertical="center"/>
    </xf>
    <xf borderId="26" fillId="0" fontId="11" numFmtId="0" xfId="0" applyAlignment="1" applyBorder="1" applyFont="1">
      <alignment horizontal="left" vertical="center"/>
    </xf>
    <xf borderId="26" fillId="0" fontId="11" numFmtId="9" xfId="0" applyAlignment="1" applyBorder="1" applyFont="1" applyNumberFormat="1">
      <alignment horizontal="center" readingOrder="0" vertical="center"/>
    </xf>
    <xf borderId="26" fillId="0" fontId="11" numFmtId="0" xfId="0" applyAlignment="1" applyBorder="1" applyFont="1">
      <alignment horizontal="center" readingOrder="0" vertical="center"/>
    </xf>
    <xf borderId="27" fillId="0" fontId="11" numFmtId="167" xfId="0" applyAlignment="1" applyBorder="1" applyFont="1" applyNumberFormat="1">
      <alignment horizontal="center" readingOrder="0" vertical="center"/>
    </xf>
    <xf borderId="26" fillId="0" fontId="11" numFmtId="4" xfId="0" applyAlignment="1" applyBorder="1" applyFont="1" applyNumberFormat="1">
      <alignment horizontal="center" vertical="center"/>
    </xf>
    <xf borderId="27" fillId="0" fontId="11" numFmtId="0" xfId="0" applyAlignment="1" applyBorder="1" applyFont="1">
      <alignment horizontal="left" vertical="center"/>
    </xf>
    <xf borderId="28" fillId="0" fontId="11" numFmtId="0" xfId="0" applyAlignment="1" applyBorder="1" applyFont="1">
      <alignment horizontal="center" readingOrder="0" vertical="center"/>
    </xf>
    <xf borderId="29" fillId="0" fontId="3" numFmtId="0" xfId="0" applyBorder="1" applyFont="1"/>
    <xf borderId="30" fillId="0" fontId="11" numFmtId="0" xfId="0" applyAlignment="1" applyBorder="1" applyFont="1">
      <alignment horizontal="left" vertical="center"/>
    </xf>
    <xf borderId="30" fillId="0" fontId="11" numFmtId="9" xfId="0" applyAlignment="1" applyBorder="1" applyFont="1" applyNumberFormat="1">
      <alignment horizontal="center" readingOrder="0" vertical="center"/>
    </xf>
    <xf borderId="30" fillId="0" fontId="11" numFmtId="0" xfId="0" applyAlignment="1" applyBorder="1" applyFont="1">
      <alignment horizontal="center" readingOrder="0" vertical="center"/>
    </xf>
    <xf borderId="31" fillId="0" fontId="11" numFmtId="0" xfId="0" applyAlignment="1" applyBorder="1" applyFont="1">
      <alignment horizontal="left" vertical="center"/>
    </xf>
    <xf borderId="28" fillId="0" fontId="11" numFmtId="0" xfId="0" applyAlignment="1" applyBorder="1" applyFont="1">
      <alignment horizontal="center" readingOrder="0" shrinkToFit="0" vertical="center" wrapText="1"/>
    </xf>
    <xf borderId="32" fillId="0" fontId="11" numFmtId="0" xfId="0" applyAlignment="1" applyBorder="1" applyFont="1">
      <alignment horizontal="center" vertical="center"/>
    </xf>
    <xf borderId="33" fillId="0" fontId="3" numFmtId="0" xfId="0" applyBorder="1" applyFont="1"/>
    <xf borderId="34" fillId="0" fontId="11" numFmtId="0" xfId="0" applyAlignment="1" applyBorder="1" applyFont="1">
      <alignment horizontal="left" vertical="center"/>
    </xf>
    <xf borderId="34" fillId="0" fontId="11" numFmtId="164" xfId="0" applyAlignment="1" applyBorder="1" applyFont="1" applyNumberFormat="1">
      <alignment horizontal="center" vertical="center"/>
    </xf>
    <xf borderId="34" fillId="0" fontId="11" numFmtId="0" xfId="0" applyAlignment="1" applyBorder="1" applyFont="1">
      <alignment horizontal="center" vertical="center"/>
    </xf>
    <xf borderId="35" fillId="0" fontId="11" numFmtId="0" xfId="0" applyAlignment="1" applyBorder="1" applyFont="1">
      <alignment horizontal="left" vertical="center"/>
    </xf>
    <xf borderId="11" fillId="0" fontId="6" numFmtId="0" xfId="0" applyAlignment="1" applyBorder="1" applyFont="1">
      <alignment horizontal="right" shrinkToFit="0" wrapText="1"/>
    </xf>
    <xf borderId="11" fillId="0" fontId="19" numFmtId="0" xfId="0" applyAlignment="1" applyBorder="1" applyFont="1">
      <alignment horizontal="center"/>
    </xf>
    <xf borderId="11" fillId="0" fontId="19" numFmtId="4" xfId="0" applyAlignment="1" applyBorder="1" applyFont="1" applyNumberFormat="1">
      <alignment horizontal="center"/>
    </xf>
    <xf borderId="11" fillId="0" fontId="19" numFmtId="0" xfId="0" applyAlignment="1" applyBorder="1" applyFont="1">
      <alignment horizontal="left" vertical="center"/>
    </xf>
    <xf borderId="11" fillId="0" fontId="7" numFmtId="0" xfId="0" applyBorder="1" applyFont="1"/>
    <xf borderId="11" fillId="0" fontId="20" numFmtId="0" xfId="0" applyBorder="1" applyFont="1"/>
    <xf borderId="36" fillId="0" fontId="12" numFmtId="0" xfId="0" applyAlignment="1" applyBorder="1" applyFont="1">
      <alignment horizontal="center" readingOrder="0" vertical="center"/>
    </xf>
    <xf borderId="37" fillId="0" fontId="3" numFmtId="0" xfId="0" applyBorder="1" applyFont="1"/>
    <xf borderId="37" fillId="0" fontId="12" numFmtId="0" xfId="0" applyAlignment="1" applyBorder="1" applyFont="1">
      <alignment horizontal="center" readingOrder="0" shrinkToFit="0" vertical="center" wrapText="1"/>
    </xf>
    <xf borderId="38" fillId="0" fontId="12" numFmtId="0" xfId="0" applyAlignment="1" applyBorder="1" applyFont="1">
      <alignment horizontal="center" readingOrder="0" shrinkToFit="0" vertical="center" wrapText="1"/>
    </xf>
    <xf borderId="38" fillId="0" fontId="12" numFmtId="0" xfId="0" applyAlignment="1" applyBorder="1" applyFont="1">
      <alignment horizontal="center" shrinkToFit="0" vertical="center" wrapText="1"/>
    </xf>
    <xf borderId="39" fillId="0" fontId="12" numFmtId="0" xfId="0" applyAlignment="1" applyBorder="1" applyFont="1">
      <alignment horizontal="center" shrinkToFit="0" vertical="center" wrapText="1"/>
    </xf>
    <xf borderId="36" fillId="0" fontId="21" numFmtId="0" xfId="0" applyBorder="1" applyFont="1"/>
    <xf borderId="36" fillId="0" fontId="3" numFmtId="0" xfId="0" applyBorder="1" applyFont="1"/>
    <xf borderId="25" fillId="0" fontId="11" numFmtId="168" xfId="0" applyAlignment="1" applyBorder="1" applyFont="1" applyNumberFormat="1">
      <alignment horizontal="center" vertical="center"/>
    </xf>
    <xf borderId="26" fillId="0" fontId="11" numFmtId="168" xfId="0" applyAlignment="1" applyBorder="1" applyFont="1" applyNumberFormat="1">
      <alignment horizontal="center" vertical="center"/>
    </xf>
    <xf borderId="26" fillId="0" fontId="11" numFmtId="1" xfId="0" applyAlignment="1" applyBorder="1" applyFont="1" applyNumberFormat="1">
      <alignment horizontal="center" readingOrder="0" vertical="center"/>
    </xf>
    <xf borderId="27" fillId="0" fontId="11" numFmtId="169" xfId="0" applyAlignment="1" applyBorder="1" applyFont="1" applyNumberFormat="1">
      <alignment horizontal="center" vertical="center"/>
    </xf>
    <xf borderId="26" fillId="0" fontId="11" numFmtId="2" xfId="0" applyAlignment="1" applyBorder="1" applyFont="1" applyNumberFormat="1">
      <alignment horizontal="center" vertical="center"/>
    </xf>
    <xf borderId="26" fillId="0" fontId="11" numFmtId="0" xfId="0" applyAlignment="1" applyBorder="1" applyFont="1">
      <alignment horizontal="left" readingOrder="0" vertical="center"/>
    </xf>
    <xf borderId="26" fillId="0" fontId="11" numFmtId="0" xfId="0" applyBorder="1" applyFont="1"/>
    <xf borderId="27" fillId="0" fontId="11" numFmtId="2" xfId="0" applyAlignment="1" applyBorder="1" applyFont="1" applyNumberFormat="1">
      <alignment horizontal="center" vertical="center"/>
    </xf>
    <xf borderId="29" fillId="0" fontId="11" numFmtId="168" xfId="0" applyAlignment="1" applyBorder="1" applyFont="1" applyNumberFormat="1">
      <alignment horizontal="center" vertical="center"/>
    </xf>
    <xf borderId="30" fillId="0" fontId="11" numFmtId="168" xfId="0" applyAlignment="1" applyBorder="1" applyFont="1" applyNumberFormat="1">
      <alignment horizontal="center" readingOrder="0" vertical="center"/>
    </xf>
    <xf borderId="30" fillId="0" fontId="11" numFmtId="1" xfId="0" applyAlignment="1" applyBorder="1" applyFont="1" applyNumberFormat="1">
      <alignment horizontal="center" readingOrder="0" vertical="center"/>
    </xf>
    <xf borderId="30" fillId="0" fontId="11" numFmtId="168" xfId="0" applyAlignment="1" applyBorder="1" applyFont="1" applyNumberFormat="1">
      <alignment horizontal="center" vertical="center"/>
    </xf>
    <xf borderId="31" fillId="0" fontId="11" numFmtId="169" xfId="0" applyAlignment="1" applyBorder="1" applyFont="1" applyNumberFormat="1">
      <alignment horizontal="center" vertical="center"/>
    </xf>
    <xf borderId="30" fillId="0" fontId="11" numFmtId="2" xfId="0" applyAlignment="1" applyBorder="1" applyFont="1" applyNumberFormat="1">
      <alignment horizontal="center" vertical="center"/>
    </xf>
    <xf borderId="30" fillId="0" fontId="11" numFmtId="0" xfId="0" applyAlignment="1" applyBorder="1" applyFont="1">
      <alignment horizontal="left" readingOrder="0" vertical="center"/>
    </xf>
    <xf borderId="30" fillId="0" fontId="11" numFmtId="0" xfId="0" applyBorder="1" applyFont="1"/>
    <xf borderId="31" fillId="0" fontId="11" numFmtId="2" xfId="0" applyAlignment="1" applyBorder="1" applyFont="1" applyNumberFormat="1">
      <alignment horizontal="center" vertical="center"/>
    </xf>
    <xf borderId="32" fillId="0" fontId="11" numFmtId="0" xfId="0" applyAlignment="1" applyBorder="1" applyFont="1">
      <alignment horizontal="center" readingOrder="0" vertical="center"/>
    </xf>
    <xf borderId="33" fillId="0" fontId="11" numFmtId="168" xfId="0" applyAlignment="1" applyBorder="1" applyFont="1" applyNumberFormat="1">
      <alignment horizontal="center" vertical="center"/>
    </xf>
    <xf borderId="34" fillId="0" fontId="11" numFmtId="168" xfId="0" applyAlignment="1" applyBorder="1" applyFont="1" applyNumberFormat="1">
      <alignment horizontal="center" vertical="center"/>
    </xf>
    <xf borderId="34" fillId="0" fontId="11" numFmtId="1" xfId="0" applyAlignment="1" applyBorder="1" applyFont="1" applyNumberFormat="1">
      <alignment horizontal="center" readingOrder="0" vertical="center"/>
    </xf>
    <xf borderId="35" fillId="0" fontId="11" numFmtId="169" xfId="0" applyAlignment="1" applyBorder="1" applyFont="1" applyNumberFormat="1">
      <alignment horizontal="center" vertical="center"/>
    </xf>
    <xf borderId="34" fillId="0" fontId="11" numFmtId="2" xfId="0" applyAlignment="1" applyBorder="1" applyFont="1" applyNumberFormat="1">
      <alignment horizontal="center" vertical="center"/>
    </xf>
    <xf borderId="34" fillId="0" fontId="11" numFmtId="0" xfId="0" applyAlignment="1" applyBorder="1" applyFont="1">
      <alignment horizontal="left" readingOrder="0" vertical="center"/>
    </xf>
    <xf borderId="34" fillId="0" fontId="11" numFmtId="0" xfId="0" applyBorder="1" applyFont="1"/>
    <xf borderId="35" fillId="0" fontId="11" numFmtId="2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center"/>
    </xf>
    <xf borderId="11" fillId="0" fontId="6" numFmtId="0" xfId="0" applyBorder="1" applyFont="1"/>
    <xf borderId="11" fillId="0" fontId="6" numFmtId="1" xfId="0" applyAlignment="1" applyBorder="1" applyFont="1" applyNumberFormat="1">
      <alignment horizontal="center"/>
    </xf>
    <xf borderId="11" fillId="0" fontId="6" numFmtId="165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left" readingOrder="0" vertical="center"/>
    </xf>
    <xf borderId="11" fillId="0" fontId="6" numFmtId="2" xfId="0" applyAlignment="1" applyBorder="1" applyFont="1" applyNumberFormat="1">
      <alignment horizontal="center" vertical="center"/>
    </xf>
    <xf borderId="11" fillId="0" fontId="12" numFmtId="0" xfId="0" applyAlignment="1" applyBorder="1" applyFont="1">
      <alignment horizontal="center" readingOrder="0" vertical="center"/>
    </xf>
    <xf borderId="40" fillId="0" fontId="3" numFmtId="0" xfId="0" applyBorder="1" applyFont="1"/>
    <xf borderId="40" fillId="0" fontId="12" numFmtId="0" xfId="0" applyAlignment="1" applyBorder="1" applyFont="1">
      <alignment horizontal="center" readingOrder="0"/>
    </xf>
    <xf borderId="41" fillId="0" fontId="12" numFmtId="0" xfId="0" applyAlignment="1" applyBorder="1" applyFont="1">
      <alignment horizontal="center" readingOrder="0"/>
    </xf>
    <xf borderId="42" fillId="0" fontId="12" numFmtId="0" xfId="0" applyAlignment="1" applyBorder="1" applyFont="1">
      <alignment horizontal="center" readingOrder="0" shrinkToFit="0" vertical="center" wrapText="1"/>
    </xf>
    <xf borderId="42" fillId="0" fontId="12" numFmtId="0" xfId="0" applyAlignment="1" applyBorder="1" applyFont="1">
      <alignment horizontal="center" vertical="center"/>
    </xf>
    <xf borderId="41" fillId="0" fontId="12" numFmtId="0" xfId="0" applyAlignment="1" applyBorder="1" applyFont="1">
      <alignment horizontal="center" readingOrder="0" shrinkToFit="0" vertical="center" wrapText="1"/>
    </xf>
    <xf borderId="21" fillId="0" fontId="21" numFmtId="0" xfId="0" applyAlignment="1" applyBorder="1" applyFont="1">
      <alignment horizontal="center" readingOrder="0"/>
    </xf>
    <xf borderId="22" fillId="0" fontId="21" numFmtId="0" xfId="0" applyAlignment="1" applyBorder="1" applyFont="1">
      <alignment horizontal="center" readingOrder="0"/>
    </xf>
    <xf borderId="22" fillId="0" fontId="21" numFmtId="0" xfId="0" applyAlignment="1" applyBorder="1" applyFont="1">
      <alignment readingOrder="0"/>
    </xf>
    <xf borderId="22" fillId="0" fontId="11" numFmtId="0" xfId="0" applyBorder="1" applyFont="1"/>
    <xf borderId="25" fillId="0" fontId="18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horizontal="center" readingOrder="0" vertical="center"/>
    </xf>
    <xf borderId="26" fillId="0" fontId="11" numFmtId="0" xfId="0" applyAlignment="1" applyBorder="1" applyFont="1">
      <alignment horizontal="center" vertical="center"/>
    </xf>
    <xf borderId="31" fillId="0" fontId="11" numFmtId="167" xfId="0" applyAlignment="1" applyBorder="1" applyFont="1" applyNumberFormat="1">
      <alignment horizontal="center" vertical="center"/>
    </xf>
    <xf borderId="30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readingOrder="0" vertical="center"/>
    </xf>
    <xf borderId="34" fillId="0" fontId="11" numFmtId="0" xfId="0" applyAlignment="1" applyBorder="1" applyFont="1">
      <alignment horizontal="center" vertical="center"/>
    </xf>
    <xf borderId="35" fillId="0" fontId="11" numFmtId="167" xfId="0" applyAlignment="1" applyBorder="1" applyFont="1" applyNumberFormat="1">
      <alignment horizontal="center" vertical="center"/>
    </xf>
    <xf borderId="11" fillId="0" fontId="6" numFmtId="0" xfId="0" applyAlignment="1" applyBorder="1" applyFont="1">
      <alignment horizontal="left" vertical="center"/>
    </xf>
    <xf borderId="27" fillId="0" fontId="11" numFmtId="167" xfId="0" applyAlignment="1" applyBorder="1" applyFont="1" applyNumberFormat="1">
      <alignment horizontal="center" vertical="center"/>
    </xf>
    <xf borderId="26" fillId="0" fontId="11" numFmtId="9" xfId="0" applyAlignment="1" applyBorder="1" applyFont="1" applyNumberFormat="1">
      <alignment horizontal="center" vertical="center"/>
    </xf>
    <xf borderId="24" fillId="0" fontId="11" numFmtId="0" xfId="0" applyAlignment="1" applyBorder="1" applyFont="1">
      <alignment horizontal="center" vertical="center"/>
    </xf>
    <xf borderId="21" fillId="0" fontId="11" numFmtId="0" xfId="0" applyAlignment="1" applyBorder="1" applyFont="1">
      <alignment horizontal="center"/>
    </xf>
    <xf borderId="22" fillId="0" fontId="11" numFmtId="0" xfId="0" applyAlignment="1" applyBorder="1" applyFont="1">
      <alignment horizontal="center"/>
    </xf>
    <xf borderId="25" fillId="0" fontId="11" numFmtId="0" xfId="0" applyAlignment="1" applyBorder="1" applyFont="1">
      <alignment horizontal="center" readingOrder="0" vertical="center"/>
    </xf>
    <xf borderId="31" fillId="0" fontId="11" numFmtId="1" xfId="0" applyAlignment="1" applyBorder="1" applyFont="1" applyNumberFormat="1">
      <alignment horizontal="center" readingOrder="0" vertical="center"/>
    </xf>
    <xf borderId="25" fillId="0" fontId="11" numFmtId="0" xfId="0" applyAlignment="1" applyBorder="1" applyFont="1">
      <alignment horizontal="center" vertical="center"/>
    </xf>
    <xf borderId="31" fillId="0" fontId="11" numFmtId="1" xfId="0" applyAlignment="1" applyBorder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left" vertical="center"/>
    </xf>
    <xf borderId="0" fillId="0" fontId="11" numFmtId="1" xfId="0" applyAlignment="1" applyFont="1" applyNumberFormat="1">
      <alignment horizontal="center" vertical="center"/>
    </xf>
    <xf borderId="11" fillId="0" fontId="22" numFmtId="0" xfId="0" applyAlignment="1" applyBorder="1" applyFont="1">
      <alignment readingOrder="0"/>
    </xf>
    <xf borderId="11" fillId="0" fontId="0" numFmtId="0" xfId="0" applyAlignment="1" applyBorder="1" applyFont="1">
      <alignment horizontal="center"/>
    </xf>
    <xf borderId="0" fillId="0" fontId="0" numFmtId="0" xfId="0" applyAlignment="1" applyFont="1">
      <alignment horizontal="center" readingOrder="0"/>
    </xf>
    <xf borderId="9" fillId="0" fontId="0" numFmtId="0" xfId="0" applyAlignment="1" applyBorder="1" applyFont="1">
      <alignment horizontal="center"/>
    </xf>
    <xf borderId="12" fillId="0" fontId="11" numFmtId="9" xfId="0" applyAlignment="1" applyBorder="1" applyFont="1" applyNumberFormat="1">
      <alignment horizontal="center" readingOrder="0" vertical="center"/>
    </xf>
    <xf borderId="34" fillId="0" fontId="11" numFmtId="9" xfId="0" applyAlignment="1" applyBorder="1" applyFont="1" applyNumberForma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0" fontId="18" numFmtId="0" xfId="0" applyAlignment="1" applyFont="1">
      <alignment horizontal="center" readingOrder="0" vertical="center"/>
    </xf>
    <xf borderId="0" fillId="0" fontId="11" numFmtId="167" xfId="0" applyAlignment="1" applyFont="1" applyNumberFormat="1">
      <alignment horizontal="center" vertical="center"/>
    </xf>
    <xf borderId="12" fillId="0" fontId="11" numFmtId="10" xfId="0" applyAlignment="1" applyBorder="1" applyFont="1" applyNumberFormat="1">
      <alignment horizontal="center" readingOrder="0" vertical="center"/>
    </xf>
    <xf borderId="34" fillId="0" fontId="11" numFmtId="168" xfId="0" applyAlignment="1" applyBorder="1" applyFont="1" applyNumberFormat="1">
      <alignment horizontal="center" readingOrder="0" vertical="center"/>
    </xf>
    <xf borderId="28" fillId="0" fontId="11" numFmtId="0" xfId="0" applyAlignment="1" applyBorder="1" applyFont="1">
      <alignment horizontal="center" vertical="center"/>
    </xf>
    <xf borderId="30" fillId="0" fontId="11" numFmtId="164" xfId="0" applyAlignment="1" applyBorder="1" applyFont="1" applyNumberFormat="1">
      <alignment horizontal="center" vertical="center"/>
    </xf>
    <xf borderId="30" fillId="0" fontId="11" numFmtId="0" xfId="0" applyAlignment="1" applyBorder="1" applyFont="1">
      <alignment horizontal="center" vertical="center"/>
    </xf>
    <xf borderId="0" fillId="0" fontId="23" numFmtId="0" xfId="0" applyAlignment="1" applyFont="1">
      <alignment readingOrder="0"/>
    </xf>
    <xf borderId="9" fillId="0" fontId="24" numFmtId="0" xfId="0" applyAlignment="1" applyBorder="1" applyFont="1">
      <alignment horizontal="center" readingOrder="0"/>
    </xf>
    <xf borderId="24" fillId="0" fontId="25" numFmtId="0" xfId="0" applyAlignment="1" applyBorder="1" applyFont="1">
      <alignment horizontal="center"/>
    </xf>
    <xf borderId="26" fillId="5" fontId="26" numFmtId="4" xfId="0" applyAlignment="1" applyBorder="1" applyFill="1" applyFont="1" applyNumberFormat="1">
      <alignment horizontal="center"/>
    </xf>
    <xf borderId="28" fillId="6" fontId="25" numFmtId="0" xfId="0" applyAlignment="1" applyBorder="1" applyFill="1" applyFont="1">
      <alignment horizontal="center"/>
    </xf>
    <xf borderId="26" fillId="6" fontId="26" numFmtId="4" xfId="0" applyAlignment="1" applyBorder="1" applyFont="1" applyNumberFormat="1">
      <alignment horizontal="center"/>
    </xf>
    <xf borderId="28" fillId="0" fontId="25" numFmtId="0" xfId="0" applyAlignment="1" applyBorder="1" applyFont="1">
      <alignment horizontal="center" shrinkToFit="0" wrapText="1"/>
    </xf>
    <xf borderId="30" fillId="6" fontId="25" numFmtId="4" xfId="0" applyAlignment="1" applyBorder="1" applyFont="1" applyNumberFormat="1">
      <alignment horizontal="center"/>
    </xf>
    <xf borderId="0" fillId="7" fontId="3" numFmtId="0" xfId="0" applyFill="1" applyFont="1"/>
    <xf borderId="0" fillId="0" fontId="5" numFmtId="0" xfId="0" applyAlignment="1" applyFont="1">
      <alignment horizontal="center"/>
    </xf>
    <xf borderId="0" fillId="0" fontId="0" numFmtId="0" xfId="0" applyAlignment="1" applyFont="1">
      <alignment horizontal="center"/>
    </xf>
    <xf borderId="0" fillId="0" fontId="15" numFmtId="0" xfId="0" applyAlignment="1" applyFont="1">
      <alignment vertical="bottom"/>
    </xf>
    <xf borderId="0" fillId="0" fontId="0" numFmtId="0" xfId="0" applyAlignment="1" applyFont="1">
      <alignment horizontal="center" readingOrder="0" vertical="center"/>
    </xf>
    <xf borderId="0" fillId="0" fontId="0" numFmtId="2" xfId="0" applyAlignment="1" applyFont="1" applyNumberFormat="1">
      <alignment horizontal="center" vertical="center"/>
    </xf>
    <xf borderId="0" fillId="0" fontId="15" numFmtId="0" xfId="0" applyAlignment="1" applyFont="1">
      <alignment horizontal="right" vertical="bottom"/>
    </xf>
    <xf borderId="0" fillId="0" fontId="0" numFmtId="0" xfId="0" applyAlignment="1" applyFont="1">
      <alignment horizontal="center" vertical="center"/>
    </xf>
    <xf borderId="0" fillId="0" fontId="5" numFmtId="0" xfId="0" applyAlignment="1" applyFont="1">
      <alignment horizontal="right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12">
    <dxf>
      <font>
        <b/>
        <color rgb="FF321E13"/>
      </font>
      <fill>
        <patternFill patternType="solid">
          <fgColor rgb="FFD7D0C6"/>
          <bgColor rgb="FFD7D0C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CDA"/>
          <bgColor rgb="FFFFFCDA"/>
        </patternFill>
      </fill>
      <border/>
    </dxf>
    <dxf>
      <font>
        <color rgb="FF000000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color rgb="FFD7D0C6"/>
      </font>
      <fill>
        <patternFill patternType="none"/>
      </fill>
      <border/>
    </dxf>
    <dxf>
      <font>
        <color rgb="FFD7D0C6"/>
      </font>
      <fill>
        <patternFill patternType="solid">
          <fgColor rgb="FFFFFCDA"/>
          <bgColor rgb="FFFFFCDA"/>
        </patternFill>
      </fill>
      <border/>
    </dxf>
    <dxf>
      <font>
        <b/>
        <color rgb="FF321E13"/>
      </font>
      <fill>
        <patternFill patternType="solid">
          <fgColor rgb="FF9E9282"/>
          <bgColor rgb="FF9E9282"/>
        </patternFill>
      </fill>
      <border/>
    </dxf>
    <dxf>
      <font>
        <color rgb="FFBFBFBF"/>
      </font>
      <fill>
        <patternFill patternType="solid">
          <fgColor rgb="FFFFFCDA"/>
          <bgColor rgb="FFFFFCDA"/>
        </patternFill>
      </fill>
      <border/>
    </dxf>
    <dxf>
      <font>
        <b/>
        <color rgb="FF321E13"/>
      </font>
      <fill>
        <patternFill patternType="solid">
          <fgColor rgb="FF9E928A"/>
          <bgColor rgb="FF9E928A"/>
        </patternFill>
      </fill>
      <border/>
    </dxf>
    <dxf>
      <font>
        <color rgb="FFBFBFBF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voordeelkruiden.nl/ancho-chili-peper/?attribute_pa_verpakking=zak-200-gram" TargetMode="External"/><Relationship Id="rId3" Type="http://schemas.openxmlformats.org/officeDocument/2006/relationships/hyperlink" Target="https://www.kevinkos.com/post/homemade-coca-cola" TargetMode="Externa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20.43"/>
    <col customWidth="1" min="3" max="3" width="29.0"/>
    <col customWidth="1" min="12" max="12" width="17.86"/>
  </cols>
  <sheetData>
    <row r="1">
      <c r="A1" s="1" t="s">
        <v>0</v>
      </c>
      <c r="O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>
      <c r="A3" s="3" t="s">
        <v>1</v>
      </c>
      <c r="B3" s="3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3"/>
      <c r="B4" s="4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6">
      <c r="A6" s="5" t="s">
        <v>4</v>
      </c>
      <c r="B6" s="6"/>
      <c r="C6" s="7"/>
      <c r="D6" s="8" t="s">
        <v>5</v>
      </c>
      <c r="E6" s="6"/>
      <c r="F6" s="6"/>
      <c r="G6" s="9"/>
      <c r="H6" s="10" t="s">
        <v>6</v>
      </c>
      <c r="I6" s="6"/>
      <c r="J6" s="6"/>
      <c r="K6" s="6"/>
      <c r="L6" s="9"/>
    </row>
    <row r="7">
      <c r="A7" s="11" t="s">
        <v>7</v>
      </c>
      <c r="B7" s="12" t="s">
        <v>8</v>
      </c>
      <c r="C7" s="13" t="s">
        <v>9</v>
      </c>
      <c r="D7" s="12" t="s">
        <v>10</v>
      </c>
      <c r="E7" s="12" t="s">
        <v>11</v>
      </c>
      <c r="F7" s="12" t="s">
        <v>12</v>
      </c>
      <c r="G7" s="13" t="s">
        <v>13</v>
      </c>
      <c r="H7" s="12" t="s">
        <v>10</v>
      </c>
      <c r="I7" s="12" t="s">
        <v>11</v>
      </c>
      <c r="J7" s="12" t="s">
        <v>12</v>
      </c>
      <c r="K7" s="12" t="s">
        <v>13</v>
      </c>
      <c r="L7" s="14" t="s">
        <v>14</v>
      </c>
    </row>
    <row r="8">
      <c r="A8" s="15" t="s">
        <v>15</v>
      </c>
      <c r="B8" s="16" t="s">
        <v>16</v>
      </c>
      <c r="C8" s="17" t="str">
        <f t="shared" ref="C8:C29" si="1">concat(MID(A8,6,3),concat(" - ", B8))</f>
        <v>001 - Heisse Hetty</v>
      </c>
      <c r="D8" s="18">
        <f t="shared" ref="D8:D20" si="2">iferror(INDIRECT(CONCATENATE(C8,"!","$G$5")),"")</f>
        <v>1.047866215</v>
      </c>
      <c r="E8" s="18">
        <f t="shared" ref="E8:E20" si="3">iferror(INDIRECT(CONCATENATE(C8,"!","$G$6")),"")</f>
        <v>1.009573243</v>
      </c>
      <c r="F8" s="19">
        <f t="shared" ref="F8:F20" si="4">iferror(INDIRECT(CONCATENATE(C8,"!","$G$7")),"")</f>
        <v>0.05025952552</v>
      </c>
      <c r="G8" s="20">
        <f t="shared" ref="G8:G20" si="5">iferror(INDIRECT(CONCATENATE(C8,"!","$G$8")),"")</f>
        <v>11.878125</v>
      </c>
      <c r="H8" t="str">
        <f t="shared" ref="H8:H29" si="6">iferror(INDIRECT(CONCATENATE(C8,"!","$K$5")),"")</f>
        <v/>
      </c>
      <c r="I8" t="str">
        <f t="shared" ref="I8:I29" si="7">iferror(INDIRECT(CONCATENATE(C8,"!","$K$6")),"")</f>
        <v/>
      </c>
      <c r="J8" s="19" t="str">
        <f t="shared" ref="J8:J29" si="8">iferror(INDIRECT(CONCATENATE(C8,"!","$K$7")),"")</f>
        <v/>
      </c>
      <c r="K8" s="21" t="str">
        <f t="shared" ref="K8:K29" si="9">iferror(INDIRECT(CONCATENATE(C8,"!","$K$8")),"")</f>
        <v/>
      </c>
      <c r="L8" s="22">
        <f t="shared" ref="L8:L29" si="10">iferror(INDIRECT(CONCATENATE(C8,"!","$K$9")),"")</f>
        <v>0</v>
      </c>
    </row>
    <row r="9">
      <c r="A9" s="15" t="s">
        <v>17</v>
      </c>
      <c r="B9" s="23" t="s">
        <v>18</v>
      </c>
      <c r="C9" s="17" t="str">
        <f t="shared" si="1"/>
        <v>002 - Exquise Elise</v>
      </c>
      <c r="D9" s="18">
        <f t="shared" si="2"/>
        <v>1.049337843</v>
      </c>
      <c r="E9" s="18">
        <f t="shared" si="3"/>
        <v>1.002466892</v>
      </c>
      <c r="F9" s="19">
        <f t="shared" si="4"/>
        <v>0.06151812273</v>
      </c>
      <c r="G9" s="20">
        <f t="shared" si="5"/>
        <v>12.228125</v>
      </c>
      <c r="H9" t="str">
        <f t="shared" si="6"/>
        <v/>
      </c>
      <c r="I9" t="str">
        <f t="shared" si="7"/>
        <v/>
      </c>
      <c r="J9" s="19" t="str">
        <f t="shared" si="8"/>
        <v/>
      </c>
      <c r="K9" s="21" t="str">
        <f t="shared" si="9"/>
        <v/>
      </c>
      <c r="L9" s="22">
        <f t="shared" si="10"/>
        <v>0</v>
      </c>
    </row>
    <row r="10">
      <c r="A10" s="15" t="s">
        <v>19</v>
      </c>
      <c r="C10" s="17" t="str">
        <f t="shared" si="1"/>
        <v>003 - </v>
      </c>
      <c r="D10" s="18" t="str">
        <f t="shared" si="2"/>
        <v/>
      </c>
      <c r="E10" s="18" t="str">
        <f t="shared" si="3"/>
        <v/>
      </c>
      <c r="F10" s="19" t="str">
        <f t="shared" si="4"/>
        <v/>
      </c>
      <c r="G10" s="20" t="str">
        <f t="shared" si="5"/>
        <v/>
      </c>
      <c r="H10" t="str">
        <f t="shared" si="6"/>
        <v/>
      </c>
      <c r="I10" t="str">
        <f t="shared" si="7"/>
        <v/>
      </c>
      <c r="J10" s="19" t="str">
        <f t="shared" si="8"/>
        <v/>
      </c>
      <c r="K10" s="21" t="str">
        <f t="shared" si="9"/>
        <v/>
      </c>
      <c r="L10" s="22" t="str">
        <f t="shared" si="10"/>
        <v/>
      </c>
    </row>
    <row r="11">
      <c r="A11" s="15" t="s">
        <v>20</v>
      </c>
      <c r="C11" s="17" t="str">
        <f t="shared" si="1"/>
        <v>004 - </v>
      </c>
      <c r="D11" s="18" t="str">
        <f t="shared" si="2"/>
        <v/>
      </c>
      <c r="E11" s="18" t="str">
        <f t="shared" si="3"/>
        <v/>
      </c>
      <c r="F11" s="19" t="str">
        <f t="shared" si="4"/>
        <v/>
      </c>
      <c r="G11" s="20" t="str">
        <f t="shared" si="5"/>
        <v/>
      </c>
      <c r="H11" t="str">
        <f t="shared" si="6"/>
        <v/>
      </c>
      <c r="I11" t="str">
        <f t="shared" si="7"/>
        <v/>
      </c>
      <c r="J11" s="19" t="str">
        <f t="shared" si="8"/>
        <v/>
      </c>
      <c r="K11" s="21" t="str">
        <f t="shared" si="9"/>
        <v/>
      </c>
      <c r="L11" s="22" t="str">
        <f t="shared" si="10"/>
        <v/>
      </c>
    </row>
    <row r="12">
      <c r="A12" s="15" t="s">
        <v>21</v>
      </c>
      <c r="C12" s="17" t="str">
        <f t="shared" si="1"/>
        <v>005 - </v>
      </c>
      <c r="D12" s="18" t="str">
        <f t="shared" si="2"/>
        <v/>
      </c>
      <c r="E12" s="18" t="str">
        <f t="shared" si="3"/>
        <v/>
      </c>
      <c r="F12" s="19" t="str">
        <f t="shared" si="4"/>
        <v/>
      </c>
      <c r="G12" s="20" t="str">
        <f t="shared" si="5"/>
        <v/>
      </c>
      <c r="H12" t="str">
        <f t="shared" si="6"/>
        <v/>
      </c>
      <c r="I12" t="str">
        <f t="shared" si="7"/>
        <v/>
      </c>
      <c r="J12" s="19" t="str">
        <f t="shared" si="8"/>
        <v/>
      </c>
      <c r="K12" s="21" t="str">
        <f t="shared" si="9"/>
        <v/>
      </c>
      <c r="L12" s="22" t="str">
        <f t="shared" si="10"/>
        <v/>
      </c>
    </row>
    <row r="13">
      <c r="A13" s="15" t="s">
        <v>22</v>
      </c>
      <c r="C13" s="17" t="str">
        <f t="shared" si="1"/>
        <v>006 - </v>
      </c>
      <c r="D13" s="18" t="str">
        <f t="shared" si="2"/>
        <v/>
      </c>
      <c r="E13" s="18" t="str">
        <f t="shared" si="3"/>
        <v/>
      </c>
      <c r="F13" s="19" t="str">
        <f t="shared" si="4"/>
        <v/>
      </c>
      <c r="G13" s="20" t="str">
        <f t="shared" si="5"/>
        <v/>
      </c>
      <c r="H13" t="str">
        <f t="shared" si="6"/>
        <v/>
      </c>
      <c r="I13" t="str">
        <f t="shared" si="7"/>
        <v/>
      </c>
      <c r="J13" s="19" t="str">
        <f t="shared" si="8"/>
        <v/>
      </c>
      <c r="K13" s="21" t="str">
        <f t="shared" si="9"/>
        <v/>
      </c>
      <c r="L13" s="22" t="str">
        <f t="shared" si="10"/>
        <v/>
      </c>
    </row>
    <row r="14">
      <c r="A14" s="15" t="s">
        <v>23</v>
      </c>
      <c r="C14" s="17" t="str">
        <f t="shared" si="1"/>
        <v>007 - </v>
      </c>
      <c r="D14" s="18" t="str">
        <f t="shared" si="2"/>
        <v/>
      </c>
      <c r="E14" s="18" t="str">
        <f t="shared" si="3"/>
        <v/>
      </c>
      <c r="F14" s="19" t="str">
        <f t="shared" si="4"/>
        <v/>
      </c>
      <c r="G14" s="20" t="str">
        <f t="shared" si="5"/>
        <v/>
      </c>
      <c r="H14" t="str">
        <f t="shared" si="6"/>
        <v/>
      </c>
      <c r="I14" t="str">
        <f t="shared" si="7"/>
        <v/>
      </c>
      <c r="J14" s="19" t="str">
        <f t="shared" si="8"/>
        <v/>
      </c>
      <c r="K14" s="21" t="str">
        <f t="shared" si="9"/>
        <v/>
      </c>
      <c r="L14" s="22" t="str">
        <f t="shared" si="10"/>
        <v/>
      </c>
    </row>
    <row r="15">
      <c r="A15" s="15" t="s">
        <v>24</v>
      </c>
      <c r="C15" s="17" t="str">
        <f t="shared" si="1"/>
        <v>008 - </v>
      </c>
      <c r="D15" s="18" t="str">
        <f t="shared" si="2"/>
        <v/>
      </c>
      <c r="E15" s="18" t="str">
        <f t="shared" si="3"/>
        <v/>
      </c>
      <c r="F15" s="19" t="str">
        <f t="shared" si="4"/>
        <v/>
      </c>
      <c r="G15" s="20" t="str">
        <f t="shared" si="5"/>
        <v/>
      </c>
      <c r="H15" t="str">
        <f t="shared" si="6"/>
        <v/>
      </c>
      <c r="I15" t="str">
        <f t="shared" si="7"/>
        <v/>
      </c>
      <c r="J15" s="19" t="str">
        <f t="shared" si="8"/>
        <v/>
      </c>
      <c r="K15" s="21" t="str">
        <f t="shared" si="9"/>
        <v/>
      </c>
      <c r="L15" s="22" t="str">
        <f t="shared" si="10"/>
        <v/>
      </c>
    </row>
    <row r="16">
      <c r="A16" s="15" t="s">
        <v>25</v>
      </c>
      <c r="C16" s="17" t="str">
        <f t="shared" si="1"/>
        <v>009 - </v>
      </c>
      <c r="D16" s="18" t="str">
        <f t="shared" si="2"/>
        <v/>
      </c>
      <c r="E16" s="18" t="str">
        <f t="shared" si="3"/>
        <v/>
      </c>
      <c r="F16" s="19" t="str">
        <f t="shared" si="4"/>
        <v/>
      </c>
      <c r="G16" s="20" t="str">
        <f t="shared" si="5"/>
        <v/>
      </c>
      <c r="H16" t="str">
        <f t="shared" si="6"/>
        <v/>
      </c>
      <c r="I16" t="str">
        <f t="shared" si="7"/>
        <v/>
      </c>
      <c r="J16" s="19" t="str">
        <f t="shared" si="8"/>
        <v/>
      </c>
      <c r="K16" s="21" t="str">
        <f t="shared" si="9"/>
        <v/>
      </c>
      <c r="L16" s="22" t="str">
        <f t="shared" si="10"/>
        <v/>
      </c>
    </row>
    <row r="17">
      <c r="A17" s="15" t="s">
        <v>26</v>
      </c>
      <c r="C17" s="17" t="str">
        <f t="shared" si="1"/>
        <v>010 - </v>
      </c>
      <c r="D17" s="18" t="str">
        <f t="shared" si="2"/>
        <v/>
      </c>
      <c r="E17" s="18" t="str">
        <f t="shared" si="3"/>
        <v/>
      </c>
      <c r="F17" s="19" t="str">
        <f t="shared" si="4"/>
        <v/>
      </c>
      <c r="G17" s="20" t="str">
        <f t="shared" si="5"/>
        <v/>
      </c>
      <c r="H17" t="str">
        <f t="shared" si="6"/>
        <v/>
      </c>
      <c r="I17" t="str">
        <f t="shared" si="7"/>
        <v/>
      </c>
      <c r="J17" s="19" t="str">
        <f t="shared" si="8"/>
        <v/>
      </c>
      <c r="K17" s="21" t="str">
        <f t="shared" si="9"/>
        <v/>
      </c>
      <c r="L17" s="22" t="str">
        <f t="shared" si="10"/>
        <v/>
      </c>
    </row>
    <row r="18">
      <c r="A18" s="15" t="s">
        <v>27</v>
      </c>
      <c r="C18" s="17" t="str">
        <f t="shared" si="1"/>
        <v>011 - </v>
      </c>
      <c r="D18" s="18" t="str">
        <f t="shared" si="2"/>
        <v/>
      </c>
      <c r="E18" s="18" t="str">
        <f t="shared" si="3"/>
        <v/>
      </c>
      <c r="F18" s="19" t="str">
        <f t="shared" si="4"/>
        <v/>
      </c>
      <c r="G18" s="20" t="str">
        <f t="shared" si="5"/>
        <v/>
      </c>
      <c r="H18" t="str">
        <f t="shared" si="6"/>
        <v/>
      </c>
      <c r="I18" t="str">
        <f t="shared" si="7"/>
        <v/>
      </c>
      <c r="J18" s="19" t="str">
        <f t="shared" si="8"/>
        <v/>
      </c>
      <c r="K18" s="21" t="str">
        <f t="shared" si="9"/>
        <v/>
      </c>
      <c r="L18" s="22" t="str">
        <f t="shared" si="10"/>
        <v/>
      </c>
    </row>
    <row r="19">
      <c r="A19" s="15" t="s">
        <v>28</v>
      </c>
      <c r="C19" s="17" t="str">
        <f t="shared" si="1"/>
        <v>012 - </v>
      </c>
      <c r="D19" s="18" t="str">
        <f t="shared" si="2"/>
        <v/>
      </c>
      <c r="E19" s="18" t="str">
        <f t="shared" si="3"/>
        <v/>
      </c>
      <c r="F19" s="19" t="str">
        <f t="shared" si="4"/>
        <v/>
      </c>
      <c r="G19" s="20" t="str">
        <f t="shared" si="5"/>
        <v/>
      </c>
      <c r="H19" t="str">
        <f t="shared" si="6"/>
        <v/>
      </c>
      <c r="I19" t="str">
        <f t="shared" si="7"/>
        <v/>
      </c>
      <c r="J19" s="19" t="str">
        <f t="shared" si="8"/>
        <v/>
      </c>
      <c r="K19" s="21" t="str">
        <f t="shared" si="9"/>
        <v/>
      </c>
      <c r="L19" s="22" t="str">
        <f t="shared" si="10"/>
        <v/>
      </c>
    </row>
    <row r="20">
      <c r="A20" s="15" t="s">
        <v>29</v>
      </c>
      <c r="C20" s="17" t="str">
        <f t="shared" si="1"/>
        <v>013 - </v>
      </c>
      <c r="D20" s="18" t="str">
        <f t="shared" si="2"/>
        <v/>
      </c>
      <c r="E20" s="18" t="str">
        <f t="shared" si="3"/>
        <v/>
      </c>
      <c r="F20" s="19" t="str">
        <f t="shared" si="4"/>
        <v/>
      </c>
      <c r="G20" s="20" t="str">
        <f t="shared" si="5"/>
        <v/>
      </c>
      <c r="H20" t="str">
        <f t="shared" si="6"/>
        <v/>
      </c>
      <c r="I20" t="str">
        <f t="shared" si="7"/>
        <v/>
      </c>
      <c r="J20" s="19" t="str">
        <f t="shared" si="8"/>
        <v/>
      </c>
      <c r="K20" s="21" t="str">
        <f t="shared" si="9"/>
        <v/>
      </c>
      <c r="L20" s="22" t="str">
        <f t="shared" si="10"/>
        <v/>
      </c>
    </row>
    <row r="21">
      <c r="A21" s="15"/>
      <c r="C21" s="17" t="str">
        <f t="shared" si="1"/>
        <v> - </v>
      </c>
      <c r="D21" s="18" t="str">
        <f t="shared" ref="D21:D29" si="11">iferror(INDIRECT(CONCATENATE(C21,"!","$F$5")),"")</f>
        <v/>
      </c>
      <c r="E21" s="18" t="str">
        <f t="shared" ref="E21:E29" si="12">iferror(INDIRECT(CONCATENATE(C21,"!","$F$6")),"")</f>
        <v/>
      </c>
      <c r="F21" s="19" t="str">
        <f t="shared" ref="F21:F29" si="13">iferror(INDIRECT(CONCATENATE(C21,"!","$F$7")),"")</f>
        <v/>
      </c>
      <c r="G21" s="20" t="str">
        <f t="shared" ref="G21:G29" si="14">iferror(INDIRECT(CONCATENATE(C21,"!","$F$8")),"")</f>
        <v/>
      </c>
      <c r="H21" t="str">
        <f t="shared" si="6"/>
        <v/>
      </c>
      <c r="I21" t="str">
        <f t="shared" si="7"/>
        <v/>
      </c>
      <c r="J21" s="19" t="str">
        <f t="shared" si="8"/>
        <v/>
      </c>
      <c r="K21" s="21" t="str">
        <f t="shared" si="9"/>
        <v/>
      </c>
      <c r="L21" s="22" t="str">
        <f t="shared" si="10"/>
        <v/>
      </c>
    </row>
    <row r="22">
      <c r="A22" s="15"/>
      <c r="C22" s="17" t="str">
        <f t="shared" si="1"/>
        <v> - </v>
      </c>
      <c r="D22" s="18" t="str">
        <f t="shared" si="11"/>
        <v/>
      </c>
      <c r="E22" s="18" t="str">
        <f t="shared" si="12"/>
        <v/>
      </c>
      <c r="F22" s="19" t="str">
        <f t="shared" si="13"/>
        <v/>
      </c>
      <c r="G22" s="20" t="str">
        <f t="shared" si="14"/>
        <v/>
      </c>
      <c r="H22" t="str">
        <f t="shared" si="6"/>
        <v/>
      </c>
      <c r="I22" t="str">
        <f t="shared" si="7"/>
        <v/>
      </c>
      <c r="J22" s="19" t="str">
        <f t="shared" si="8"/>
        <v/>
      </c>
      <c r="K22" s="21" t="str">
        <f t="shared" si="9"/>
        <v/>
      </c>
      <c r="L22" s="22" t="str">
        <f t="shared" si="10"/>
        <v/>
      </c>
    </row>
    <row r="23">
      <c r="A23" s="15"/>
      <c r="C23" s="17" t="str">
        <f t="shared" si="1"/>
        <v> - </v>
      </c>
      <c r="D23" s="18" t="str">
        <f t="shared" si="11"/>
        <v/>
      </c>
      <c r="E23" s="18" t="str">
        <f t="shared" si="12"/>
        <v/>
      </c>
      <c r="F23" s="19" t="str">
        <f t="shared" si="13"/>
        <v/>
      </c>
      <c r="G23" s="20" t="str">
        <f t="shared" si="14"/>
        <v/>
      </c>
      <c r="H23" t="str">
        <f t="shared" si="6"/>
        <v/>
      </c>
      <c r="I23" t="str">
        <f t="shared" si="7"/>
        <v/>
      </c>
      <c r="J23" s="19" t="str">
        <f t="shared" si="8"/>
        <v/>
      </c>
      <c r="K23" s="21" t="str">
        <f t="shared" si="9"/>
        <v/>
      </c>
      <c r="L23" s="22" t="str">
        <f t="shared" si="10"/>
        <v/>
      </c>
    </row>
    <row r="24">
      <c r="A24" s="15"/>
      <c r="C24" s="17" t="str">
        <f t="shared" si="1"/>
        <v> - </v>
      </c>
      <c r="D24" s="18" t="str">
        <f t="shared" si="11"/>
        <v/>
      </c>
      <c r="E24" s="18" t="str">
        <f t="shared" si="12"/>
        <v/>
      </c>
      <c r="F24" s="19" t="str">
        <f t="shared" si="13"/>
        <v/>
      </c>
      <c r="G24" s="20" t="str">
        <f t="shared" si="14"/>
        <v/>
      </c>
      <c r="H24" t="str">
        <f t="shared" si="6"/>
        <v/>
      </c>
      <c r="I24" t="str">
        <f t="shared" si="7"/>
        <v/>
      </c>
      <c r="J24" s="19" t="str">
        <f t="shared" si="8"/>
        <v/>
      </c>
      <c r="K24" s="21" t="str">
        <f t="shared" si="9"/>
        <v/>
      </c>
      <c r="L24" s="22" t="str">
        <f t="shared" si="10"/>
        <v/>
      </c>
    </row>
    <row r="25">
      <c r="A25" s="15"/>
      <c r="C25" s="17" t="str">
        <f t="shared" si="1"/>
        <v> - </v>
      </c>
      <c r="D25" s="18" t="str">
        <f t="shared" si="11"/>
        <v/>
      </c>
      <c r="E25" s="18" t="str">
        <f t="shared" si="12"/>
        <v/>
      </c>
      <c r="F25" s="19" t="str">
        <f t="shared" si="13"/>
        <v/>
      </c>
      <c r="G25" s="20" t="str">
        <f t="shared" si="14"/>
        <v/>
      </c>
      <c r="H25" t="str">
        <f t="shared" si="6"/>
        <v/>
      </c>
      <c r="I25" t="str">
        <f t="shared" si="7"/>
        <v/>
      </c>
      <c r="J25" s="19" t="str">
        <f t="shared" si="8"/>
        <v/>
      </c>
      <c r="K25" s="21" t="str">
        <f t="shared" si="9"/>
        <v/>
      </c>
      <c r="L25" s="22" t="str">
        <f t="shared" si="10"/>
        <v/>
      </c>
    </row>
    <row r="26">
      <c r="A26" s="15"/>
      <c r="C26" s="17" t="str">
        <f t="shared" si="1"/>
        <v> - </v>
      </c>
      <c r="D26" s="18" t="str">
        <f t="shared" si="11"/>
        <v/>
      </c>
      <c r="E26" s="18" t="str">
        <f t="shared" si="12"/>
        <v/>
      </c>
      <c r="F26" s="19" t="str">
        <f t="shared" si="13"/>
        <v/>
      </c>
      <c r="G26" s="20" t="str">
        <f t="shared" si="14"/>
        <v/>
      </c>
      <c r="H26" t="str">
        <f t="shared" si="6"/>
        <v/>
      </c>
      <c r="I26" t="str">
        <f t="shared" si="7"/>
        <v/>
      </c>
      <c r="J26" s="19" t="str">
        <f t="shared" si="8"/>
        <v/>
      </c>
      <c r="K26" s="21" t="str">
        <f t="shared" si="9"/>
        <v/>
      </c>
      <c r="L26" s="22" t="str">
        <f t="shared" si="10"/>
        <v/>
      </c>
    </row>
    <row r="27">
      <c r="A27" s="15"/>
      <c r="C27" s="17" t="str">
        <f t="shared" si="1"/>
        <v> - </v>
      </c>
      <c r="D27" s="18" t="str">
        <f t="shared" si="11"/>
        <v/>
      </c>
      <c r="E27" s="18" t="str">
        <f t="shared" si="12"/>
        <v/>
      </c>
      <c r="F27" s="19" t="str">
        <f t="shared" si="13"/>
        <v/>
      </c>
      <c r="G27" s="20" t="str">
        <f t="shared" si="14"/>
        <v/>
      </c>
      <c r="H27" t="str">
        <f t="shared" si="6"/>
        <v/>
      </c>
      <c r="I27" t="str">
        <f t="shared" si="7"/>
        <v/>
      </c>
      <c r="J27" s="19" t="str">
        <f t="shared" si="8"/>
        <v/>
      </c>
      <c r="K27" s="21" t="str">
        <f t="shared" si="9"/>
        <v/>
      </c>
      <c r="L27" s="22" t="str">
        <f t="shared" si="10"/>
        <v/>
      </c>
    </row>
    <row r="28">
      <c r="A28" s="15"/>
      <c r="C28" s="17" t="str">
        <f t="shared" si="1"/>
        <v> - </v>
      </c>
      <c r="D28" s="18" t="str">
        <f t="shared" si="11"/>
        <v/>
      </c>
      <c r="E28" s="18" t="str">
        <f t="shared" si="12"/>
        <v/>
      </c>
      <c r="F28" s="19" t="str">
        <f t="shared" si="13"/>
        <v/>
      </c>
      <c r="G28" s="20" t="str">
        <f t="shared" si="14"/>
        <v/>
      </c>
      <c r="H28" t="str">
        <f t="shared" si="6"/>
        <v/>
      </c>
      <c r="I28" t="str">
        <f t="shared" si="7"/>
        <v/>
      </c>
      <c r="J28" s="19" t="str">
        <f t="shared" si="8"/>
        <v/>
      </c>
      <c r="K28" s="21" t="str">
        <f t="shared" si="9"/>
        <v/>
      </c>
      <c r="L28" s="22" t="str">
        <f t="shared" si="10"/>
        <v/>
      </c>
    </row>
    <row r="29">
      <c r="A29" s="15"/>
      <c r="C29" s="17" t="str">
        <f t="shared" si="1"/>
        <v> - </v>
      </c>
      <c r="D29" s="18" t="str">
        <f t="shared" si="11"/>
        <v/>
      </c>
      <c r="E29" s="18" t="str">
        <f t="shared" si="12"/>
        <v/>
      </c>
      <c r="F29" s="19" t="str">
        <f t="shared" si="13"/>
        <v/>
      </c>
      <c r="G29" s="20" t="str">
        <f t="shared" si="14"/>
        <v/>
      </c>
      <c r="H29" t="str">
        <f t="shared" si="6"/>
        <v/>
      </c>
      <c r="I29" t="str">
        <f t="shared" si="7"/>
        <v/>
      </c>
      <c r="J29" s="19" t="str">
        <f t="shared" si="8"/>
        <v/>
      </c>
      <c r="K29" s="21" t="str">
        <f t="shared" si="9"/>
        <v/>
      </c>
      <c r="L29" s="22" t="str">
        <f t="shared" si="10"/>
        <v/>
      </c>
    </row>
  </sheetData>
  <mergeCells count="4">
    <mergeCell ref="A1:N1"/>
    <mergeCell ref="A6:B6"/>
    <mergeCell ref="D6:G6"/>
    <mergeCell ref="H6:L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16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320.0</v>
      </c>
      <c r="C5" s="45"/>
      <c r="D5" s="45"/>
      <c r="E5" s="46" t="s">
        <v>10</v>
      </c>
      <c r="F5" s="47"/>
      <c r="G5" s="48">
        <f>if(D26=0,"",1+(G8/(258.6-((G8/258.2)*227.1))))</f>
        <v>1.047866215</v>
      </c>
      <c r="H5" s="49"/>
      <c r="I5" s="40"/>
      <c r="J5" s="50" t="s">
        <v>10</v>
      </c>
      <c r="K5" s="51"/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160.0</v>
      </c>
      <c r="C6" s="45"/>
      <c r="D6" s="45"/>
      <c r="E6" s="50" t="s">
        <v>11</v>
      </c>
      <c r="G6" s="48">
        <f>if(D26=0,"",(G5-1)*(1-'001 - Heisse Hetty'!Attenuation)+1)</f>
        <v>1.009573243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0.8</v>
      </c>
      <c r="C7" s="61"/>
      <c r="D7" s="45"/>
      <c r="E7" s="50" t="s">
        <v>12</v>
      </c>
      <c r="G7" s="62">
        <f>if(D26=0,"",(G5-G6)*131.25/100)</f>
        <v>0.05025952552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0.7</v>
      </c>
      <c r="C8" s="45"/>
      <c r="D8" s="45"/>
      <c r="E8" s="56" t="s">
        <v>13</v>
      </c>
      <c r="G8" s="64">
        <f>if(D26=0,"",SUMPRODUCT(D19:D25,F19:F25)*'001 - Heisse Hetty'!Brouwefficientie/'001 - Heisse Hetty'!Volume*100)</f>
        <v>11.878125</v>
      </c>
      <c r="H8" s="65"/>
      <c r="I8" s="40"/>
      <c r="J8" s="66" t="s">
        <v>13</v>
      </c>
      <c r="K8" s="67" t="str">
        <f>if(ISBLANK(K5),"",(-1*616.868)+(1111.14*K5)-(630.272*POWER(K5,2))+(135.997*POWER(K5,3)))</f>
        <v/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('001 - Heisse Hetty'!FG-1)/(1-'001 - Heisse Hetty'!Attenuation)+1</f>
        <v>1.047619048</v>
      </c>
      <c r="C9" s="70"/>
      <c r="D9" s="45"/>
      <c r="E9" s="71" t="s">
        <v>36</v>
      </c>
      <c r="G9" s="72">
        <f>IF(D44=0,"",R44)</f>
        <v>9.824302361</v>
      </c>
      <c r="H9" s="49"/>
      <c r="I9" s="40"/>
      <c r="J9" s="73" t="s">
        <v>14</v>
      </c>
      <c r="K9" s="74">
        <f>iferror(K8/G8*B8,"")</f>
        <v>0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1.00952381</v>
      </c>
      <c r="C10" s="75"/>
      <c r="D10" s="40"/>
      <c r="E10" s="71" t="s">
        <v>37</v>
      </c>
      <c r="G10" s="72">
        <f>if(G26=0,"",1.4922*P26*0.6859*1.97)</f>
        <v>6.009123862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58">
        <v>0.05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(-1*616.868)+(1111.14*'001 - Heisse Hetty'!OG)-(630.272*POWER('001 - Heisse Hetty'!OG,2))+(135.997*POWER('001 - Heisse Hetty'!OG,3))</f>
        <v>11.82131303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'001 - Heisse Hetty'!Plato/100*'001 - Heisse Hetty'!Volume</f>
        <v>37.82820171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D15/F16/'001 - Heisse Hetty'!Brouwefficientie</f>
        <v>67.55036019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60.0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0.8571428571</v>
      </c>
      <c r="I19" s="113"/>
      <c r="J19" s="114">
        <f t="shared" ref="J19:J25" si="3">IF(ISBLANK(D19),"",D19/$B$5*100)</f>
        <v>18.75</v>
      </c>
      <c r="K19" s="110" t="str">
        <f t="shared" ref="K19:K26" si="4">K$18</f>
        <v>kg</v>
      </c>
      <c r="L19" s="114">
        <f t="shared" ref="L19:L25" si="5">IF(ISBLANK(D19),"",D19/$B$5*$B$6)</f>
        <v>30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2.638356542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54</v>
      </c>
      <c r="B20" s="117"/>
      <c r="C20" s="108">
        <f>iferror(VLOOKUP(A20,'Voorraadfiche Grondstoffen'!$A$2:$D$100,4,False),"")</f>
        <v>80</v>
      </c>
      <c r="D20" s="109">
        <v>10.0</v>
      </c>
      <c r="E20" s="118" t="str">
        <f t="shared" si="1"/>
        <v>kg</v>
      </c>
      <c r="F20" s="119">
        <v>0.75</v>
      </c>
      <c r="G20" s="120">
        <v>2.0</v>
      </c>
      <c r="H20" s="113">
        <f t="shared" si="2"/>
        <v>0.1428571429</v>
      </c>
      <c r="I20" s="113"/>
      <c r="J20" s="114">
        <f t="shared" si="3"/>
        <v>3.125</v>
      </c>
      <c r="K20" s="118" t="str">
        <f t="shared" si="4"/>
        <v>kg</v>
      </c>
      <c r="L20" s="114">
        <f t="shared" si="5"/>
        <v>5</v>
      </c>
      <c r="M20" s="121" t="str">
        <f t="shared" si="6"/>
        <v>kg</v>
      </c>
      <c r="N20" s="89"/>
      <c r="O20" s="89">
        <f t="shared" si="7"/>
        <v>1.311088144</v>
      </c>
      <c r="P20" s="105">
        <f>D20/kgperpound*lpergallon/$B$5*O20</f>
        <v>0.3419236149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/>
      <c r="B21" s="117"/>
      <c r="C21" s="108" t="str">
        <f>iferror(VLOOKUP(A21,'Voorraadfiche Grondstoffen'!$A$2:$D$100,4,False),"")</f>
        <v/>
      </c>
      <c r="D21" s="109"/>
      <c r="E21" s="118" t="str">
        <f t="shared" si="1"/>
        <v>kg</v>
      </c>
      <c r="F21" s="119"/>
      <c r="G21" s="120"/>
      <c r="H21" s="113" t="str">
        <f t="shared" si="2"/>
        <v/>
      </c>
      <c r="I21" s="113"/>
      <c r="J21" s="114" t="str">
        <f t="shared" si="3"/>
        <v/>
      </c>
      <c r="K21" s="118" t="str">
        <f t="shared" si="4"/>
        <v>kg</v>
      </c>
      <c r="L21" s="114" t="str">
        <f t="shared" si="5"/>
        <v/>
      </c>
      <c r="M21" s="121" t="str">
        <f t="shared" si="6"/>
        <v>kg</v>
      </c>
      <c r="N21" s="89"/>
      <c r="O21" s="89">
        <f t="shared" si="7"/>
        <v>0.5610512328</v>
      </c>
      <c r="P21" s="105">
        <f>D21/kgperpound*lpergallon/$B$5*O21</f>
        <v>0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/>
      <c r="B22" s="117"/>
      <c r="C22" s="108" t="str">
        <f>iferror(VLOOKUP(A22,'Voorraadfiche Grondstoffen'!$A$2:$D$100,4,False),"")</f>
        <v/>
      </c>
      <c r="D22" s="109"/>
      <c r="E22" s="118" t="str">
        <f t="shared" si="1"/>
        <v>kg</v>
      </c>
      <c r="F22" s="119"/>
      <c r="G22" s="120"/>
      <c r="H22" s="113" t="str">
        <f t="shared" si="2"/>
        <v/>
      </c>
      <c r="I22" s="113"/>
      <c r="J22" s="114" t="str">
        <f t="shared" si="3"/>
        <v/>
      </c>
      <c r="K22" s="118" t="str">
        <f t="shared" si="4"/>
        <v>kg</v>
      </c>
      <c r="L22" s="114" t="str">
        <f t="shared" si="5"/>
        <v/>
      </c>
      <c r="M22" s="121" t="str">
        <f t="shared" si="6"/>
        <v>kg</v>
      </c>
      <c r="N22" s="89"/>
      <c r="O22" s="89">
        <f t="shared" si="7"/>
        <v>0.5610512328</v>
      </c>
      <c r="P22" s="105">
        <f>D22/kgperpound*lpergallon/$B$5*O22</f>
        <v>0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/>
      <c r="B23" s="117"/>
      <c r="C23" s="108" t="str">
        <f>iferror(VLOOKUP(A23,'Voorraadfiche Grondstoffen'!$A$2:$D$100,4,False),"")</f>
        <v/>
      </c>
      <c r="D23" s="109"/>
      <c r="E23" s="118" t="str">
        <f t="shared" si="1"/>
        <v>kg</v>
      </c>
      <c r="F23" s="119"/>
      <c r="G23" s="120"/>
      <c r="H23" s="113" t="str">
        <f t="shared" si="2"/>
        <v/>
      </c>
      <c r="I23" s="113"/>
      <c r="J23" s="114" t="str">
        <f t="shared" si="3"/>
        <v/>
      </c>
      <c r="K23" s="118" t="str">
        <f t="shared" si="4"/>
        <v>kg</v>
      </c>
      <c r="L23" s="114" t="str">
        <f t="shared" si="5"/>
        <v/>
      </c>
      <c r="M23" s="121" t="str">
        <f t="shared" si="6"/>
        <v>kg</v>
      </c>
      <c r="N23" s="89"/>
      <c r="O23" s="89">
        <f t="shared" si="7"/>
        <v>0.5610512328</v>
      </c>
      <c r="P23" s="105">
        <f>D23/kgperpound*lpergallon/$B$5*O23</f>
        <v>0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116"/>
      <c r="B24" s="117"/>
      <c r="C24" s="108" t="str">
        <f>iferror(VLOOKUP(A24,'Voorraadfiche Grondstoffen'!$A$2:$D$100,4,False),"")</f>
        <v/>
      </c>
      <c r="D24" s="109"/>
      <c r="E24" s="118" t="str">
        <f t="shared" si="1"/>
        <v>kg</v>
      </c>
      <c r="F24" s="119"/>
      <c r="G24" s="120"/>
      <c r="H24" s="113" t="str">
        <f t="shared" si="2"/>
        <v/>
      </c>
      <c r="I24" s="113"/>
      <c r="J24" s="114" t="str">
        <f t="shared" si="3"/>
        <v/>
      </c>
      <c r="K24" s="118" t="str">
        <f t="shared" si="4"/>
        <v>kg</v>
      </c>
      <c r="L24" s="114" t="str">
        <f t="shared" si="5"/>
        <v/>
      </c>
      <c r="M24" s="121" t="str">
        <f t="shared" si="6"/>
        <v>kg</v>
      </c>
      <c r="N24" s="89"/>
      <c r="O24" s="89">
        <f t="shared" si="7"/>
        <v>0.5610512328</v>
      </c>
      <c r="P24" s="105">
        <f>D24/kgperpound*lpergallon/$B$5*O24</f>
        <v>0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23"/>
      <c r="B25" s="124"/>
      <c r="C25" s="108" t="str">
        <f>iferror(VLOOKUP(A25,'Voorraadfiche Grondstoffen'!$A$2:$D$100,4,False),"")</f>
        <v/>
      </c>
      <c r="D25" s="109"/>
      <c r="E25" s="125" t="str">
        <f t="shared" si="1"/>
        <v>kg</v>
      </c>
      <c r="F25" s="126"/>
      <c r="G25" s="127"/>
      <c r="H25" s="113" t="str">
        <f t="shared" si="2"/>
        <v/>
      </c>
      <c r="I25" s="113"/>
      <c r="J25" s="114" t="str">
        <f t="shared" si="3"/>
        <v/>
      </c>
      <c r="K25" s="125" t="str">
        <f t="shared" si="4"/>
        <v>kg</v>
      </c>
      <c r="L25" s="114" t="str">
        <f t="shared" si="5"/>
        <v/>
      </c>
      <c r="M25" s="128" t="str">
        <f t="shared" si="6"/>
        <v>kg</v>
      </c>
      <c r="N25" s="89"/>
      <c r="O25" s="89">
        <f t="shared" si="7"/>
        <v>0.5610512328</v>
      </c>
      <c r="P25" s="105">
        <f>D25/kgperpound*lpergallon/$B$5*O25</f>
        <v>0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70</v>
      </c>
      <c r="E26" s="132" t="str">
        <f t="shared" si="1"/>
        <v>kg</v>
      </c>
      <c r="F26" s="133"/>
      <c r="G26" s="134">
        <f>sum(G19:G25)</f>
        <v>5</v>
      </c>
      <c r="H26" s="133"/>
      <c r="I26" s="133"/>
      <c r="J26" s="131">
        <f>SUM(J19:J25)</f>
        <v>21.875</v>
      </c>
      <c r="K26" s="132" t="str">
        <f t="shared" si="4"/>
        <v>kg</v>
      </c>
      <c r="L26" s="131">
        <f>SUM(L19:L25)</f>
        <v>35</v>
      </c>
      <c r="M26" s="132" t="str">
        <f t="shared" si="6"/>
        <v>kg</v>
      </c>
      <c r="N26" s="89"/>
      <c r="O26" s="89"/>
      <c r="P26" s="89">
        <f>SUM(P19:P25)</f>
        <v>2.980280157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2">
        <v>63.0</v>
      </c>
      <c r="E31" s="153">
        <v>45.0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/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50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1.073143503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 t="s">
        <v>76</v>
      </c>
      <c r="B39" s="107"/>
      <c r="C39" s="186">
        <f>iferror(1000*VLOOKUP(A39,'Voorraadfiche Grondstoffen'!$F$2:$I$100,4,False),"")</f>
        <v>4400</v>
      </c>
      <c r="D39" s="112">
        <v>200.0</v>
      </c>
      <c r="E39" s="110" t="str">
        <f t="shared" ref="E39:E44" si="9">E$38</f>
        <v>g</v>
      </c>
      <c r="F39" s="112" t="s">
        <v>77</v>
      </c>
      <c r="G39" s="112">
        <v>30.0</v>
      </c>
      <c r="H39" s="112">
        <v>7.0</v>
      </c>
      <c r="I39" s="187"/>
      <c r="J39" s="188">
        <f>IF(ISBLANK(D39),"",D39/'001 - Heisse Hetty'!Volume*100)</f>
        <v>62.5</v>
      </c>
      <c r="K39" s="110" t="str">
        <f t="shared" ref="K39:K44" si="10">K$38</f>
        <v>g</v>
      </c>
      <c r="L39" s="188">
        <f>IF(ISBLANK(D39),"",D39/'001 - Heisse Hetty'!Volume*$B$6)</f>
        <v>100</v>
      </c>
      <c r="M39" s="115" t="str">
        <f t="shared" ref="M39:M44" si="11">M$38</f>
        <v>g</v>
      </c>
      <c r="N39" s="89"/>
      <c r="O39" s="89">
        <f>D39*ozpergram</f>
        <v>7.054792</v>
      </c>
      <c r="P39" s="89">
        <f t="shared" ref="P39:P43" si="12">(1-POWER(2.71828182845904,((-0.04)*G39)))/4.15</f>
        <v>0.1683869369</v>
      </c>
      <c r="Q39" s="89">
        <f t="shared" ref="Q39:Q43" si="13">P39*$P$37</f>
        <v>0.1807033473</v>
      </c>
      <c r="R39" s="89">
        <f>IF(F39="Leaf", ((H39 *O39) *Q39  * 74.9) / '001 - Heisse Hetty'!Volume*3.785, ((H39 *O39) * (Q39*1.1) * 74.9) / '001 - Heisse Hetty'!Volume*3.785)</f>
        <v>8.696387028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 t="s">
        <v>78</v>
      </c>
      <c r="B40" s="117"/>
      <c r="C40" s="186">
        <f>iferror(1000*VLOOKUP(A40,'Voorraadfiche Grondstoffen'!$F$2:$I$100,4,False),"")</f>
        <v>1800</v>
      </c>
      <c r="D40" s="120">
        <v>200.0</v>
      </c>
      <c r="E40" s="118" t="str">
        <f t="shared" si="9"/>
        <v>g</v>
      </c>
      <c r="F40" s="120" t="s">
        <v>77</v>
      </c>
      <c r="G40" s="120">
        <v>5.0</v>
      </c>
      <c r="H40" s="120">
        <v>3.5</v>
      </c>
      <c r="I40" s="189"/>
      <c r="J40" s="188">
        <f>IF(ISBLANK(D40),"",D40/'001 - Heisse Hetty'!Volume*100)</f>
        <v>62.5</v>
      </c>
      <c r="K40" s="118" t="str">
        <f t="shared" si="10"/>
        <v>g</v>
      </c>
      <c r="L40" s="188">
        <f>IF(ISBLANK(D40),"",D40/'001 - Heisse Hetty'!Volume*$B$6)</f>
        <v>100</v>
      </c>
      <c r="M40" s="121" t="str">
        <f t="shared" si="11"/>
        <v>g</v>
      </c>
      <c r="N40" s="89"/>
      <c r="O40" s="89">
        <f>D40*ozpergram</f>
        <v>7.054792</v>
      </c>
      <c r="P40" s="89">
        <f t="shared" si="12"/>
        <v>0.04367933661</v>
      </c>
      <c r="Q40" s="89">
        <f t="shared" si="13"/>
        <v>0.04687419629</v>
      </c>
      <c r="R40" s="89">
        <f>IF(F40="Leaf", ((H40 *O40) *Q40  * 74.9) / '001 - Heisse Hetty'!Volume*3.785, ((H40 *O40) * (Q40*1.1) * 74.9) / '001 - Heisse Hetty'!Volume*3.785)</f>
        <v>1.127915334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 t="s">
        <v>78</v>
      </c>
      <c r="B41" s="107"/>
      <c r="C41" s="186">
        <f>iferror(1000*VLOOKUP(A41,'Voorraadfiche Grondstoffen'!$F$2:$I$100,4,False),"")</f>
        <v>1800</v>
      </c>
      <c r="D41" s="120">
        <v>800.0</v>
      </c>
      <c r="E41" s="118" t="str">
        <f t="shared" si="9"/>
        <v>g</v>
      </c>
      <c r="F41" s="120" t="s">
        <v>77</v>
      </c>
      <c r="G41" s="120">
        <v>0.0</v>
      </c>
      <c r="H41" s="120">
        <v>0.0</v>
      </c>
      <c r="I41" s="189"/>
      <c r="J41" s="188">
        <f>IF(ISBLANK(D41),"",D41/'001 - Heisse Hetty'!Volume*100)</f>
        <v>250</v>
      </c>
      <c r="K41" s="118" t="str">
        <f t="shared" si="10"/>
        <v>g</v>
      </c>
      <c r="L41" s="188">
        <f>IF(ISBLANK(D41),"",D41/'001 - Heisse Hetty'!Volume*$B$6)</f>
        <v>400</v>
      </c>
      <c r="M41" s="121" t="str">
        <f t="shared" si="11"/>
        <v>g</v>
      </c>
      <c r="N41" s="89"/>
      <c r="O41" s="89">
        <f>D41*ozpergram</f>
        <v>28.219168</v>
      </c>
      <c r="P41" s="89">
        <f t="shared" si="12"/>
        <v>0</v>
      </c>
      <c r="Q41" s="89">
        <f t="shared" si="13"/>
        <v>0</v>
      </c>
      <c r="R41" s="89">
        <f>IF(F41="Leaf", ((H41 *O41) *Q41  * 74.9) / '001 - Heisse Hetty'!Volume*3.785, ((H41 *O41) * (Q41*1.1) * 74.9) / '001 - Heisse Hetty'!Volume*3.785)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/>
      <c r="B42" s="117"/>
      <c r="C42" s="186" t="str">
        <f>iferror(1000*VLOOKUP(A42,'Voorraadfiche Grondstoffen'!$F$2:$I$100,4,False),"")</f>
        <v/>
      </c>
      <c r="D42" s="120"/>
      <c r="E42" s="118" t="str">
        <f t="shared" si="9"/>
        <v>g</v>
      </c>
      <c r="F42" s="120" t="s">
        <v>77</v>
      </c>
      <c r="G42" s="120"/>
      <c r="H42" s="190"/>
      <c r="I42" s="189"/>
      <c r="J42" s="188" t="str">
        <f>IF(ISBLANK(D42),"",D42/'001 - Heisse Hetty'!Volume*100)</f>
        <v/>
      </c>
      <c r="K42" s="118" t="str">
        <f t="shared" si="10"/>
        <v>g</v>
      </c>
      <c r="L42" s="188" t="str">
        <f>IF(ISBLANK(D42),"",D42/'001 - Heisse Hetty'!Volume*$B$6)</f>
        <v/>
      </c>
      <c r="M42" s="121" t="str">
        <f t="shared" si="11"/>
        <v>g</v>
      </c>
      <c r="N42" s="89"/>
      <c r="O42" s="89">
        <f>D42*ozpergram</f>
        <v>0</v>
      </c>
      <c r="P42" s="89">
        <f t="shared" si="12"/>
        <v>0</v>
      </c>
      <c r="Q42" s="89">
        <f t="shared" si="13"/>
        <v>0</v>
      </c>
      <c r="R42" s="89">
        <f>IF(F42="Leaf", ((H42 *O42) *Q42  * 74.9) / '001 - Heisse Hetty'!Volume*3.785, ((H42 *O42) * (Q42*1.1) * 74.9) / '001 - Heisse Hetty'!Volume*3.785)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60"/>
      <c r="B43" s="124"/>
      <c r="C43" s="186" t="str">
        <f>iferror(1000*VLOOKUP(A43,'Voorraadfiche Grondstoffen'!$F$2:$I$100,4,False),"")</f>
        <v/>
      </c>
      <c r="D43" s="191"/>
      <c r="E43" s="125" t="str">
        <f t="shared" si="9"/>
        <v>g</v>
      </c>
      <c r="F43" s="192"/>
      <c r="G43" s="191"/>
      <c r="H43" s="192"/>
      <c r="I43" s="193"/>
      <c r="J43" s="188" t="str">
        <f>IF(ISBLANK(D43),"",D43/'001 - Heisse Hetty'!Volume*100)</f>
        <v/>
      </c>
      <c r="K43" s="125" t="str">
        <f t="shared" si="10"/>
        <v>g</v>
      </c>
      <c r="L43" s="188" t="str">
        <f>IF(ISBLANK(D43),"",D43/'001 - Heisse Hetty'!Volume*$B$6)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'001 - Heisse Hetty'!Volume*3.785, ((H43 *O43) * (Q43*1.1) * 74.9) / '001 - Heisse Hetty'!Volume*3.785)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1200</v>
      </c>
      <c r="E44" s="194" t="str">
        <f t="shared" si="9"/>
        <v>g</v>
      </c>
      <c r="F44" s="133"/>
      <c r="G44" s="133"/>
      <c r="H44" s="133"/>
      <c r="I44" s="133"/>
      <c r="J44" s="131">
        <f>SUM(J39:J43)</f>
        <v>375</v>
      </c>
      <c r="K44" s="132" t="str">
        <f t="shared" si="10"/>
        <v>g</v>
      </c>
      <c r="L44" s="130">
        <f>SUM(L39:L43)</f>
        <v>600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9.824302361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 t="s">
        <v>83</v>
      </c>
      <c r="B49" s="107"/>
      <c r="C49" s="186">
        <f>iferror(1000*VLOOKUP(A49,'Voorraadfiche Grondstoffen'!$K$2:$N$100,4,False),"")</f>
        <v>0</v>
      </c>
      <c r="D49" s="112">
        <v>1000.0</v>
      </c>
      <c r="E49" s="110" t="str">
        <f t="shared" ref="E49:E54" si="14">E$38</f>
        <v>g</v>
      </c>
      <c r="F49" s="112" t="s">
        <v>84</v>
      </c>
      <c r="G49" s="109">
        <f t="shared" ref="G49:G53" si="15">IF(ISBLANK(D49),"",D49/$B$5)</f>
        <v>3.125</v>
      </c>
      <c r="H49" s="112"/>
      <c r="I49" s="195"/>
      <c r="J49" s="188">
        <f>IF(ISBLANK(D49),"",D49/'001 - Heisse Hetty'!Volume*100)</f>
        <v>312.5</v>
      </c>
      <c r="K49" s="110" t="str">
        <f t="shared" ref="K49:K54" si="16">K$38</f>
        <v>g</v>
      </c>
      <c r="L49" s="188">
        <f>IF(ISBLANK(D49),"",D49/'001 - Heisse Hetty'!Volume*$B$6)</f>
        <v>500</v>
      </c>
      <c r="M49" s="115" t="str">
        <f t="shared" ref="M49:M54" si="17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/>
      <c r="B50" s="117"/>
      <c r="C50" s="186" t="str">
        <f>iferror(1000*VLOOKUP(A50,'Voorraadfiche Grondstoffen'!$K$2:$N$100,4,False),"")</f>
        <v/>
      </c>
      <c r="D50" s="120"/>
      <c r="E50" s="118" t="str">
        <f t="shared" si="14"/>
        <v>g</v>
      </c>
      <c r="F50" s="120"/>
      <c r="G50" s="109" t="str">
        <f t="shared" si="15"/>
        <v/>
      </c>
      <c r="H50" s="120"/>
      <c r="I50" s="189"/>
      <c r="J50" s="188" t="str">
        <f>IF(ISBLANK(D50),"",D50/'001 - Heisse Hetty'!Volume*100)</f>
        <v/>
      </c>
      <c r="K50" s="118" t="str">
        <f t="shared" si="16"/>
        <v>g</v>
      </c>
      <c r="L50" s="188" t="str">
        <f>IF(ISBLANK(D50),"",D50/'001 - Heisse Hetty'!Volume*$B$6)</f>
        <v/>
      </c>
      <c r="M50" s="121" t="str">
        <f t="shared" si="17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/>
      <c r="B51" s="107"/>
      <c r="C51" s="186" t="str">
        <f>iferror(1000*VLOOKUP(A51,'Voorraadfiche Grondstoffen'!$K$2:$N$100,4,False),"")</f>
        <v/>
      </c>
      <c r="D51" s="190"/>
      <c r="E51" s="118" t="str">
        <f t="shared" si="14"/>
        <v>g</v>
      </c>
      <c r="F51" s="120"/>
      <c r="G51" s="109" t="str">
        <f t="shared" si="15"/>
        <v/>
      </c>
      <c r="H51" s="190"/>
      <c r="I51" s="189"/>
      <c r="J51" s="188" t="str">
        <f>IF(ISBLANK(D51),"",D51/'001 - Heisse Hetty'!Volume*100)</f>
        <v/>
      </c>
      <c r="K51" s="118" t="str">
        <f t="shared" si="16"/>
        <v>g</v>
      </c>
      <c r="L51" s="188" t="str">
        <f>IF(ISBLANK(D51),"",D51/'001 - Heisse Hetty'!Volume*$B$6)</f>
        <v/>
      </c>
      <c r="M51" s="121" t="str">
        <f t="shared" si="17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90"/>
      <c r="E52" s="118" t="str">
        <f t="shared" si="14"/>
        <v>g</v>
      </c>
      <c r="F52" s="120"/>
      <c r="G52" s="109" t="str">
        <f t="shared" si="15"/>
        <v/>
      </c>
      <c r="H52" s="190"/>
      <c r="I52" s="189"/>
      <c r="J52" s="188" t="str">
        <f>IF(ISBLANK(D52),"",D52/'001 - Heisse Hetty'!Volume*100)</f>
        <v/>
      </c>
      <c r="K52" s="118" t="str">
        <f t="shared" si="16"/>
        <v>g</v>
      </c>
      <c r="L52" s="188" t="str">
        <f>IF(ISBLANK(D52),"",D52/'001 - Heisse Hetty'!Volume*$B$6)</f>
        <v/>
      </c>
      <c r="M52" s="121" t="str">
        <f t="shared" si="17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23"/>
      <c r="B53" s="124"/>
      <c r="C53" s="186" t="str">
        <f>iferror(1000*VLOOKUP(A53,'Voorraadfiche Grondstoffen'!$K$2:$N$100,4,False),"")</f>
        <v/>
      </c>
      <c r="D53" s="192"/>
      <c r="E53" s="125" t="str">
        <f t="shared" si="14"/>
        <v>g</v>
      </c>
      <c r="F53" s="192"/>
      <c r="G53" s="109" t="str">
        <f t="shared" si="15"/>
        <v/>
      </c>
      <c r="H53" s="192"/>
      <c r="I53" s="193"/>
      <c r="J53" s="188" t="str">
        <f>IF(ISBLANK(D53),"",D53/'001 - Heisse Hetty'!Volume*100)</f>
        <v/>
      </c>
      <c r="K53" s="125" t="str">
        <f t="shared" si="16"/>
        <v>g</v>
      </c>
      <c r="L53" s="188" t="str">
        <f>IF(ISBLANK(D53),"",D53/'001 - Heisse Hetty'!Volume*$B$6)</f>
        <v/>
      </c>
      <c r="M53" s="128" t="str">
        <f t="shared" si="17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129" t="s">
        <v>55</v>
      </c>
      <c r="B54" s="47"/>
      <c r="C54" s="130"/>
      <c r="D54" s="130">
        <f>SUM(D49:D53)</f>
        <v>1000</v>
      </c>
      <c r="E54" s="194" t="str">
        <f t="shared" si="14"/>
        <v>g</v>
      </c>
      <c r="F54" s="133"/>
      <c r="G54" s="133"/>
      <c r="H54" s="133"/>
      <c r="I54" s="133"/>
      <c r="J54" s="130">
        <f>SUM(J49:J53)</f>
        <v>312.5</v>
      </c>
      <c r="K54" s="132" t="str">
        <f t="shared" si="16"/>
        <v>g</v>
      </c>
      <c r="L54" s="130">
        <f>SUM(L49:L53)</f>
        <v>500</v>
      </c>
      <c r="M54" s="132" t="str">
        <f t="shared" si="17"/>
        <v>g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77" t="s">
        <v>85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0" customHeight="1">
      <c r="A57" s="175" t="s">
        <v>86</v>
      </c>
      <c r="B57" s="176"/>
      <c r="C57" s="177"/>
      <c r="D57" s="178" t="s">
        <v>44</v>
      </c>
      <c r="E57" s="176"/>
      <c r="F57" s="179" t="s">
        <v>35</v>
      </c>
      <c r="G57" s="179"/>
      <c r="H57" s="180"/>
      <c r="I57" s="181" t="s">
        <v>47</v>
      </c>
      <c r="J57" s="178" t="s">
        <v>48</v>
      </c>
      <c r="K57" s="176"/>
      <c r="L57" s="178" t="s">
        <v>49</v>
      </c>
      <c r="M57" s="17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75" customHeight="1">
      <c r="A58" s="38"/>
      <c r="B58" s="97"/>
      <c r="C58" s="98"/>
      <c r="D58" s="99" t="s">
        <v>50</v>
      </c>
      <c r="E58" s="185" t="s">
        <v>72</v>
      </c>
      <c r="F58" s="101"/>
      <c r="G58" s="101"/>
      <c r="H58" s="101"/>
      <c r="I58" s="102"/>
      <c r="J58" s="99" t="s">
        <v>50</v>
      </c>
      <c r="K58" s="185" t="str">
        <f>E58</f>
        <v>g</v>
      </c>
      <c r="L58" s="99" t="s">
        <v>50</v>
      </c>
      <c r="M58" s="104" t="s">
        <v>72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106" t="s">
        <v>87</v>
      </c>
      <c r="B59" s="107"/>
      <c r="C59" s="186">
        <f>iferror(1000*VLOOKUP(A59,'Voorraadfiche Grondstoffen'!$P$2:$S$100,4,False),"")</f>
        <v>0</v>
      </c>
      <c r="D59" s="112">
        <v>125.0</v>
      </c>
      <c r="E59" s="110" t="str">
        <f t="shared" ref="E59:E61" si="18">E$58</f>
        <v>g</v>
      </c>
      <c r="F59" s="111">
        <f>B7</f>
        <v>0.8</v>
      </c>
      <c r="G59" s="112"/>
      <c r="H59" s="112"/>
      <c r="I59" s="195"/>
      <c r="J59" s="188">
        <f>IF(ISBLANK(D59),"",D59/'001 - Heisse Hetty'!Volume*100)</f>
        <v>39.0625</v>
      </c>
      <c r="K59" s="110" t="str">
        <f t="shared" ref="K59:K62" si="19">K$38</f>
        <v>g</v>
      </c>
      <c r="L59" s="188">
        <f>IF(ISBLANK(D59),"",D59/'001 - Heisse Hetty'!Volume*$B$6)</f>
        <v>62.5</v>
      </c>
      <c r="M59" s="115" t="str">
        <f t="shared" ref="M59:M62" si="20">M$38</f>
        <v>g</v>
      </c>
      <c r="N59" s="25"/>
      <c r="O59" s="25"/>
      <c r="P59" s="25"/>
      <c r="Q59" s="25"/>
      <c r="R59" s="25"/>
      <c r="S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/>
      <c r="B60" s="107"/>
      <c r="C60" s="186" t="str">
        <f>iferror(1000*VLOOKUP(A60,'Voorraadfiche Grondstoffen'!$P$2:$S$100,4,False),"")</f>
        <v/>
      </c>
      <c r="D60" s="112"/>
      <c r="E60" s="110" t="str">
        <f t="shared" si="18"/>
        <v>g</v>
      </c>
      <c r="F60" s="196"/>
      <c r="G60" s="120"/>
      <c r="H60" s="120"/>
      <c r="I60" s="189"/>
      <c r="J60" s="188" t="str">
        <f>IF(ISBLANK(D60),"",D60/'001 - Heisse Hetty'!Volume*100)</f>
        <v/>
      </c>
      <c r="K60" s="118" t="str">
        <f t="shared" si="19"/>
        <v>g</v>
      </c>
      <c r="L60" s="188" t="str">
        <f>IF(ISBLANK(D60),"",D60/'001 - Heisse Hetty'!Volume*$B$6)</f>
        <v/>
      </c>
      <c r="M60" s="121" t="str">
        <f t="shared" si="20"/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97"/>
      <c r="B61" s="107"/>
      <c r="C61" s="186" t="str">
        <f>iferror(1000*VLOOKUP(A61,'Voorraadfiche Grondstoffen'!$P$2:$S$100,4,False),"")</f>
        <v/>
      </c>
      <c r="D61" s="188"/>
      <c r="E61" s="110" t="str">
        <f t="shared" si="18"/>
        <v>g</v>
      </c>
      <c r="F61" s="196"/>
      <c r="G61" s="120"/>
      <c r="H61" s="190"/>
      <c r="I61" s="189"/>
      <c r="J61" s="188" t="str">
        <f>IF(ISBLANK(D61),"",D61/'001 - Heisse Hetty'!Volume*100)</f>
        <v/>
      </c>
      <c r="K61" s="118" t="str">
        <f t="shared" si="19"/>
        <v>g</v>
      </c>
      <c r="L61" s="188" t="str">
        <f>IF(ISBLANK(D61),"",D61/'001 - Heisse Hetty'!Volume*$B$6)</f>
        <v/>
      </c>
      <c r="M61" s="121" t="str">
        <f t="shared" si="20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29" t="s">
        <v>55</v>
      </c>
      <c r="B62" s="47"/>
      <c r="C62" s="130"/>
      <c r="D62" s="130">
        <f>SUM(D57:D61)</f>
        <v>125</v>
      </c>
      <c r="E62" s="194" t="str">
        <f>E$38</f>
        <v>g</v>
      </c>
      <c r="F62" s="133"/>
      <c r="G62" s="133"/>
      <c r="H62" s="133"/>
      <c r="I62" s="133"/>
      <c r="J62" s="130">
        <f>SUM(J57:J61)</f>
        <v>39.0625</v>
      </c>
      <c r="K62" s="132" t="str">
        <f t="shared" si="19"/>
        <v>g</v>
      </c>
      <c r="L62" s="130">
        <f>SUM(L57:L61)</f>
        <v>62.5</v>
      </c>
      <c r="M62" s="132" t="str">
        <f t="shared" si="20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77" t="s">
        <v>88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175" t="s">
        <v>57</v>
      </c>
      <c r="B65" s="176"/>
      <c r="C65" s="177"/>
      <c r="D65" s="178" t="s">
        <v>89</v>
      </c>
      <c r="E65" s="176"/>
      <c r="F65" s="181" t="s">
        <v>90</v>
      </c>
      <c r="G65" s="47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38"/>
      <c r="B66" s="97"/>
      <c r="C66" s="198"/>
      <c r="D66" s="199" t="s">
        <v>58</v>
      </c>
      <c r="E66" s="100" t="s">
        <v>91</v>
      </c>
      <c r="F66" s="102"/>
      <c r="G66" s="38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106" t="s">
        <v>92</v>
      </c>
      <c r="B67" s="107"/>
      <c r="C67" s="200"/>
      <c r="D67" s="112">
        <v>14.0</v>
      </c>
      <c r="E67" s="110" t="str">
        <f>E$82</f>
        <v/>
      </c>
      <c r="F67" s="201">
        <v>14.0</v>
      </c>
      <c r="G67" s="117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A69" s="200"/>
      <c r="B69" s="200"/>
      <c r="C69" s="200"/>
      <c r="D69" s="112"/>
      <c r="E69" s="110"/>
      <c r="F69" s="153"/>
      <c r="G69" s="15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197"/>
      <c r="B71" s="107"/>
      <c r="C71" s="202"/>
      <c r="D71" s="188"/>
      <c r="E71" s="110" t="str">
        <f>E$82</f>
        <v/>
      </c>
      <c r="F71" s="203"/>
      <c r="G71" s="117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204"/>
      <c r="B72" s="204"/>
      <c r="C72" s="204"/>
      <c r="D72" s="204"/>
      <c r="E72" s="205"/>
      <c r="F72" s="206"/>
      <c r="G72" s="20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7" t="s">
        <v>93</v>
      </c>
      <c r="B73" s="208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9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10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78"/>
      <c r="Q78" s="78"/>
      <c r="R78" s="78"/>
      <c r="S78" s="78"/>
      <c r="T78" s="78"/>
      <c r="U78" s="78"/>
      <c r="V78" s="78"/>
      <c r="W78" s="78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P79" s="78"/>
      <c r="Q79" s="78"/>
      <c r="R79" s="78"/>
      <c r="S79" s="78"/>
      <c r="T79" s="78"/>
      <c r="U79" s="78"/>
      <c r="V79" s="78"/>
      <c r="W79" s="78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0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9:B59"/>
    <mergeCell ref="A60:B60"/>
    <mergeCell ref="A61:B61"/>
    <mergeCell ref="A62:B62"/>
    <mergeCell ref="A65:B66"/>
    <mergeCell ref="A67:B67"/>
    <mergeCell ref="A71:B71"/>
    <mergeCell ref="A49:B49"/>
    <mergeCell ref="A50:B50"/>
    <mergeCell ref="A51:B51"/>
    <mergeCell ref="A52:B52"/>
    <mergeCell ref="A53:B53"/>
    <mergeCell ref="A54:B54"/>
    <mergeCell ref="A57:B58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6:M56"/>
    <mergeCell ref="D57:E57"/>
    <mergeCell ref="F57:F58"/>
    <mergeCell ref="H57:H58"/>
    <mergeCell ref="I57:I58"/>
    <mergeCell ref="J57:K57"/>
    <mergeCell ref="L57:M57"/>
    <mergeCell ref="A74:M74"/>
    <mergeCell ref="A75:M75"/>
    <mergeCell ref="A76:M76"/>
    <mergeCell ref="A77:M77"/>
    <mergeCell ref="G57:G58"/>
    <mergeCell ref="A64:G64"/>
    <mergeCell ref="D65:E65"/>
    <mergeCell ref="F65:G66"/>
    <mergeCell ref="F67:G67"/>
    <mergeCell ref="F71:G71"/>
    <mergeCell ref="B73:M73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3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3 C59:C61">
    <cfRule type="containsBlanks" dxfId="3" priority="4">
      <formula>LEN(TRIM(C19))=0</formula>
    </cfRule>
  </conditionalFormatting>
  <conditionalFormatting sqref="C19:C25 C39:C43 C49:C53 C59:C61">
    <cfRule type="cellIs" dxfId="4" priority="5" operator="greaterThanOrEqual">
      <formula>D19:D61</formula>
    </cfRule>
  </conditionalFormatting>
  <conditionalFormatting sqref="C19:C25 C39:C43 C49:C53 C59:C61">
    <cfRule type="cellIs" dxfId="5" priority="6" operator="lessThan">
      <formula>D19:D61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AND(F1048592="",MOD(ROW(),2)=1)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7:G72">
    <cfRule type="containsBlanks" dxfId="1" priority="25">
      <formula>LEN(TRIM(A67))=0</formula>
    </cfRule>
  </conditionalFormatting>
  <conditionalFormatting sqref="A39:M44 A49:M54 G59:M62 A62:F62">
    <cfRule type="expression" dxfId="2" priority="26">
      <formula>MOD(ROW(),2)=0</formula>
    </cfRule>
  </conditionalFormatting>
  <conditionalFormatting sqref="C39:E44 C49:E54 C62:E62">
    <cfRule type="expression" dxfId="6" priority="27">
      <formula>AND(OR($G$3&lt;&gt;"",$E$38&lt;&gt;$M$38),MOD(ROW(),2)=1)</formula>
    </cfRule>
  </conditionalFormatting>
  <conditionalFormatting sqref="C39:E44 C49:E54 C59:E62">
    <cfRule type="expression" dxfId="7" priority="28">
      <formula>AND(OR($G$3&lt;&gt;"",$E$38&lt;&gt;$M$38),MOD(ROW(),2)=0)</formula>
    </cfRule>
  </conditionalFormatting>
  <conditionalFormatting sqref="D39:E44 D49:E54 D62:E62 D59:E61">
    <cfRule type="expression" dxfId="10" priority="29">
      <formula>AND($G$3="",MOD(ROW(),2)=1)</formula>
    </cfRule>
  </conditionalFormatting>
  <conditionalFormatting sqref="J39:K44 L39:L43 J49:K54 L49:L53 J59:K62 L59:L61">
    <cfRule type="expression" dxfId="6" priority="30">
      <formula>AND(OR($G$3="",$E$38&lt;&gt;$M$38),MOD(ROW(),2)=1)</formula>
    </cfRule>
  </conditionalFormatting>
  <conditionalFormatting sqref="J39:K44 L39:L43 J49:K54 L49:L53 J59:K62 L59:L61">
    <cfRule type="expression" dxfId="7" priority="31">
      <formula>AND(OR($G$3="",$E$38&lt;&gt;$M$38),MOD(ROW(),2)=0)</formula>
    </cfRule>
  </conditionalFormatting>
  <conditionalFormatting sqref="J39:K44 L39:L43 J49:K54 L49:L53 J59:K62 L59:L61">
    <cfRule type="expression" dxfId="0" priority="32">
      <formula>AND($G$3&lt;&gt;"",MOD(ROW(),2)=0)</formula>
    </cfRule>
  </conditionalFormatting>
  <conditionalFormatting sqref="J39:K44 L39:L43 J49:K54 L49:L53 J59:K62 L59:L61">
    <cfRule type="expression" dxfId="8" priority="33">
      <formula>AND($G$3&lt;&gt;"",MOD(ROW(),2)=1)</formula>
    </cfRule>
  </conditionalFormatting>
  <conditionalFormatting sqref="L39:M44 L49:M54 L59:M62">
    <cfRule type="expression" dxfId="11" priority="34">
      <formula>AND($E$38=$M$38,MOD(ROW(),2)=1)</formula>
    </cfRule>
  </conditionalFormatting>
  <conditionalFormatting sqref="L39:M44 L49:M54 L59:M62">
    <cfRule type="expression" dxfId="7" priority="35">
      <formula>AND($E$38=$M$38,MOD(ROW(),2)=0)</formula>
    </cfRule>
  </conditionalFormatting>
  <conditionalFormatting sqref="L39:M44 L49:M54 L59:M62">
    <cfRule type="expression" dxfId="0" priority="36">
      <formula>AND($E$38&lt;&gt;$M$38,MOD(ROW(),2)=0)</formula>
    </cfRule>
  </conditionalFormatting>
  <conditionalFormatting sqref="L39:M44 L49:M54 L59:M62">
    <cfRule type="expression" dxfId="8" priority="37">
      <formula>AND($E$38&lt;&gt;$M$38,MOD(ROW(),2)=1)</formula>
    </cfRule>
  </conditionalFormatting>
  <conditionalFormatting sqref="A59:F61 A67:G72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0 A42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A41">
      <formula1>'Voorraadfiche Grondstoffen'!$F$8:$F$100</formula1>
    </dataValidation>
    <dataValidation type="list" allowBlank="1" sqref="F49:F53">
      <formula1>"Maisch,Kook,Whirlpool,Primaire fermentatie,Secundaire fermentatie"</formula1>
    </dataValidation>
    <dataValidation type="list" allowBlank="1" sqref="A59:A61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3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18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320.0</v>
      </c>
      <c r="C5" s="45"/>
      <c r="D5" s="45"/>
      <c r="E5" s="46" t="s">
        <v>10</v>
      </c>
      <c r="F5" s="47"/>
      <c r="G5" s="48">
        <f>if(D26=0,"",1+(G8/(258.6-((G8/258.2)*227.1))))</f>
        <v>1.049337843</v>
      </c>
      <c r="H5" s="49"/>
      <c r="I5" s="40"/>
      <c r="J5" s="50" t="s">
        <v>10</v>
      </c>
      <c r="K5" s="51"/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160.0</v>
      </c>
      <c r="C6" s="45"/>
      <c r="D6" s="45"/>
      <c r="E6" s="50" t="s">
        <v>11</v>
      </c>
      <c r="G6" s="48">
        <f>if(D26=0,"",(G5-1)*(1-'002 - Exquise Elise'!Attenuation)+1)</f>
        <v>1.002466892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0.95</v>
      </c>
      <c r="C7" s="61"/>
      <c r="D7" s="45"/>
      <c r="E7" s="50" t="s">
        <v>12</v>
      </c>
      <c r="G7" s="62">
        <f>if(D26=0,"",(G5-G6)*131.25/100)</f>
        <v>0.06151812273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0.7</v>
      </c>
      <c r="C8" s="45"/>
      <c r="D8" s="45"/>
      <c r="E8" s="56" t="s">
        <v>13</v>
      </c>
      <c r="G8" s="64">
        <f>if(D26=0,"",SUMPRODUCT(D19:D25,F19:F25)*'002 - Exquise Elise'!Brouwefficientie/'002 - Exquise Elise'!Volume*100)</f>
        <v>12.228125</v>
      </c>
      <c r="H8" s="65"/>
      <c r="I8" s="40"/>
      <c r="J8" s="66" t="s">
        <v>13</v>
      </c>
      <c r="K8" s="67" t="str">
        <f>if(ISBLANK(K5),"",(-1*616.868)+(1111.14*K5)-(630.272*POWER(K5,2))+(135.997*POWER(K5,3)))</f>
        <v/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('002 - Exquise Elise'!FG-1)/(1-'002 - Exquise Elise'!Attenuation)+1</f>
        <v>1.048120301</v>
      </c>
      <c r="C9" s="70"/>
      <c r="D9" s="45"/>
      <c r="E9" s="71" t="s">
        <v>36</v>
      </c>
      <c r="G9" s="72">
        <f>IF(D44=0,"",R44)</f>
        <v>0</v>
      </c>
      <c r="H9" s="49"/>
      <c r="I9" s="40"/>
      <c r="J9" s="73" t="s">
        <v>14</v>
      </c>
      <c r="K9" s="74">
        <f>iferror(K8/G8*B8,"")</f>
        <v>0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1.002406015</v>
      </c>
      <c r="C10" s="75"/>
      <c r="D10" s="40"/>
      <c r="E10" s="71" t="s">
        <v>37</v>
      </c>
      <c r="G10" s="72">
        <f>if(G26=0,"",1.4922*P26*0.6859*1.97)</f>
        <v>5.836380961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1">
        <v>0.06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(-1*616.868)+(1111.14*'002 - Exquise Elise'!OG)-(630.272*POWER('002 - Exquise Elise'!OG,2))+(135.997*POWER('002 - Exquise Elise'!OG,3))</f>
        <v>11.94073202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'002 - Exquise Elise'!Plato/100*'002 - Exquise Elise'!Volume</f>
        <v>38.21034247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D15/F16/'002 - Exquise Elise'!Brouwefficientie</f>
        <v>68.23275442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50.0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0.6896551724</v>
      </c>
      <c r="I19" s="113"/>
      <c r="J19" s="114">
        <f t="shared" ref="J19:J25" si="3">IF(ISBLANK(D19),"",D19/$B$5*100)</f>
        <v>15.625</v>
      </c>
      <c r="K19" s="110" t="str">
        <f t="shared" ref="K19:K26" si="4">K$18</f>
        <v>kg</v>
      </c>
      <c r="L19" s="114">
        <f t="shared" ref="L19:L25" si="5">IF(ISBLANK(D19),"",D19/$B$5*$B$6)</f>
        <v>25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2.198630452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54</v>
      </c>
      <c r="B20" s="117"/>
      <c r="C20" s="108">
        <f>iferror(VLOOKUP(A20,'Voorraadfiche Grondstoffen'!$A$2:$D$100,4,False),"")</f>
        <v>80</v>
      </c>
      <c r="D20" s="109">
        <v>15.0</v>
      </c>
      <c r="E20" s="118" t="str">
        <f t="shared" si="1"/>
        <v>kg</v>
      </c>
      <c r="F20" s="119">
        <v>0.75</v>
      </c>
      <c r="G20" s="120">
        <v>2.0</v>
      </c>
      <c r="H20" s="113">
        <f t="shared" si="2"/>
        <v>0.2068965517</v>
      </c>
      <c r="I20" s="113"/>
      <c r="J20" s="114">
        <f t="shared" si="3"/>
        <v>4.6875</v>
      </c>
      <c r="K20" s="118" t="str">
        <f t="shared" si="4"/>
        <v>kg</v>
      </c>
      <c r="L20" s="114">
        <f t="shared" si="5"/>
        <v>7.5</v>
      </c>
      <c r="M20" s="121" t="str">
        <f t="shared" si="6"/>
        <v>kg</v>
      </c>
      <c r="N20" s="89"/>
      <c r="O20" s="89">
        <f t="shared" si="7"/>
        <v>1.311088144</v>
      </c>
      <c r="P20" s="105">
        <f>D20/kgperpound*lpergallon/$B$5*O20</f>
        <v>0.5128854224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 t="s">
        <v>94</v>
      </c>
      <c r="B21" s="117"/>
      <c r="C21" s="108" t="str">
        <f>iferror(VLOOKUP(A21,'Voorraadfiche Grondstoffen'!$A$2:$D$100,4,False),"")</f>
        <v/>
      </c>
      <c r="D21" s="109">
        <v>5.0</v>
      </c>
      <c r="E21" s="118" t="str">
        <f t="shared" si="1"/>
        <v>kg</v>
      </c>
      <c r="F21" s="119">
        <v>0.78</v>
      </c>
      <c r="G21" s="120">
        <v>1.0</v>
      </c>
      <c r="H21" s="113">
        <f t="shared" si="2"/>
        <v>0.06896551724</v>
      </c>
      <c r="I21" s="113"/>
      <c r="J21" s="114">
        <f t="shared" si="3"/>
        <v>1.5625</v>
      </c>
      <c r="K21" s="118" t="str">
        <f t="shared" si="4"/>
        <v>kg</v>
      </c>
      <c r="L21" s="114">
        <f t="shared" si="5"/>
        <v>2.5</v>
      </c>
      <c r="M21" s="121" t="str">
        <f t="shared" si="6"/>
        <v>kg</v>
      </c>
      <c r="N21" s="89"/>
      <c r="O21" s="89">
        <f t="shared" si="7"/>
        <v>0.9360696885</v>
      </c>
      <c r="P21" s="105">
        <f>D21/kgperpound*lpergallon/$B$5*O21</f>
        <v>0.1220605697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 t="s">
        <v>95</v>
      </c>
      <c r="B22" s="117"/>
      <c r="C22" s="108">
        <f>iferror(VLOOKUP(A22,'Voorraadfiche Grondstoffen'!$A$2:$D$100,4,False),"")</f>
        <v>5.5</v>
      </c>
      <c r="D22" s="109">
        <v>2.5</v>
      </c>
      <c r="E22" s="118" t="str">
        <f t="shared" si="1"/>
        <v>kg</v>
      </c>
      <c r="F22" s="119">
        <v>0.7</v>
      </c>
      <c r="G22" s="120">
        <v>1.0</v>
      </c>
      <c r="H22" s="113">
        <f t="shared" si="2"/>
        <v>0.03448275862</v>
      </c>
      <c r="I22" s="113"/>
      <c r="J22" s="114">
        <f t="shared" si="3"/>
        <v>0.78125</v>
      </c>
      <c r="K22" s="118" t="str">
        <f t="shared" si="4"/>
        <v>kg</v>
      </c>
      <c r="L22" s="114">
        <f t="shared" si="5"/>
        <v>1.25</v>
      </c>
      <c r="M22" s="121" t="str">
        <f t="shared" si="6"/>
        <v>kg</v>
      </c>
      <c r="N22" s="89"/>
      <c r="O22" s="89">
        <f t="shared" si="7"/>
        <v>0.9360696885</v>
      </c>
      <c r="P22" s="105">
        <f>D22/kgperpound*lpergallon/$B$5*O22</f>
        <v>0.06103028487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/>
      <c r="B23" s="117"/>
      <c r="C23" s="108" t="str">
        <f>iferror(VLOOKUP(A23,'Voorraadfiche Grondstoffen'!$A$2:$D$100,4,False),"")</f>
        <v/>
      </c>
      <c r="D23" s="109"/>
      <c r="E23" s="118" t="str">
        <f t="shared" si="1"/>
        <v>kg</v>
      </c>
      <c r="F23" s="119"/>
      <c r="G23" s="120"/>
      <c r="H23" s="113" t="str">
        <f t="shared" si="2"/>
        <v/>
      </c>
      <c r="I23" s="113"/>
      <c r="J23" s="114" t="str">
        <f t="shared" si="3"/>
        <v/>
      </c>
      <c r="K23" s="118" t="str">
        <f t="shared" si="4"/>
        <v>kg</v>
      </c>
      <c r="L23" s="114" t="str">
        <f t="shared" si="5"/>
        <v/>
      </c>
      <c r="M23" s="121" t="str">
        <f t="shared" si="6"/>
        <v>kg</v>
      </c>
      <c r="N23" s="89"/>
      <c r="O23" s="89">
        <f t="shared" si="7"/>
        <v>0.5610512328</v>
      </c>
      <c r="P23" s="105">
        <f>D23/kgperpound*lpergallon/$B$5*O23</f>
        <v>0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116"/>
      <c r="B24" s="117"/>
      <c r="C24" s="108" t="str">
        <f>iferror(VLOOKUP(A24,'Voorraadfiche Grondstoffen'!$A$2:$D$100,4,False),"")</f>
        <v/>
      </c>
      <c r="D24" s="109"/>
      <c r="E24" s="118" t="str">
        <f t="shared" si="1"/>
        <v>kg</v>
      </c>
      <c r="F24" s="119"/>
      <c r="G24" s="120"/>
      <c r="H24" s="113" t="str">
        <f t="shared" si="2"/>
        <v/>
      </c>
      <c r="I24" s="113"/>
      <c r="J24" s="114" t="str">
        <f t="shared" si="3"/>
        <v/>
      </c>
      <c r="K24" s="118" t="str">
        <f t="shared" si="4"/>
        <v>kg</v>
      </c>
      <c r="L24" s="114" t="str">
        <f t="shared" si="5"/>
        <v/>
      </c>
      <c r="M24" s="121" t="str">
        <f t="shared" si="6"/>
        <v>kg</v>
      </c>
      <c r="N24" s="89"/>
      <c r="O24" s="89">
        <f t="shared" si="7"/>
        <v>0.5610512328</v>
      </c>
      <c r="P24" s="105">
        <f>D24/kgperpound*lpergallon/$B$5*O24</f>
        <v>0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23"/>
      <c r="B25" s="124"/>
      <c r="C25" s="108" t="str">
        <f>iferror(VLOOKUP(A25,'Voorraadfiche Grondstoffen'!$A$2:$D$100,4,False),"")</f>
        <v/>
      </c>
      <c r="D25" s="109"/>
      <c r="E25" s="125" t="str">
        <f t="shared" si="1"/>
        <v>kg</v>
      </c>
      <c r="F25" s="126"/>
      <c r="G25" s="127"/>
      <c r="H25" s="113" t="str">
        <f t="shared" si="2"/>
        <v/>
      </c>
      <c r="I25" s="113"/>
      <c r="J25" s="114" t="str">
        <f t="shared" si="3"/>
        <v/>
      </c>
      <c r="K25" s="125" t="str">
        <f t="shared" si="4"/>
        <v>kg</v>
      </c>
      <c r="L25" s="114" t="str">
        <f t="shared" si="5"/>
        <v/>
      </c>
      <c r="M25" s="128" t="str">
        <f t="shared" si="6"/>
        <v>kg</v>
      </c>
      <c r="N25" s="89"/>
      <c r="O25" s="89">
        <f t="shared" si="7"/>
        <v>0.5610512328</v>
      </c>
      <c r="P25" s="105">
        <f>D25/kgperpound*lpergallon/$B$5*O25</f>
        <v>0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72.5</v>
      </c>
      <c r="E26" s="132" t="str">
        <f t="shared" si="1"/>
        <v>kg</v>
      </c>
      <c r="F26" s="133"/>
      <c r="G26" s="134">
        <f>sum(G19:G25)</f>
        <v>7</v>
      </c>
      <c r="H26" s="133"/>
      <c r="I26" s="133"/>
      <c r="J26" s="131">
        <f>SUM(J19:J25)</f>
        <v>22.65625</v>
      </c>
      <c r="K26" s="132" t="str">
        <f t="shared" si="4"/>
        <v>kg</v>
      </c>
      <c r="L26" s="131">
        <f>SUM(L19:L25)</f>
        <v>36.25</v>
      </c>
      <c r="M26" s="132" t="str">
        <f t="shared" si="6"/>
        <v>kg</v>
      </c>
      <c r="N26" s="89"/>
      <c r="O26" s="89"/>
      <c r="P26" s="89">
        <f>SUM(P19:P25)</f>
        <v>2.894606729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2">
        <v>63.0</v>
      </c>
      <c r="E31" s="153">
        <v>45.0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/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50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1.059043756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/>
      <c r="B39" s="107"/>
      <c r="C39" s="186" t="str">
        <f>iferror(1000*VLOOKUP(A39,'Voorraadfiche Grondstoffen'!$F$2:$I$100,4,False),"")</f>
        <v/>
      </c>
      <c r="D39" s="112"/>
      <c r="E39" s="110" t="str">
        <f t="shared" ref="E39:E44" si="9">E$38</f>
        <v>g</v>
      </c>
      <c r="F39" s="112" t="s">
        <v>77</v>
      </c>
      <c r="G39" s="112"/>
      <c r="H39" s="112"/>
      <c r="I39" s="187"/>
      <c r="J39" s="188" t="str">
        <f>IF(ISBLANK(D39),"",D39/'002 - Exquise Elise'!Volume*100)</f>
        <v/>
      </c>
      <c r="K39" s="110" t="str">
        <f t="shared" ref="K39:K44" si="10">K$38</f>
        <v>g</v>
      </c>
      <c r="L39" s="188" t="str">
        <f>IF(ISBLANK(D39),"",D39/'002 - Exquise Elise'!Volume*$B$6)</f>
        <v/>
      </c>
      <c r="M39" s="115" t="str">
        <f t="shared" ref="M39:M44" si="11">M$38</f>
        <v>g</v>
      </c>
      <c r="N39" s="89"/>
      <c r="O39" s="89">
        <f>D39*ozpergram</f>
        <v>0</v>
      </c>
      <c r="P39" s="89">
        <f t="shared" ref="P39:P43" si="12">(1-POWER(2.71828182845904,((-0.04)*G39)))/4.15</f>
        <v>0</v>
      </c>
      <c r="Q39" s="89">
        <f t="shared" ref="Q39:Q43" si="13">P39*$P$37</f>
        <v>0</v>
      </c>
      <c r="R39" s="89">
        <f>IF(F39="Leaf", ((H39 *O39) *Q39  * 74.9) / '002 - Exquise Elise'!Volume*3.785, ((H39 *O39) * (Q39*1.1) * 74.9) / '002 - Exquise Elise'!Volume*3.785)</f>
        <v>0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/>
      <c r="B40" s="117"/>
      <c r="C40" s="186" t="str">
        <f>iferror(1000*VLOOKUP(A40,'Voorraadfiche Grondstoffen'!$F$2:$I$100,4,False),"")</f>
        <v/>
      </c>
      <c r="D40" s="120"/>
      <c r="E40" s="118" t="str">
        <f t="shared" si="9"/>
        <v>g</v>
      </c>
      <c r="F40" s="120" t="s">
        <v>77</v>
      </c>
      <c r="G40" s="120">
        <v>0.0</v>
      </c>
      <c r="H40" s="120"/>
      <c r="I40" s="189"/>
      <c r="J40" s="188" t="str">
        <f>IF(ISBLANK(D40),"",D40/'002 - Exquise Elise'!Volume*100)</f>
        <v/>
      </c>
      <c r="K40" s="118" t="str">
        <f t="shared" si="10"/>
        <v>g</v>
      </c>
      <c r="L40" s="188" t="str">
        <f>IF(ISBLANK(D40),"",D40/'002 - Exquise Elise'!Volume*$B$6)</f>
        <v/>
      </c>
      <c r="M40" s="121" t="str">
        <f t="shared" si="11"/>
        <v>g</v>
      </c>
      <c r="N40" s="89"/>
      <c r="O40" s="89">
        <f>D40*ozpergram</f>
        <v>0</v>
      </c>
      <c r="P40" s="89">
        <f t="shared" si="12"/>
        <v>0</v>
      </c>
      <c r="Q40" s="89">
        <f t="shared" si="13"/>
        <v>0</v>
      </c>
      <c r="R40" s="89">
        <f>IF(F40="Leaf", ((H40 *O40) *Q40  * 74.9) / '002 - Exquise Elise'!Volume*3.785, ((H40 *O40) * (Q40*1.1) * 74.9) / '002 - Exquise Elise'!Volume*3.785)</f>
        <v>0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 t="str">
        <f>iferror(1000*VLOOKUP(A41,'Voorraadfiche Grondstoffen'!$F$2:$I$100,4,False),"")</f>
        <v/>
      </c>
      <c r="D41" s="120"/>
      <c r="E41" s="118" t="str">
        <f t="shared" si="9"/>
        <v>g</v>
      </c>
      <c r="F41" s="120" t="s">
        <v>77</v>
      </c>
      <c r="G41" s="120">
        <v>0.0</v>
      </c>
      <c r="H41" s="120">
        <v>0.0</v>
      </c>
      <c r="I41" s="189"/>
      <c r="J41" s="188" t="str">
        <f>IF(ISBLANK(D41),"",D41/'002 - Exquise Elise'!Volume*100)</f>
        <v/>
      </c>
      <c r="K41" s="118" t="str">
        <f t="shared" si="10"/>
        <v>g</v>
      </c>
      <c r="L41" s="188" t="str">
        <f>IF(ISBLANK(D41),"",D41/'002 - Exquise Elise'!Volume*$B$6)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'002 - Exquise Elise'!Volume*3.785, ((H41 *O41) * (Q41*1.1) * 74.9) / '002 - Exquise Elise'!Volume*3.785)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 t="s">
        <v>96</v>
      </c>
      <c r="B42" s="117"/>
      <c r="C42" s="186">
        <f>iferror(1000*VLOOKUP(A42,'Voorraadfiche Grondstoffen'!$F$2:$I$100,4,False),"")</f>
        <v>0</v>
      </c>
      <c r="D42" s="120">
        <v>1000.0</v>
      </c>
      <c r="E42" s="118" t="str">
        <f t="shared" si="9"/>
        <v>g</v>
      </c>
      <c r="F42" s="120" t="s">
        <v>77</v>
      </c>
      <c r="G42" s="120">
        <v>0.0</v>
      </c>
      <c r="H42" s="120">
        <v>8.0</v>
      </c>
      <c r="I42" s="189"/>
      <c r="J42" s="188">
        <f>IF(ISBLANK(D42),"",D42/'002 - Exquise Elise'!Volume*100)</f>
        <v>312.5</v>
      </c>
      <c r="K42" s="118" t="str">
        <f t="shared" si="10"/>
        <v>g</v>
      </c>
      <c r="L42" s="188">
        <f>IF(ISBLANK(D42),"",D42/'002 - Exquise Elise'!Volume*$B$6)</f>
        <v>500</v>
      </c>
      <c r="M42" s="121" t="str">
        <f t="shared" si="11"/>
        <v>g</v>
      </c>
      <c r="N42" s="89"/>
      <c r="O42" s="89">
        <f>D42*ozpergram</f>
        <v>35.27396</v>
      </c>
      <c r="P42" s="89">
        <f t="shared" si="12"/>
        <v>0</v>
      </c>
      <c r="Q42" s="89">
        <f t="shared" si="13"/>
        <v>0</v>
      </c>
      <c r="R42" s="89">
        <f>IF(F42="Leaf", ((H42 *O42) *Q42  * 74.9) / '002 - Exquise Elise'!Volume*3.785, ((H42 *O42) * (Q42*1.1) * 74.9) / '002 - Exquise Elise'!Volume*3.785)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60"/>
      <c r="B43" s="124"/>
      <c r="C43" s="186" t="str">
        <f>iferror(1000*VLOOKUP(A43,'Voorraadfiche Grondstoffen'!$F$2:$I$100,4,False),"")</f>
        <v/>
      </c>
      <c r="D43" s="191"/>
      <c r="E43" s="125" t="str">
        <f t="shared" si="9"/>
        <v>g</v>
      </c>
      <c r="F43" s="192"/>
      <c r="G43" s="191"/>
      <c r="H43" s="192"/>
      <c r="I43" s="193"/>
      <c r="J43" s="188" t="str">
        <f>IF(ISBLANK(D43),"",D43/'002 - Exquise Elise'!Volume*100)</f>
        <v/>
      </c>
      <c r="K43" s="125" t="str">
        <f t="shared" si="10"/>
        <v>g</v>
      </c>
      <c r="L43" s="188" t="str">
        <f>IF(ISBLANK(D43),"",D43/'002 - Exquise Elise'!Volume*$B$6)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'002 - Exquise Elise'!Volume*3.785, ((H43 *O43) * (Q43*1.1) * 74.9) / '002 - Exquise Elise'!Volume*3.785)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1000</v>
      </c>
      <c r="E44" s="194" t="str">
        <f t="shared" si="9"/>
        <v>g</v>
      </c>
      <c r="F44" s="133"/>
      <c r="G44" s="133"/>
      <c r="H44" s="133"/>
      <c r="I44" s="133"/>
      <c r="J44" s="131">
        <f>SUM(J39:J43)</f>
        <v>312.5</v>
      </c>
      <c r="K44" s="132" t="str">
        <f t="shared" si="10"/>
        <v>g</v>
      </c>
      <c r="L44" s="130">
        <f>SUM(L39:L43)</f>
        <v>500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0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 t="s">
        <v>97</v>
      </c>
      <c r="B49" s="107"/>
      <c r="C49" s="186" t="str">
        <f>iferror(1000*VLOOKUP(A49,'Voorraadfiche Grondstoffen'!$K$2:$N$100,4,False),"")</f>
        <v/>
      </c>
      <c r="D49" s="112">
        <v>200.0</v>
      </c>
      <c r="E49" s="110" t="str">
        <f t="shared" ref="E49:E54" si="14">E$38</f>
        <v>g</v>
      </c>
      <c r="F49" s="112" t="s">
        <v>84</v>
      </c>
      <c r="G49" s="109">
        <f t="shared" ref="G49:G53" si="15">IF(ISBLANK(D49),"",D49/$B$5)</f>
        <v>0.625</v>
      </c>
      <c r="H49" s="112"/>
      <c r="I49" s="195"/>
      <c r="J49" s="188">
        <f>IF(ISBLANK(D49),"",D49/'002 - Exquise Elise'!Volume*100)</f>
        <v>62.5</v>
      </c>
      <c r="K49" s="110" t="str">
        <f t="shared" ref="K49:K54" si="16">K$38</f>
        <v>g</v>
      </c>
      <c r="L49" s="188">
        <f>IF(ISBLANK(D49),"",D49/'002 - Exquise Elise'!Volume*$B$6)</f>
        <v>100</v>
      </c>
      <c r="M49" s="115" t="str">
        <f t="shared" ref="M49:M54" si="17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 t="s">
        <v>98</v>
      </c>
      <c r="B50" s="117"/>
      <c r="C50" s="186" t="str">
        <f>iferror(1000*VLOOKUP(A50,'Voorraadfiche Grondstoffen'!$K$2:$N$100,4,False),"")</f>
        <v/>
      </c>
      <c r="D50" s="120">
        <v>250.0</v>
      </c>
      <c r="E50" s="118" t="str">
        <f t="shared" si="14"/>
        <v>g</v>
      </c>
      <c r="F50" s="120"/>
      <c r="G50" s="109">
        <f t="shared" si="15"/>
        <v>0.78125</v>
      </c>
      <c r="H50" s="120"/>
      <c r="I50" s="189"/>
      <c r="J50" s="188">
        <f>IF(ISBLANK(D50),"",D50/'002 - Exquise Elise'!Volume*100)</f>
        <v>78.125</v>
      </c>
      <c r="K50" s="118" t="str">
        <f t="shared" si="16"/>
        <v>g</v>
      </c>
      <c r="L50" s="188">
        <f>IF(ISBLANK(D50),"",D50/'002 - Exquise Elise'!Volume*$B$6)</f>
        <v>125</v>
      </c>
      <c r="M50" s="121" t="str">
        <f t="shared" si="17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/>
      <c r="B51" s="107"/>
      <c r="C51" s="186" t="str">
        <f>iferror(1000*VLOOKUP(A51,'Voorraadfiche Grondstoffen'!$K$2:$N$100,4,False),"")</f>
        <v/>
      </c>
      <c r="D51" s="190"/>
      <c r="E51" s="118" t="str">
        <f t="shared" si="14"/>
        <v>g</v>
      </c>
      <c r="F51" s="120"/>
      <c r="G51" s="109" t="str">
        <f t="shared" si="15"/>
        <v/>
      </c>
      <c r="H51" s="190"/>
      <c r="I51" s="189"/>
      <c r="J51" s="188" t="str">
        <f>IF(ISBLANK(D51),"",D51/'002 - Exquise Elise'!Volume*100)</f>
        <v/>
      </c>
      <c r="K51" s="118" t="str">
        <f t="shared" si="16"/>
        <v>g</v>
      </c>
      <c r="L51" s="188" t="str">
        <f>IF(ISBLANK(D51),"",D51/'002 - Exquise Elise'!Volume*$B$6)</f>
        <v/>
      </c>
      <c r="M51" s="121" t="str">
        <f t="shared" si="17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90"/>
      <c r="E52" s="118" t="str">
        <f t="shared" si="14"/>
        <v>g</v>
      </c>
      <c r="F52" s="120"/>
      <c r="G52" s="109" t="str">
        <f t="shared" si="15"/>
        <v/>
      </c>
      <c r="H52" s="190"/>
      <c r="I52" s="189"/>
      <c r="J52" s="188" t="str">
        <f>IF(ISBLANK(D52),"",D52/'002 - Exquise Elise'!Volume*100)</f>
        <v/>
      </c>
      <c r="K52" s="118" t="str">
        <f t="shared" si="16"/>
        <v>g</v>
      </c>
      <c r="L52" s="188" t="str">
        <f>IF(ISBLANK(D52),"",D52/'002 - Exquise Elise'!Volume*$B$6)</f>
        <v/>
      </c>
      <c r="M52" s="121" t="str">
        <f t="shared" si="17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23"/>
      <c r="B53" s="124"/>
      <c r="C53" s="186" t="str">
        <f>iferror(1000*VLOOKUP(A53,'Voorraadfiche Grondstoffen'!$K$2:$N$100,4,False),"")</f>
        <v/>
      </c>
      <c r="D53" s="192"/>
      <c r="E53" s="125" t="str">
        <f t="shared" si="14"/>
        <v>g</v>
      </c>
      <c r="F53" s="192"/>
      <c r="G53" s="109" t="str">
        <f t="shared" si="15"/>
        <v/>
      </c>
      <c r="H53" s="192"/>
      <c r="I53" s="193"/>
      <c r="J53" s="188" t="str">
        <f>IF(ISBLANK(D53),"",D53/'002 - Exquise Elise'!Volume*100)</f>
        <v/>
      </c>
      <c r="K53" s="125" t="str">
        <f t="shared" si="16"/>
        <v>g</v>
      </c>
      <c r="L53" s="188" t="str">
        <f>IF(ISBLANK(D53),"",D53/'002 - Exquise Elise'!Volume*$B$6)</f>
        <v/>
      </c>
      <c r="M53" s="128" t="str">
        <f t="shared" si="17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129" t="s">
        <v>55</v>
      </c>
      <c r="B54" s="47"/>
      <c r="C54" s="130"/>
      <c r="D54" s="130">
        <f>SUM(D49:D53)</f>
        <v>450</v>
      </c>
      <c r="E54" s="194" t="str">
        <f t="shared" si="14"/>
        <v>g</v>
      </c>
      <c r="F54" s="133"/>
      <c r="G54" s="133"/>
      <c r="H54" s="133"/>
      <c r="I54" s="133"/>
      <c r="J54" s="130">
        <f>SUM(J49:J53)</f>
        <v>140.625</v>
      </c>
      <c r="K54" s="132" t="str">
        <f t="shared" si="16"/>
        <v>g</v>
      </c>
      <c r="L54" s="130">
        <f>SUM(L49:L53)</f>
        <v>225</v>
      </c>
      <c r="M54" s="132" t="str">
        <f t="shared" si="17"/>
        <v>g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77" t="s">
        <v>85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0" customHeight="1">
      <c r="A57" s="175" t="s">
        <v>86</v>
      </c>
      <c r="B57" s="176"/>
      <c r="C57" s="177"/>
      <c r="D57" s="178" t="s">
        <v>44</v>
      </c>
      <c r="E57" s="176"/>
      <c r="F57" s="179" t="s">
        <v>35</v>
      </c>
      <c r="G57" s="179"/>
      <c r="H57" s="180"/>
      <c r="I57" s="181" t="s">
        <v>47</v>
      </c>
      <c r="J57" s="178" t="s">
        <v>48</v>
      </c>
      <c r="K57" s="176"/>
      <c r="L57" s="178" t="s">
        <v>49</v>
      </c>
      <c r="M57" s="17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75" customHeight="1">
      <c r="A58" s="38"/>
      <c r="B58" s="97"/>
      <c r="C58" s="98"/>
      <c r="D58" s="99" t="s">
        <v>50</v>
      </c>
      <c r="E58" s="185" t="s">
        <v>72</v>
      </c>
      <c r="F58" s="101"/>
      <c r="G58" s="101"/>
      <c r="H58" s="101"/>
      <c r="I58" s="102"/>
      <c r="J58" s="99" t="s">
        <v>50</v>
      </c>
      <c r="K58" s="185" t="str">
        <f>E58</f>
        <v>g</v>
      </c>
      <c r="L58" s="99" t="s">
        <v>50</v>
      </c>
      <c r="M58" s="104" t="s">
        <v>72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106" t="s">
        <v>99</v>
      </c>
      <c r="B59" s="107"/>
      <c r="C59" s="186">
        <f>iferror(1000*VLOOKUP(A59,'Voorraadfiche Grondstoffen'!$P$2:$S$100,4,False),"")</f>
        <v>500</v>
      </c>
      <c r="D59" s="112">
        <v>125.0</v>
      </c>
      <c r="E59" s="110" t="str">
        <f t="shared" ref="E59:E61" si="18">E$58</f>
        <v>g</v>
      </c>
      <c r="F59" s="111">
        <f>B7</f>
        <v>0.95</v>
      </c>
      <c r="G59" s="112"/>
      <c r="H59" s="112"/>
      <c r="I59" s="195"/>
      <c r="J59" s="188">
        <f>IF(ISBLANK(D59),"",D59/'002 - Exquise Elise'!Volume*100)</f>
        <v>39.0625</v>
      </c>
      <c r="K59" s="110" t="str">
        <f t="shared" ref="K59:K62" si="19">K$38</f>
        <v>g</v>
      </c>
      <c r="L59" s="188">
        <f>IF(ISBLANK(D59),"",D59/'002 - Exquise Elise'!Volume*$B$6)</f>
        <v>62.5</v>
      </c>
      <c r="M59" s="115" t="str">
        <f t="shared" ref="M59:M62" si="20">M$38</f>
        <v>g</v>
      </c>
      <c r="N59" s="25"/>
      <c r="O59" s="25"/>
      <c r="P59" s="25"/>
      <c r="Q59" s="25"/>
      <c r="R59" s="25"/>
      <c r="S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 t="s">
        <v>100</v>
      </c>
      <c r="B60" s="107"/>
      <c r="C60" s="186">
        <f>iferror(1000*VLOOKUP(A60,'Voorraadfiche Grondstoffen'!$P$2:$S$100,4,False),"")</f>
        <v>0</v>
      </c>
      <c r="D60" s="112">
        <v>10.0</v>
      </c>
      <c r="E60" s="110" t="str">
        <f t="shared" si="18"/>
        <v>g</v>
      </c>
      <c r="F60" s="196"/>
      <c r="G60" s="120"/>
      <c r="H60" s="120"/>
      <c r="I60" s="189"/>
      <c r="J60" s="188">
        <f>IF(ISBLANK(D60),"",D60/'002 - Exquise Elise'!Volume*100)</f>
        <v>3.125</v>
      </c>
      <c r="K60" s="118" t="str">
        <f t="shared" si="19"/>
        <v>g</v>
      </c>
      <c r="L60" s="188">
        <f>IF(ISBLANK(D60),"",D60/'002 - Exquise Elise'!Volume*$B$6)</f>
        <v>5</v>
      </c>
      <c r="M60" s="121" t="str">
        <f t="shared" si="20"/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97"/>
      <c r="B61" s="107"/>
      <c r="C61" s="186" t="str">
        <f>iferror(1000*VLOOKUP(A61,'Voorraadfiche Grondstoffen'!$P$2:$S$100,4,False),"")</f>
        <v/>
      </c>
      <c r="D61" s="188"/>
      <c r="E61" s="110" t="str">
        <f t="shared" si="18"/>
        <v>g</v>
      </c>
      <c r="F61" s="196"/>
      <c r="G61" s="120"/>
      <c r="H61" s="190"/>
      <c r="I61" s="189"/>
      <c r="J61" s="188" t="str">
        <f>IF(ISBLANK(D61),"",D61/'002 - Exquise Elise'!Volume*100)</f>
        <v/>
      </c>
      <c r="K61" s="118" t="str">
        <f t="shared" si="19"/>
        <v>g</v>
      </c>
      <c r="L61" s="188" t="str">
        <f>IF(ISBLANK(D61),"",D61/'002 - Exquise Elise'!Volume*$B$6)</f>
        <v/>
      </c>
      <c r="M61" s="121" t="str">
        <f t="shared" si="20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29" t="s">
        <v>55</v>
      </c>
      <c r="B62" s="47"/>
      <c r="C62" s="130"/>
      <c r="D62" s="130">
        <f>SUM(D57:D61)</f>
        <v>135</v>
      </c>
      <c r="E62" s="194" t="str">
        <f>E$38</f>
        <v>g</v>
      </c>
      <c r="F62" s="133"/>
      <c r="G62" s="133"/>
      <c r="H62" s="133"/>
      <c r="I62" s="133"/>
      <c r="J62" s="130">
        <f>SUM(J57:J61)</f>
        <v>42.1875</v>
      </c>
      <c r="K62" s="132" t="str">
        <f t="shared" si="19"/>
        <v>g</v>
      </c>
      <c r="L62" s="130">
        <f>SUM(L57:L61)</f>
        <v>67.5</v>
      </c>
      <c r="M62" s="132" t="str">
        <f t="shared" si="20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77" t="s">
        <v>88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175" t="s">
        <v>57</v>
      </c>
      <c r="B65" s="176"/>
      <c r="C65" s="177"/>
      <c r="D65" s="178" t="s">
        <v>89</v>
      </c>
      <c r="E65" s="176"/>
      <c r="F65" s="181" t="s">
        <v>90</v>
      </c>
      <c r="G65" s="47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38"/>
      <c r="B66" s="97"/>
      <c r="C66" s="198"/>
      <c r="D66" s="199" t="s">
        <v>58</v>
      </c>
      <c r="E66" s="100" t="s">
        <v>91</v>
      </c>
      <c r="F66" s="102"/>
      <c r="G66" s="38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106" t="s">
        <v>101</v>
      </c>
      <c r="B67" s="107"/>
      <c r="C67" s="200"/>
      <c r="D67" s="112">
        <v>35.0</v>
      </c>
      <c r="E67" s="110" t="str">
        <f>E$82</f>
        <v/>
      </c>
      <c r="F67" s="201">
        <v>14.0</v>
      </c>
      <c r="G67" s="117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B68" s="23" t="s">
        <v>102</v>
      </c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A69" s="200"/>
      <c r="B69" s="200"/>
      <c r="C69" s="200"/>
      <c r="D69" s="112"/>
      <c r="E69" s="110"/>
      <c r="F69" s="153"/>
      <c r="G69" s="15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197"/>
      <c r="B71" s="107"/>
      <c r="C71" s="202"/>
      <c r="D71" s="188"/>
      <c r="E71" s="110" t="str">
        <f>E$82</f>
        <v/>
      </c>
      <c r="F71" s="203"/>
      <c r="G71" s="117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204"/>
      <c r="B72" s="204"/>
      <c r="C72" s="204"/>
      <c r="D72" s="204"/>
      <c r="E72" s="205"/>
      <c r="F72" s="206"/>
      <c r="G72" s="20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7" t="s">
        <v>93</v>
      </c>
      <c r="B73" s="208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9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10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78"/>
      <c r="Q78" s="78"/>
      <c r="R78" s="78"/>
      <c r="S78" s="78"/>
      <c r="T78" s="78"/>
      <c r="U78" s="78"/>
      <c r="V78" s="78"/>
      <c r="W78" s="78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P79" s="78"/>
      <c r="Q79" s="78"/>
      <c r="R79" s="78"/>
      <c r="S79" s="78"/>
      <c r="T79" s="78"/>
      <c r="U79" s="78"/>
      <c r="V79" s="78"/>
      <c r="W79" s="78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0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9:B59"/>
    <mergeCell ref="A60:B60"/>
    <mergeCell ref="A61:B61"/>
    <mergeCell ref="A62:B62"/>
    <mergeCell ref="A65:B66"/>
    <mergeCell ref="A67:B67"/>
    <mergeCell ref="A71:B71"/>
    <mergeCell ref="A49:B49"/>
    <mergeCell ref="A50:B50"/>
    <mergeCell ref="A51:B51"/>
    <mergeCell ref="A52:B52"/>
    <mergeCell ref="A53:B53"/>
    <mergeCell ref="A54:B54"/>
    <mergeCell ref="A57:B58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6:M56"/>
    <mergeCell ref="D57:E57"/>
    <mergeCell ref="F57:F58"/>
    <mergeCell ref="H57:H58"/>
    <mergeCell ref="I57:I58"/>
    <mergeCell ref="J57:K57"/>
    <mergeCell ref="L57:M57"/>
    <mergeCell ref="A74:M74"/>
    <mergeCell ref="A75:M75"/>
    <mergeCell ref="A76:M76"/>
    <mergeCell ref="A77:M77"/>
    <mergeCell ref="G57:G58"/>
    <mergeCell ref="A64:G64"/>
    <mergeCell ref="D65:E65"/>
    <mergeCell ref="F65:G66"/>
    <mergeCell ref="F67:G67"/>
    <mergeCell ref="F71:G71"/>
    <mergeCell ref="B73:M73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3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3 C59:C61">
    <cfRule type="containsBlanks" dxfId="3" priority="4">
      <formula>LEN(TRIM(C19))=0</formula>
    </cfRule>
  </conditionalFormatting>
  <conditionalFormatting sqref="C19:C25 C39:C43 C49:C53 C59:C61">
    <cfRule type="cellIs" dxfId="4" priority="5" operator="greaterThanOrEqual">
      <formula>D19:D61</formula>
    </cfRule>
  </conditionalFormatting>
  <conditionalFormatting sqref="C19:C25 C39:C43 C49:C53 C59:C61">
    <cfRule type="cellIs" dxfId="5" priority="6" operator="lessThan">
      <formula>D19:D61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AND(F1048592="",MOD(ROW(),2)=1)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7:G72">
    <cfRule type="containsBlanks" dxfId="1" priority="25">
      <formula>LEN(TRIM(A67))=0</formula>
    </cfRule>
  </conditionalFormatting>
  <conditionalFormatting sqref="A39:M44 A49:M54 G59:M62 A62:F62">
    <cfRule type="expression" dxfId="2" priority="26">
      <formula>MOD(ROW(),2)=0</formula>
    </cfRule>
  </conditionalFormatting>
  <conditionalFormatting sqref="C39:E44 C49:E54 C62:E62">
    <cfRule type="expression" dxfId="6" priority="27">
      <formula>AND(OR($G$3&lt;&gt;"",$E$38&lt;&gt;$M$38),MOD(ROW(),2)=1)</formula>
    </cfRule>
  </conditionalFormatting>
  <conditionalFormatting sqref="C39:E44 C49:E54 C59:E62">
    <cfRule type="expression" dxfId="7" priority="28">
      <formula>AND(OR($G$3&lt;&gt;"",$E$38&lt;&gt;$M$38),MOD(ROW(),2)=0)</formula>
    </cfRule>
  </conditionalFormatting>
  <conditionalFormatting sqref="D39:E44 D49:E54 D62:E62 D59:E61">
    <cfRule type="expression" dxfId="10" priority="29">
      <formula>AND($G$3="",MOD(ROW(),2)=1)</formula>
    </cfRule>
  </conditionalFormatting>
  <conditionalFormatting sqref="J39:K44 L39:L43 J49:K54 L49:L53 J59:K62 L59:L61">
    <cfRule type="expression" dxfId="6" priority="30">
      <formula>AND(OR($G$3="",$E$38&lt;&gt;$M$38),MOD(ROW(),2)=1)</formula>
    </cfRule>
  </conditionalFormatting>
  <conditionalFormatting sqref="J39:K44 L39:L43 J49:K54 L49:L53 J59:K62 L59:L61">
    <cfRule type="expression" dxfId="7" priority="31">
      <formula>AND(OR($G$3="",$E$38&lt;&gt;$M$38),MOD(ROW(),2)=0)</formula>
    </cfRule>
  </conditionalFormatting>
  <conditionalFormatting sqref="J39:K44 L39:L43 J49:K54 L49:L53 J59:K62 L59:L61">
    <cfRule type="expression" dxfId="0" priority="32">
      <formula>AND($G$3&lt;&gt;"",MOD(ROW(),2)=0)</formula>
    </cfRule>
  </conditionalFormatting>
  <conditionalFormatting sqref="J39:K44 L39:L43 J49:K54 L49:L53 J59:K62 L59:L61">
    <cfRule type="expression" dxfId="8" priority="33">
      <formula>AND($G$3&lt;&gt;"",MOD(ROW(),2)=1)</formula>
    </cfRule>
  </conditionalFormatting>
  <conditionalFormatting sqref="L39:M44 L49:M54 L59:M62">
    <cfRule type="expression" dxfId="11" priority="34">
      <formula>AND($E$38=$M$38,MOD(ROW(),2)=1)</formula>
    </cfRule>
  </conditionalFormatting>
  <conditionalFormatting sqref="L39:M44 L49:M54 L59:M62">
    <cfRule type="expression" dxfId="7" priority="35">
      <formula>AND($E$38=$M$38,MOD(ROW(),2)=0)</formula>
    </cfRule>
  </conditionalFormatting>
  <conditionalFormatting sqref="L39:M44 L49:M54 L59:M62">
    <cfRule type="expression" dxfId="0" priority="36">
      <formula>AND($E$38&lt;&gt;$M$38,MOD(ROW(),2)=0)</formula>
    </cfRule>
  </conditionalFormatting>
  <conditionalFormatting sqref="L39:M44 L49:M54 L59:M62">
    <cfRule type="expression" dxfId="8" priority="37">
      <formula>AND($E$38&lt;&gt;$M$38,MOD(ROW(),2)=1)</formula>
    </cfRule>
  </conditionalFormatting>
  <conditionalFormatting sqref="A59:F61 A67:G72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0 A42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A41">
      <formula1>'Voorraadfiche Grondstoffen'!$F$8:$F$100</formula1>
    </dataValidation>
    <dataValidation type="list" allowBlank="1" sqref="F49:F53">
      <formula1>"Maisch,Kook,Whirlpool,Primaire fermentatie,Secundaire fermentatie"</formula1>
    </dataValidation>
    <dataValidation type="list" allowBlank="1" sqref="A59:A61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3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103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320.0</v>
      </c>
      <c r="C5" s="45"/>
      <c r="D5" s="45"/>
      <c r="E5" s="46" t="s">
        <v>10</v>
      </c>
      <c r="F5" s="47"/>
      <c r="G5" s="48">
        <f>if(D26=0,"",1+(G8/(258.6-((G8/258.2)*227.1))))</f>
        <v>1.054053152</v>
      </c>
      <c r="H5" s="49"/>
      <c r="I5" s="40"/>
      <c r="J5" s="50" t="s">
        <v>10</v>
      </c>
      <c r="K5" s="51">
        <v>1.044</v>
      </c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160.0</v>
      </c>
      <c r="C6" s="45"/>
      <c r="D6" s="45"/>
      <c r="E6" s="50" t="s">
        <v>11</v>
      </c>
      <c r="G6" s="48">
        <f>if(D26=0,"",(G5-1)*(1-'003 - Mystieke Margarita'!Attenuation)+1)</f>
        <v>1.01081063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0.8</v>
      </c>
      <c r="C7" s="61"/>
      <c r="D7" s="45"/>
      <c r="E7" s="50" t="s">
        <v>12</v>
      </c>
      <c r="G7" s="62">
        <f>if(D26=0,"",(G5-G6)*131.25/100)</f>
        <v>0.05675580955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0.7</v>
      </c>
      <c r="C8" s="45"/>
      <c r="D8" s="45"/>
      <c r="E8" s="56" t="s">
        <v>13</v>
      </c>
      <c r="G8" s="64">
        <f>if(D26=0,"",SUMPRODUCT(D19:D25,F19:F25)*'003 - Mystieke Margarita'!Brouwefficientie/'003 - Mystieke Margarita'!Volume*100)</f>
        <v>13.34375</v>
      </c>
      <c r="H8" s="65"/>
      <c r="I8" s="40"/>
      <c r="J8" s="66" t="s">
        <v>13</v>
      </c>
      <c r="K8" s="67">
        <f>if(ISBLANK(K5),"",(-1*616.868)+(1111.14*K5)-(630.272*POWER(K5,2))+(135.997*POWER(K5,3)))</f>
        <v>10.95607675</v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('003 - Mystieke Margarita'!FG-1)/(1-'003 - Mystieke Margarita'!Attenuation)+1</f>
        <v>1.047619048</v>
      </c>
      <c r="C9" s="70"/>
      <c r="D9" s="45"/>
      <c r="E9" s="71" t="s">
        <v>36</v>
      </c>
      <c r="G9" s="72">
        <f>IF(D44=0,"",R44)</f>
        <v>0</v>
      </c>
      <c r="H9" s="49"/>
      <c r="I9" s="40"/>
      <c r="J9" s="73" t="s">
        <v>14</v>
      </c>
      <c r="K9" s="74">
        <f>iferror(K8/G8*B8,"")</f>
        <v>0.57474501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1.00952381</v>
      </c>
      <c r="C10" s="75"/>
      <c r="D10" s="40"/>
      <c r="E10" s="71" t="s">
        <v>37</v>
      </c>
      <c r="G10" s="72">
        <f>if(G26=0,"",1.4922*P26*0.6859*1.97)</f>
        <v>7.783135235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1">
        <v>0.05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(-1*616.868)+(1111.14*'003 - Mystieke Margarita'!OG)-(630.272*POWER('003 - Mystieke Margarita'!OG,2))+(135.997*POWER('003 - Mystieke Margarita'!OG,3))</f>
        <v>11.82131303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'003 - Mystieke Margarita'!Plato/100*'003 - Mystieke Margarita'!Volume</f>
        <v>37.82820171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D15/F16/'003 - Mystieke Margarita'!Brouwefficientie</f>
        <v>67.55036019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50.0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0.625</v>
      </c>
      <c r="I19" s="113"/>
      <c r="J19" s="114">
        <f t="shared" ref="J19:J25" si="3">IF(ISBLANK(D19),"",D19/$B$5*100)</f>
        <v>15.625</v>
      </c>
      <c r="K19" s="110" t="str">
        <f t="shared" ref="K19:K26" si="4">K$18</f>
        <v>kg</v>
      </c>
      <c r="L19" s="114">
        <f t="shared" ref="L19:L25" si="5">IF(ISBLANK(D19),"",D19/$B$5*$B$6)</f>
        <v>25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2.198630452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54</v>
      </c>
      <c r="B20" s="117"/>
      <c r="C20" s="108">
        <f>iferror(VLOOKUP(A20,'Voorraadfiche Grondstoffen'!$A$2:$D$100,4,False),"")</f>
        <v>80</v>
      </c>
      <c r="D20" s="109">
        <v>15.0</v>
      </c>
      <c r="E20" s="118" t="str">
        <f t="shared" si="1"/>
        <v>kg</v>
      </c>
      <c r="F20" s="119">
        <v>0.75</v>
      </c>
      <c r="G20" s="120">
        <v>2.0</v>
      </c>
      <c r="H20" s="113">
        <f t="shared" si="2"/>
        <v>0.1875</v>
      </c>
      <c r="I20" s="113"/>
      <c r="J20" s="114">
        <f t="shared" si="3"/>
        <v>4.6875</v>
      </c>
      <c r="K20" s="118" t="str">
        <f t="shared" si="4"/>
        <v>kg</v>
      </c>
      <c r="L20" s="114">
        <f t="shared" si="5"/>
        <v>7.5</v>
      </c>
      <c r="M20" s="121" t="str">
        <f t="shared" si="6"/>
        <v>kg</v>
      </c>
      <c r="N20" s="89"/>
      <c r="O20" s="89">
        <f t="shared" si="7"/>
        <v>1.311088144</v>
      </c>
      <c r="P20" s="105">
        <f>D20/kgperpound*lpergallon/$B$5*O20</f>
        <v>0.5128854224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 t="s">
        <v>94</v>
      </c>
      <c r="B21" s="117"/>
      <c r="C21" s="108" t="str">
        <f>iferror(VLOOKUP(A21,'Voorraadfiche Grondstoffen'!$A$2:$D$100,4,False),"")</f>
        <v/>
      </c>
      <c r="D21" s="109">
        <v>0.0</v>
      </c>
      <c r="E21" s="118" t="str">
        <f t="shared" si="1"/>
        <v>kg</v>
      </c>
      <c r="F21" s="119">
        <v>0.78</v>
      </c>
      <c r="G21" s="120">
        <v>1.0</v>
      </c>
      <c r="H21" s="113">
        <f t="shared" si="2"/>
        <v>0</v>
      </c>
      <c r="I21" s="113"/>
      <c r="J21" s="114">
        <f t="shared" si="3"/>
        <v>0</v>
      </c>
      <c r="K21" s="118" t="str">
        <f t="shared" si="4"/>
        <v>kg</v>
      </c>
      <c r="L21" s="114">
        <f t="shared" si="5"/>
        <v>0</v>
      </c>
      <c r="M21" s="121" t="str">
        <f t="shared" si="6"/>
        <v>kg</v>
      </c>
      <c r="N21" s="89"/>
      <c r="O21" s="89">
        <f t="shared" si="7"/>
        <v>0.9360696885</v>
      </c>
      <c r="P21" s="105">
        <f>D21/kgperpound*lpergallon/$B$5*O21</f>
        <v>0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 t="s">
        <v>95</v>
      </c>
      <c r="B22" s="117"/>
      <c r="C22" s="108">
        <f>iferror(VLOOKUP(A22,'Voorraadfiche Grondstoffen'!$A$2:$D$100,4,False),"")</f>
        <v>5.5</v>
      </c>
      <c r="D22" s="109">
        <v>10.0</v>
      </c>
      <c r="E22" s="118" t="str">
        <f t="shared" si="1"/>
        <v>kg</v>
      </c>
      <c r="F22" s="119">
        <v>0.7</v>
      </c>
      <c r="G22" s="120">
        <v>1.0</v>
      </c>
      <c r="H22" s="113">
        <f t="shared" si="2"/>
        <v>0.125</v>
      </c>
      <c r="I22" s="113"/>
      <c r="J22" s="114">
        <f t="shared" si="3"/>
        <v>3.125</v>
      </c>
      <c r="K22" s="118" t="str">
        <f t="shared" si="4"/>
        <v>kg</v>
      </c>
      <c r="L22" s="114">
        <f t="shared" si="5"/>
        <v>5</v>
      </c>
      <c r="M22" s="121" t="str">
        <f t="shared" si="6"/>
        <v>kg</v>
      </c>
      <c r="N22" s="89"/>
      <c r="O22" s="89">
        <f t="shared" si="7"/>
        <v>0.9360696885</v>
      </c>
      <c r="P22" s="105">
        <f>D22/kgperpound*lpergallon/$B$5*O22</f>
        <v>0.2441211395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 t="s">
        <v>104</v>
      </c>
      <c r="B23" s="117"/>
      <c r="C23" s="108" t="str">
        <f>iferror(VLOOKUP(A23,'Voorraadfiche Grondstoffen'!$A$2:$D$100,4,False),"")</f>
        <v/>
      </c>
      <c r="D23" s="109">
        <v>3.0</v>
      </c>
      <c r="E23" s="118" t="str">
        <f t="shared" si="1"/>
        <v>kg</v>
      </c>
      <c r="F23" s="119">
        <v>0.75</v>
      </c>
      <c r="G23" s="120">
        <v>5.0</v>
      </c>
      <c r="H23" s="113">
        <f t="shared" si="2"/>
        <v>0.0375</v>
      </c>
      <c r="I23" s="113"/>
      <c r="J23" s="114">
        <f t="shared" si="3"/>
        <v>0.9375</v>
      </c>
      <c r="K23" s="118" t="str">
        <f t="shared" si="4"/>
        <v>kg</v>
      </c>
      <c r="L23" s="114">
        <f t="shared" si="5"/>
        <v>1.5</v>
      </c>
      <c r="M23" s="121" t="str">
        <f t="shared" si="6"/>
        <v>kg</v>
      </c>
      <c r="N23" s="89"/>
      <c r="O23" s="89">
        <f t="shared" si="7"/>
        <v>2.436143511</v>
      </c>
      <c r="P23" s="105">
        <f>D23/kgperpound*lpergallon/$B$5*O23</f>
        <v>0.1905993124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116" t="s">
        <v>105</v>
      </c>
      <c r="B24" s="117"/>
      <c r="C24" s="108" t="str">
        <f>iferror(VLOOKUP(A24,'Voorraadfiche Grondstoffen'!$A$2:$D$100,4,False),"")</f>
        <v/>
      </c>
      <c r="D24" s="109">
        <v>1.0</v>
      </c>
      <c r="E24" s="118" t="str">
        <f t="shared" si="1"/>
        <v>kg</v>
      </c>
      <c r="F24" s="119">
        <v>0.75</v>
      </c>
      <c r="G24" s="120">
        <v>20.0</v>
      </c>
      <c r="H24" s="113">
        <f t="shared" si="2"/>
        <v>0.0125</v>
      </c>
      <c r="I24" s="113"/>
      <c r="J24" s="114">
        <f t="shared" si="3"/>
        <v>0.3125</v>
      </c>
      <c r="K24" s="118" t="str">
        <f t="shared" si="4"/>
        <v>kg</v>
      </c>
      <c r="L24" s="114">
        <f t="shared" si="5"/>
        <v>0.5</v>
      </c>
      <c r="M24" s="121" t="str">
        <f t="shared" si="6"/>
        <v>kg</v>
      </c>
      <c r="N24" s="89"/>
      <c r="O24" s="89">
        <f t="shared" si="7"/>
        <v>8.061420345</v>
      </c>
      <c r="P24" s="105">
        <f>D24/kgperpound*lpergallon/$B$5*O24</f>
        <v>0.2102368173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60" t="s">
        <v>106</v>
      </c>
      <c r="B25" s="124"/>
      <c r="C25" s="108" t="str">
        <f>iferror(VLOOKUP(A25,'Voorraadfiche Grondstoffen'!$A$2:$D$100,4,False),"")</f>
        <v/>
      </c>
      <c r="D25" s="109">
        <v>1.0</v>
      </c>
      <c r="E25" s="125" t="str">
        <f t="shared" si="1"/>
        <v>kg</v>
      </c>
      <c r="F25" s="212">
        <v>0.75</v>
      </c>
      <c r="G25" s="191">
        <v>50.0</v>
      </c>
      <c r="H25" s="113">
        <f t="shared" si="2"/>
        <v>0.0125</v>
      </c>
      <c r="I25" s="113"/>
      <c r="J25" s="114">
        <f t="shared" si="3"/>
        <v>0.3125</v>
      </c>
      <c r="K25" s="125" t="str">
        <f t="shared" si="4"/>
        <v>kg</v>
      </c>
      <c r="L25" s="114">
        <f t="shared" si="5"/>
        <v>0.5</v>
      </c>
      <c r="M25" s="128" t="str">
        <f t="shared" si="6"/>
        <v>kg</v>
      </c>
      <c r="N25" s="89"/>
      <c r="O25" s="89">
        <f t="shared" si="7"/>
        <v>19.31197401</v>
      </c>
      <c r="P25" s="105">
        <f>D25/kgperpound*lpergallon/$B$5*O25</f>
        <v>0.5036442436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80</v>
      </c>
      <c r="E26" s="132" t="str">
        <f t="shared" si="1"/>
        <v>kg</v>
      </c>
      <c r="F26" s="133"/>
      <c r="G26" s="134">
        <f>sum(G19:G25)</f>
        <v>82</v>
      </c>
      <c r="H26" s="133"/>
      <c r="I26" s="133"/>
      <c r="J26" s="131">
        <f>SUM(J19:J25)</f>
        <v>25</v>
      </c>
      <c r="K26" s="132" t="str">
        <f t="shared" si="4"/>
        <v>kg</v>
      </c>
      <c r="L26" s="131">
        <f>SUM(L19:L25)</f>
        <v>40</v>
      </c>
      <c r="M26" s="132" t="str">
        <f t="shared" si="6"/>
        <v>kg</v>
      </c>
      <c r="N26" s="89"/>
      <c r="O26" s="89"/>
      <c r="P26" s="89">
        <f>SUM(P19:P25)</f>
        <v>3.860117387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2"/>
      <c r="E31" s="153">
        <v>0.0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>
        <v>45.0</v>
      </c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50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1.015101871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/>
      <c r="B39" s="107"/>
      <c r="C39" s="186"/>
      <c r="D39" s="112"/>
      <c r="E39" s="110" t="str">
        <f t="shared" ref="E39:E44" si="9">E$38</f>
        <v>g</v>
      </c>
      <c r="F39" s="112" t="s">
        <v>77</v>
      </c>
      <c r="G39" s="112"/>
      <c r="H39" s="112"/>
      <c r="I39" s="187"/>
      <c r="J39" s="188" t="str">
        <f>IF(ISBLANK(D39),"",D39/'003 - Mystieke Margarita'!Volume*100)</f>
        <v/>
      </c>
      <c r="K39" s="110" t="str">
        <f t="shared" ref="K39:K44" si="10">K$38</f>
        <v>g</v>
      </c>
      <c r="L39" s="188" t="str">
        <f>IF(ISBLANK(D39),"",D39/'003 - Mystieke Margarita'!Volume*$B$6)</f>
        <v/>
      </c>
      <c r="M39" s="115" t="str">
        <f t="shared" ref="M39:M44" si="11">M$38</f>
        <v>g</v>
      </c>
      <c r="N39" s="89"/>
      <c r="O39" s="89">
        <f>D39*ozpergram</f>
        <v>0</v>
      </c>
      <c r="P39" s="89">
        <f t="shared" ref="P39:P43" si="12">(1-POWER(2.71828182845904,((-0.04)*G39)))/4.15</f>
        <v>0</v>
      </c>
      <c r="Q39" s="89">
        <f t="shared" ref="Q39:Q43" si="13">P39*$P$37</f>
        <v>0</v>
      </c>
      <c r="R39" s="89">
        <f>IF(F39="Leaf", ((H39 *O39) *Q39  * 74.9) / '003 - Mystieke Margarita'!Volume*3.785, ((H39 *O39) * (Q39*1.1) * 74.9) / '003 - Mystieke Margarita'!Volume*3.785)</f>
        <v>0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/>
      <c r="B40" s="117"/>
      <c r="C40" s="186"/>
      <c r="D40" s="120"/>
      <c r="E40" s="118" t="str">
        <f t="shared" si="9"/>
        <v>g</v>
      </c>
      <c r="F40" s="120" t="s">
        <v>77</v>
      </c>
      <c r="G40" s="120"/>
      <c r="H40" s="120"/>
      <c r="I40" s="189"/>
      <c r="J40" s="188" t="str">
        <f>IF(ISBLANK(D40),"",D40/'003 - Mystieke Margarita'!Volume*100)</f>
        <v/>
      </c>
      <c r="K40" s="118" t="str">
        <f t="shared" si="10"/>
        <v>g</v>
      </c>
      <c r="L40" s="188" t="str">
        <f>IF(ISBLANK(D40),"",D40/'003 - Mystieke Margarita'!Volume*$B$6)</f>
        <v/>
      </c>
      <c r="M40" s="121" t="str">
        <f t="shared" si="11"/>
        <v>g</v>
      </c>
      <c r="N40" s="89"/>
      <c r="O40" s="89">
        <f>D40*ozpergram</f>
        <v>0</v>
      </c>
      <c r="P40" s="89">
        <f t="shared" si="12"/>
        <v>0</v>
      </c>
      <c r="Q40" s="89">
        <f t="shared" si="13"/>
        <v>0</v>
      </c>
      <c r="R40" s="89">
        <f>IF(F40="Leaf", ((H40 *O40) *Q40  * 74.9) / '003 - Mystieke Margarita'!Volume*3.785, ((H40 *O40) * (Q40*1.1) * 74.9) / '003 - Mystieke Margarita'!Volume*3.785)</f>
        <v>0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/>
      <c r="D41" s="120"/>
      <c r="E41" s="118" t="str">
        <f t="shared" si="9"/>
        <v>g</v>
      </c>
      <c r="F41" s="120" t="s">
        <v>77</v>
      </c>
      <c r="G41" s="120"/>
      <c r="H41" s="120"/>
      <c r="I41" s="189"/>
      <c r="J41" s="188" t="str">
        <f>IF(ISBLANK(D41),"",D41/'003 - Mystieke Margarita'!Volume*100)</f>
        <v/>
      </c>
      <c r="K41" s="118" t="str">
        <f t="shared" si="10"/>
        <v>g</v>
      </c>
      <c r="L41" s="188" t="str">
        <f>IF(ISBLANK(D41),"",D41/'003 - Mystieke Margarita'!Volume*$B$6)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'003 - Mystieke Margarita'!Volume*3.785, ((H41 *O41) * (Q41*1.1) * 74.9) / '003 - Mystieke Margarita'!Volume*3.785)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 t="s">
        <v>96</v>
      </c>
      <c r="B42" s="117"/>
      <c r="C42" s="186">
        <f>iferror(1000*VLOOKUP(A42,'Voorraadfiche Grondstoffen'!$F$2:$I$100,4,False),"")</f>
        <v>0</v>
      </c>
      <c r="D42" s="120">
        <v>1000.0</v>
      </c>
      <c r="E42" s="118" t="str">
        <f t="shared" si="9"/>
        <v>g</v>
      </c>
      <c r="F42" s="120" t="s">
        <v>77</v>
      </c>
      <c r="G42" s="120"/>
      <c r="H42" s="190"/>
      <c r="I42" s="189"/>
      <c r="J42" s="188">
        <f>IF(ISBLANK(D42),"",D42/'003 - Mystieke Margarita'!Volume*100)</f>
        <v>312.5</v>
      </c>
      <c r="K42" s="118" t="str">
        <f t="shared" si="10"/>
        <v>g</v>
      </c>
      <c r="L42" s="188">
        <f>IF(ISBLANK(D42),"",D42/'003 - Mystieke Margarita'!Volume*$B$6)</f>
        <v>500</v>
      </c>
      <c r="M42" s="121" t="str">
        <f t="shared" si="11"/>
        <v>g</v>
      </c>
      <c r="N42" s="89"/>
      <c r="O42" s="89">
        <f>D42*ozpergram</f>
        <v>35.27396</v>
      </c>
      <c r="P42" s="89">
        <f t="shared" si="12"/>
        <v>0</v>
      </c>
      <c r="Q42" s="89">
        <f t="shared" si="13"/>
        <v>0</v>
      </c>
      <c r="R42" s="89">
        <f>IF(F42="Leaf", ((H42 *O42) *Q42  * 74.9) / '003 - Mystieke Margarita'!Volume*3.785, ((H42 *O42) * (Q42*1.1) * 74.9) / '003 - Mystieke Margarita'!Volume*3.785)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60"/>
      <c r="B43" s="124"/>
      <c r="C43" s="186" t="str">
        <f>iferror(1000*VLOOKUP(A43,'Voorraadfiche Grondstoffen'!$F$2:$I$100,4,False),"")</f>
        <v/>
      </c>
      <c r="D43" s="191"/>
      <c r="E43" s="125" t="str">
        <f t="shared" si="9"/>
        <v>g</v>
      </c>
      <c r="F43" s="192"/>
      <c r="G43" s="191"/>
      <c r="H43" s="192"/>
      <c r="I43" s="193"/>
      <c r="J43" s="188" t="str">
        <f>IF(ISBLANK(D43),"",D43/'003 - Mystieke Margarita'!Volume*100)</f>
        <v/>
      </c>
      <c r="K43" s="125" t="str">
        <f t="shared" si="10"/>
        <v>g</v>
      </c>
      <c r="L43" s="188" t="str">
        <f>IF(ISBLANK(D43),"",D43/'003 - Mystieke Margarita'!Volume*$B$6)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'003 - Mystieke Margarita'!Volume*3.785, ((H43 *O43) * (Q43*1.1) * 74.9) / '003 - Mystieke Margarita'!Volume*3.785)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1000</v>
      </c>
      <c r="E44" s="194" t="str">
        <f t="shared" si="9"/>
        <v>g</v>
      </c>
      <c r="F44" s="133"/>
      <c r="G44" s="133"/>
      <c r="H44" s="133"/>
      <c r="I44" s="133"/>
      <c r="J44" s="131">
        <f>SUM(J39:J43)</f>
        <v>312.5</v>
      </c>
      <c r="K44" s="132" t="str">
        <f t="shared" si="10"/>
        <v>g</v>
      </c>
      <c r="L44" s="130">
        <f>SUM(L39:L43)</f>
        <v>500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0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 t="s">
        <v>107</v>
      </c>
      <c r="B49" s="107"/>
      <c r="C49" s="186">
        <f>iferror(1000*VLOOKUP(A49,'Voorraadfiche Grondstoffen'!$K$2:$N$100,4,False),"")</f>
        <v>0</v>
      </c>
      <c r="D49" s="112">
        <v>500.0</v>
      </c>
      <c r="E49" s="110" t="str">
        <f t="shared" ref="E49:E53" si="14">E$38</f>
        <v>g</v>
      </c>
      <c r="F49" s="112" t="s">
        <v>108</v>
      </c>
      <c r="G49" s="109">
        <f t="shared" ref="G49:G54" si="15">IF(ISBLANK(D49),"",D49/$B$5)</f>
        <v>1.5625</v>
      </c>
      <c r="H49" s="112"/>
      <c r="I49" s="195"/>
      <c r="J49" s="188">
        <f>IF(ISBLANK(D49),"",D49/'003 - Mystieke Margarita'!Volume*100)</f>
        <v>156.25</v>
      </c>
      <c r="K49" s="110" t="str">
        <f t="shared" ref="K49:K53" si="16">K$38</f>
        <v>g</v>
      </c>
      <c r="L49" s="188">
        <f>IF(ISBLANK(D49),"",D49/'003 - Mystieke Margarita'!Volume*$B$6)</f>
        <v>250</v>
      </c>
      <c r="M49" s="115" t="str">
        <f t="shared" ref="M49:M53" si="17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 t="s">
        <v>109</v>
      </c>
      <c r="B50" s="117"/>
      <c r="C50" s="186" t="str">
        <f>iferror(1000*VLOOKUP(A50,'Voorraadfiche Grondstoffen'!$K$2:$N$100,4,False),"")</f>
        <v/>
      </c>
      <c r="D50" s="120">
        <v>400.0</v>
      </c>
      <c r="E50" s="118" t="str">
        <f t="shared" si="14"/>
        <v>g</v>
      </c>
      <c r="F50" s="120" t="s">
        <v>110</v>
      </c>
      <c r="G50" s="109">
        <f t="shared" si="15"/>
        <v>1.25</v>
      </c>
      <c r="H50" s="120"/>
      <c r="I50" s="189"/>
      <c r="J50" s="188">
        <f>IF(ISBLANK(D50),"",D50/'003 - Mystieke Margarita'!Volume*100)</f>
        <v>125</v>
      </c>
      <c r="K50" s="118" t="str">
        <f t="shared" si="16"/>
        <v>g</v>
      </c>
      <c r="L50" s="188">
        <f>IF(ISBLANK(D50),"",D50/'003 - Mystieke Margarita'!Volume*$B$6)</f>
        <v>200</v>
      </c>
      <c r="M50" s="121" t="str">
        <f t="shared" si="17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 t="s">
        <v>111</v>
      </c>
      <c r="B51" s="107"/>
      <c r="C51" s="186" t="str">
        <f>iferror(1000*VLOOKUP(A51,'Voorraadfiche Grondstoffen'!$K$2:$N$100,4,False),"")</f>
        <v/>
      </c>
      <c r="D51" s="120">
        <v>200.0</v>
      </c>
      <c r="E51" s="118" t="str">
        <f t="shared" si="14"/>
        <v>g</v>
      </c>
      <c r="F51" s="120" t="s">
        <v>84</v>
      </c>
      <c r="G51" s="109">
        <f t="shared" si="15"/>
        <v>0.625</v>
      </c>
      <c r="H51" s="190"/>
      <c r="I51" s="189"/>
      <c r="J51" s="188">
        <f>IF(ISBLANK(D51),"",D51/'003 - Mystieke Margarita'!Volume*100)</f>
        <v>62.5</v>
      </c>
      <c r="K51" s="118" t="str">
        <f t="shared" si="16"/>
        <v>g</v>
      </c>
      <c r="L51" s="188">
        <f>IF(ISBLANK(D51),"",D51/'003 - Mystieke Margarita'!Volume*$B$6)</f>
        <v>100</v>
      </c>
      <c r="M51" s="121" t="str">
        <f t="shared" si="17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 t="s">
        <v>98</v>
      </c>
      <c r="B52" s="117"/>
      <c r="C52" s="186" t="str">
        <f>iferror(1000*VLOOKUP(A52,'Voorraadfiche Grondstoffen'!$K$2:$N$100,4,False),"")</f>
        <v/>
      </c>
      <c r="D52" s="120">
        <v>200.0</v>
      </c>
      <c r="E52" s="118" t="str">
        <f t="shared" si="14"/>
        <v>g</v>
      </c>
      <c r="F52" s="120" t="s">
        <v>112</v>
      </c>
      <c r="G52" s="109">
        <f t="shared" si="15"/>
        <v>0.625</v>
      </c>
      <c r="H52" s="190"/>
      <c r="I52" s="189"/>
      <c r="J52" s="188">
        <f>IF(ISBLANK(D52),"",D52/'003 - Mystieke Margarita'!Volume*100)</f>
        <v>62.5</v>
      </c>
      <c r="K52" s="118" t="str">
        <f t="shared" si="16"/>
        <v>g</v>
      </c>
      <c r="L52" s="188">
        <f>IF(ISBLANK(D52),"",D52/'003 - Mystieke Margarita'!Volume*$B$6)</f>
        <v>100</v>
      </c>
      <c r="M52" s="121" t="str">
        <f t="shared" si="17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60" t="s">
        <v>113</v>
      </c>
      <c r="B53" s="124"/>
      <c r="C53" s="186" t="str">
        <f>iferror(1000*VLOOKUP(A53,'Voorraadfiche Grondstoffen'!$K$2:$N$100,4,False),"")</f>
        <v/>
      </c>
      <c r="D53" s="191">
        <v>200.0</v>
      </c>
      <c r="E53" s="125" t="str">
        <f t="shared" si="14"/>
        <v>g</v>
      </c>
      <c r="F53" s="191" t="s">
        <v>112</v>
      </c>
      <c r="G53" s="109">
        <f t="shared" si="15"/>
        <v>0.625</v>
      </c>
      <c r="H53" s="192"/>
      <c r="I53" s="193"/>
      <c r="J53" s="188">
        <f>IF(ISBLANK(D53),"",D53/'003 - Mystieke Margarita'!Volume*100)</f>
        <v>62.5</v>
      </c>
      <c r="K53" s="125" t="str">
        <f t="shared" si="16"/>
        <v>g</v>
      </c>
      <c r="L53" s="188">
        <f>IF(ISBLANK(D53),"",D53/'003 - Mystieke Margarita'!Volume*$B$6)</f>
        <v>100</v>
      </c>
      <c r="M53" s="128" t="str">
        <f t="shared" si="17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213" t="s">
        <v>107</v>
      </c>
      <c r="C54" s="214"/>
      <c r="D54" s="213">
        <v>300.0</v>
      </c>
      <c r="E54" s="205"/>
      <c r="F54" s="213" t="s">
        <v>112</v>
      </c>
      <c r="G54" s="109">
        <f t="shared" si="15"/>
        <v>0.9375</v>
      </c>
      <c r="H54" s="204"/>
      <c r="I54" s="215"/>
      <c r="J54" s="188">
        <f>IF(ISBLANK(D54),"",D54/'003 - Mystieke Margarita'!Volume*100)</f>
        <v>93.75</v>
      </c>
      <c r="K54" s="205"/>
      <c r="L54" s="188">
        <f>IF(ISBLANK(D54),"",D54/'003 - Mystieke Margarita'!Volume*$B$6)</f>
        <v>150</v>
      </c>
      <c r="M54" s="20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129" t="s">
        <v>55</v>
      </c>
      <c r="B55" s="47"/>
      <c r="C55" s="130"/>
      <c r="D55" s="130">
        <f>SUM(D49:D54)</f>
        <v>1800</v>
      </c>
      <c r="E55" s="194" t="str">
        <f>E$38</f>
        <v>g</v>
      </c>
      <c r="F55" s="133"/>
      <c r="G55" s="133"/>
      <c r="H55" s="133"/>
      <c r="I55" s="133"/>
      <c r="J55" s="130">
        <f>SUM(J49:J53)</f>
        <v>468.75</v>
      </c>
      <c r="K55" s="132" t="str">
        <f>K$38</f>
        <v>g</v>
      </c>
      <c r="L55" s="130">
        <f>SUM(L49:L53)</f>
        <v>750</v>
      </c>
      <c r="M55" s="132" t="str">
        <f>M$38</f>
        <v>g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75" customHeight="1">
      <c r="A57" s="77" t="s">
        <v>85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0" customHeight="1">
      <c r="A58" s="175" t="s">
        <v>86</v>
      </c>
      <c r="B58" s="176"/>
      <c r="C58" s="177"/>
      <c r="D58" s="178" t="s">
        <v>44</v>
      </c>
      <c r="E58" s="176"/>
      <c r="F58" s="179" t="s">
        <v>35</v>
      </c>
      <c r="G58" s="179"/>
      <c r="H58" s="180"/>
      <c r="I58" s="181" t="s">
        <v>47</v>
      </c>
      <c r="J58" s="178" t="s">
        <v>48</v>
      </c>
      <c r="K58" s="176"/>
      <c r="L58" s="178" t="s">
        <v>49</v>
      </c>
      <c r="M58" s="176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38"/>
      <c r="B59" s="97"/>
      <c r="C59" s="98"/>
      <c r="D59" s="99" t="s">
        <v>50</v>
      </c>
      <c r="E59" s="185" t="s">
        <v>72</v>
      </c>
      <c r="F59" s="101"/>
      <c r="G59" s="101"/>
      <c r="H59" s="101"/>
      <c r="I59" s="102"/>
      <c r="J59" s="99" t="s">
        <v>50</v>
      </c>
      <c r="K59" s="185" t="str">
        <f>E59</f>
        <v>g</v>
      </c>
      <c r="L59" s="99" t="s">
        <v>50</v>
      </c>
      <c r="M59" s="104" t="s">
        <v>72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 t="s">
        <v>100</v>
      </c>
      <c r="B60" s="107"/>
      <c r="C60" s="186">
        <f>iferror(1000*VLOOKUP(A60,'Voorraadfiche Grondstoffen'!$P$2:$S$100,4,False),"")</f>
        <v>0</v>
      </c>
      <c r="D60" s="112">
        <v>125.0</v>
      </c>
      <c r="E60" s="110" t="str">
        <f t="shared" ref="E60:E62" si="18">E$59</f>
        <v>g</v>
      </c>
      <c r="F60" s="111">
        <f>B7</f>
        <v>0.8</v>
      </c>
      <c r="G60" s="112"/>
      <c r="H60" s="112"/>
      <c r="I60" s="195"/>
      <c r="J60" s="188">
        <f>IF(ISBLANK(D60),"",D60/'003 - Mystieke Margarita'!Volume*100)</f>
        <v>39.0625</v>
      </c>
      <c r="K60" s="110" t="str">
        <f t="shared" ref="K60:K63" si="19">K$38</f>
        <v>g</v>
      </c>
      <c r="L60" s="188">
        <f>IF(ISBLANK(D60),"",D60/'003 - Mystieke Margarita'!Volume*$B$6)</f>
        <v>62.5</v>
      </c>
      <c r="M60" s="115" t="str">
        <f t="shared" ref="M60:M63" si="20">M$38</f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06" t="s">
        <v>114</v>
      </c>
      <c r="B61" s="107"/>
      <c r="C61" s="186">
        <f>iferror(1000*VLOOKUP(A61,'Voorraadfiche Grondstoffen'!$P$2:$S$100,4,False),"")</f>
        <v>625</v>
      </c>
      <c r="D61" s="112"/>
      <c r="E61" s="110" t="str">
        <f t="shared" si="18"/>
        <v>g</v>
      </c>
      <c r="F61" s="196"/>
      <c r="G61" s="120"/>
      <c r="H61" s="120"/>
      <c r="I61" s="189"/>
      <c r="J61" s="188" t="str">
        <f>IF(ISBLANK(D61),"",D61/'003 - Mystieke Margarita'!Volume*100)</f>
        <v/>
      </c>
      <c r="K61" s="118" t="str">
        <f t="shared" si="19"/>
        <v>g</v>
      </c>
      <c r="L61" s="188" t="str">
        <f>IF(ISBLANK(D61),"",D61/'003 - Mystieke Margarita'!Volume*$B$6)</f>
        <v/>
      </c>
      <c r="M61" s="121" t="str">
        <f t="shared" si="20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97"/>
      <c r="B62" s="107"/>
      <c r="C62" s="186" t="str">
        <f>iferror(1000*VLOOKUP(A62,'Voorraadfiche Grondstoffen'!$P$2:$S$100,4,False),"")</f>
        <v/>
      </c>
      <c r="D62" s="188"/>
      <c r="E62" s="110" t="str">
        <f t="shared" si="18"/>
        <v>g</v>
      </c>
      <c r="F62" s="196"/>
      <c r="G62" s="120"/>
      <c r="H62" s="190"/>
      <c r="I62" s="189"/>
      <c r="J62" s="188" t="str">
        <f>IF(ISBLANK(D62),"",D62/'003 - Mystieke Margarita'!Volume*100)</f>
        <v/>
      </c>
      <c r="K62" s="118" t="str">
        <f t="shared" si="19"/>
        <v>g</v>
      </c>
      <c r="L62" s="188" t="str">
        <f>IF(ISBLANK(D62),"",D62/'003 - Mystieke Margarita'!Volume*$B$6)</f>
        <v/>
      </c>
      <c r="M62" s="121" t="str">
        <f t="shared" si="20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129" t="s">
        <v>55</v>
      </c>
      <c r="B63" s="47"/>
      <c r="C63" s="130"/>
      <c r="D63" s="130">
        <f>SUM(D58:D62)</f>
        <v>125</v>
      </c>
      <c r="E63" s="194" t="str">
        <f>E$38</f>
        <v>g</v>
      </c>
      <c r="F63" s="133"/>
      <c r="G63" s="133"/>
      <c r="H63" s="133"/>
      <c r="I63" s="133"/>
      <c r="J63" s="130">
        <f>SUM(J58:J62)</f>
        <v>39.0625</v>
      </c>
      <c r="K63" s="132" t="str">
        <f t="shared" si="19"/>
        <v>g</v>
      </c>
      <c r="L63" s="130">
        <f>SUM(L58:L62)</f>
        <v>62.5</v>
      </c>
      <c r="M63" s="132" t="str">
        <f t="shared" si="20"/>
        <v>g</v>
      </c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77" t="s">
        <v>88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175" t="s">
        <v>57</v>
      </c>
      <c r="B66" s="176"/>
      <c r="C66" s="177"/>
      <c r="D66" s="178" t="s">
        <v>89</v>
      </c>
      <c r="E66" s="176"/>
      <c r="F66" s="181" t="s">
        <v>90</v>
      </c>
      <c r="G66" s="47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38"/>
      <c r="B67" s="97"/>
      <c r="C67" s="198"/>
      <c r="D67" s="199" t="s">
        <v>58</v>
      </c>
      <c r="E67" s="100" t="s">
        <v>91</v>
      </c>
      <c r="F67" s="102"/>
      <c r="G67" s="38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A68" s="106" t="s">
        <v>115</v>
      </c>
      <c r="B68" s="107"/>
      <c r="C68" s="200"/>
      <c r="D68" s="112">
        <v>35.0</v>
      </c>
      <c r="E68" s="110" t="str">
        <f>E$83</f>
        <v/>
      </c>
      <c r="F68" s="201">
        <v>1.5</v>
      </c>
      <c r="G68" s="117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B69" s="23" t="s">
        <v>102</v>
      </c>
      <c r="D69" s="23">
        <v>22.0</v>
      </c>
      <c r="F69" s="23">
        <v>14.0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200"/>
      <c r="B71" s="200"/>
      <c r="C71" s="200"/>
      <c r="D71" s="112"/>
      <c r="E71" s="110"/>
      <c r="F71" s="153"/>
      <c r="G71" s="15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197"/>
      <c r="B72" s="107"/>
      <c r="C72" s="202"/>
      <c r="D72" s="188"/>
      <c r="E72" s="110" t="str">
        <f>E$83</f>
        <v/>
      </c>
      <c r="F72" s="203"/>
      <c r="G72" s="117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4"/>
      <c r="B73" s="204"/>
      <c r="C73" s="204"/>
      <c r="D73" s="204"/>
      <c r="E73" s="205"/>
      <c r="F73" s="206"/>
      <c r="G73" s="20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7" t="s">
        <v>93</v>
      </c>
      <c r="B74" s="208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25"/>
      <c r="O74" s="25"/>
      <c r="P74" s="25"/>
      <c r="Q74" s="25"/>
      <c r="R74" s="25"/>
      <c r="S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09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10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78"/>
      <c r="Q79" s="78"/>
      <c r="R79" s="78"/>
      <c r="S79" s="78"/>
      <c r="T79" s="78"/>
      <c r="U79" s="78"/>
      <c r="V79" s="78"/>
      <c r="W79" s="78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P89" s="78"/>
      <c r="Q89" s="78"/>
      <c r="R89" s="78"/>
      <c r="S89" s="78"/>
      <c r="T89" s="78"/>
      <c r="U89" s="78"/>
      <c r="V89" s="78"/>
      <c r="W89" s="78"/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>
      <c r="AI94" s="25"/>
      <c r="AJ94" s="2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21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8:B59"/>
    <mergeCell ref="A60:B60"/>
    <mergeCell ref="A61:B61"/>
    <mergeCell ref="A62:B62"/>
    <mergeCell ref="A63:B63"/>
    <mergeCell ref="A66:B67"/>
    <mergeCell ref="A68:B68"/>
    <mergeCell ref="A72:B72"/>
    <mergeCell ref="A49:B49"/>
    <mergeCell ref="A50:B50"/>
    <mergeCell ref="A51:B51"/>
    <mergeCell ref="A52:B52"/>
    <mergeCell ref="A53:B53"/>
    <mergeCell ref="A54:B54"/>
    <mergeCell ref="A55:B55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7:M57"/>
    <mergeCell ref="D58:E58"/>
    <mergeCell ref="F58:F59"/>
    <mergeCell ref="H58:H59"/>
    <mergeCell ref="I58:I59"/>
    <mergeCell ref="J58:K58"/>
    <mergeCell ref="L58:M58"/>
    <mergeCell ref="A75:M75"/>
    <mergeCell ref="A76:M76"/>
    <mergeCell ref="A77:M77"/>
    <mergeCell ref="A78:M78"/>
    <mergeCell ref="G58:G59"/>
    <mergeCell ref="A65:G65"/>
    <mergeCell ref="D66:E66"/>
    <mergeCell ref="F66:G67"/>
    <mergeCell ref="F68:G68"/>
    <mergeCell ref="F72:G72"/>
    <mergeCell ref="B74:M74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4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4 C60:C62">
    <cfRule type="containsBlanks" dxfId="3" priority="4">
      <formula>LEN(TRIM(C19))=0</formula>
    </cfRule>
  </conditionalFormatting>
  <conditionalFormatting sqref="C19:C25 C39:C43 C49:C54 C60:C62">
    <cfRule type="cellIs" dxfId="4" priority="5" operator="greaterThanOrEqual">
      <formula>D19:D62</formula>
    </cfRule>
  </conditionalFormatting>
  <conditionalFormatting sqref="C19:C25 C39:C43 C49:C54 C60:C62">
    <cfRule type="cellIs" dxfId="5" priority="6" operator="lessThan">
      <formula>D19:D62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AND(F1048593="",MOD(ROW(),2)=1)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8:G73">
    <cfRule type="containsBlanks" dxfId="1" priority="25">
      <formula>LEN(TRIM(A68))=0</formula>
    </cfRule>
  </conditionalFormatting>
  <conditionalFormatting sqref="A39:M44 A49:M55 G60:M63 A63:F63">
    <cfRule type="expression" dxfId="2" priority="26">
      <formula>MOD(ROW(),2)=0</formula>
    </cfRule>
  </conditionalFormatting>
  <conditionalFormatting sqref="C39:E44 C49:E55 C63:E63">
    <cfRule type="expression" dxfId="6" priority="27">
      <formula>AND(OR($G$3&lt;&gt;"",$E$38&lt;&gt;$M$38),MOD(ROW(),2)=1)</formula>
    </cfRule>
  </conditionalFormatting>
  <conditionalFormatting sqref="C39:E44 C49:E55 C60:E63">
    <cfRule type="expression" dxfId="7" priority="28">
      <formula>AND(OR($G$3&lt;&gt;"",$E$38&lt;&gt;$M$38),MOD(ROW(),2)=0)</formula>
    </cfRule>
  </conditionalFormatting>
  <conditionalFormatting sqref="D39:E44 D49:E55 D63:E63 D60:E62">
    <cfRule type="expression" dxfId="10" priority="29">
      <formula>AND($G$3="",MOD(ROW(),2)=1)</formula>
    </cfRule>
  </conditionalFormatting>
  <conditionalFormatting sqref="J39:K44 L39:L43 J49:K55 L49:L54 J60:K63 L60:L62">
    <cfRule type="expression" dxfId="6" priority="30">
      <formula>AND(OR($G$3="",$E$38&lt;&gt;$M$38),MOD(ROW(),2)=1)</formula>
    </cfRule>
  </conditionalFormatting>
  <conditionalFormatting sqref="J39:K44 L39:L43 J49:K55 L49:L54 J60:K63 L60:L62">
    <cfRule type="expression" dxfId="7" priority="31">
      <formula>AND(OR($G$3="",$E$38&lt;&gt;$M$38),MOD(ROW(),2)=0)</formula>
    </cfRule>
  </conditionalFormatting>
  <conditionalFormatting sqref="J39:K44 L39:L43 J49:K55 L49:L54 J60:K63 L60:L62">
    <cfRule type="expression" dxfId="0" priority="32">
      <formula>AND($G$3&lt;&gt;"",MOD(ROW(),2)=0)</formula>
    </cfRule>
  </conditionalFormatting>
  <conditionalFormatting sqref="J39:K44 L39:L43 J49:K55 L49:L54 J60:K63 L60:L62">
    <cfRule type="expression" dxfId="8" priority="33">
      <formula>AND($G$3&lt;&gt;"",MOD(ROW(),2)=1)</formula>
    </cfRule>
  </conditionalFormatting>
  <conditionalFormatting sqref="L39:M44 L49:M55 L60:M63">
    <cfRule type="expression" dxfId="11" priority="34">
      <formula>AND($E$38=$M$38,MOD(ROW(),2)=1)</formula>
    </cfRule>
  </conditionalFormatting>
  <conditionalFormatting sqref="L39:M44 L49:M55 L60:M63">
    <cfRule type="expression" dxfId="7" priority="35">
      <formula>AND($E$38=$M$38,MOD(ROW(),2)=0)</formula>
    </cfRule>
  </conditionalFormatting>
  <conditionalFormatting sqref="L39:M44 L49:M55 L60:M63">
    <cfRule type="expression" dxfId="0" priority="36">
      <formula>AND($E$38&lt;&gt;$M$38,MOD(ROW(),2)=0)</formula>
    </cfRule>
  </conditionalFormatting>
  <conditionalFormatting sqref="L39:M44 L49:M55 L60:M63">
    <cfRule type="expression" dxfId="8" priority="37">
      <formula>AND($E$38&lt;&gt;$M$38,MOD(ROW(),2)=1)</formula>
    </cfRule>
  </conditionalFormatting>
  <conditionalFormatting sqref="A60:F62 A68:G73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0 A42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A41">
      <formula1>'Voorraadfiche Grondstoffen'!$F$8:$F$100</formula1>
    </dataValidation>
    <dataValidation type="list" allowBlank="1" sqref="F49:F54">
      <formula1>"Maisch,Kook,Whirlpool,Primaire fermentatie,Secundaire fermentatie"</formula1>
    </dataValidation>
    <dataValidation type="list" allowBlank="1" sqref="A60:A62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4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116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320.0</v>
      </c>
      <c r="C5" s="45"/>
      <c r="D5" s="45"/>
      <c r="E5" s="46" t="s">
        <v>10</v>
      </c>
      <c r="F5" s="47"/>
      <c r="G5" s="48">
        <f>if(D26=0,"",1+(G8/(258.6-((G8/258.2)*227.1))))</f>
        <v>1.052014507</v>
      </c>
      <c r="H5" s="49"/>
      <c r="I5" s="40"/>
      <c r="J5" s="50" t="s">
        <v>10</v>
      </c>
      <c r="K5" s="51">
        <v>1.044</v>
      </c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160.0</v>
      </c>
      <c r="C6" s="45"/>
      <c r="D6" s="45"/>
      <c r="E6" s="50" t="s">
        <v>11</v>
      </c>
      <c r="G6" s="48">
        <f>if(D26=0,"",(G5-1)*(1-'004 - Elegante Elodie'!Attenuation)+1)</f>
        <v>1.001560435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0.97</v>
      </c>
      <c r="C7" s="61"/>
      <c r="D7" s="45"/>
      <c r="E7" s="50" t="s">
        <v>12</v>
      </c>
      <c r="G7" s="62">
        <f>if(D26=0,"",(G5-G6)*131.25/100)</f>
        <v>0.06622096984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0.7</v>
      </c>
      <c r="C8" s="45"/>
      <c r="D8" s="45"/>
      <c r="E8" s="56" t="s">
        <v>13</v>
      </c>
      <c r="G8" s="64">
        <f>if(D26=0,"",SUMPRODUCT(D19:D25,F19:F25)*'004 - Elegante Elodie'!Brouwefficientie/'004 - Elegante Elodie'!Volume*100)</f>
        <v>12.8625</v>
      </c>
      <c r="H8" s="65"/>
      <c r="I8" s="40"/>
      <c r="J8" s="66" t="s">
        <v>13</v>
      </c>
      <c r="K8" s="67">
        <f>if(ISBLANK(K5),"",(-1*616.868)+(1111.14*K5)-(630.272*POWER(K5,2))+(135.997*POWER(K5,3)))</f>
        <v>10.95607675</v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('004 - Elegante Elodie'!FG-1)/(1-'004 - Elegante Elodie'!Attenuation)+1</f>
        <v>1.051840943</v>
      </c>
      <c r="C9" s="70"/>
      <c r="D9" s="45"/>
      <c r="E9" s="71" t="s">
        <v>36</v>
      </c>
      <c r="G9" s="72" t="str">
        <f>IF(D44=0,"",R44)</f>
        <v/>
      </c>
      <c r="H9" s="49"/>
      <c r="I9" s="40"/>
      <c r="J9" s="73" t="s">
        <v>14</v>
      </c>
      <c r="K9" s="74">
        <f>iferror(K8/G8*B8,"")</f>
        <v>0.596249075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1.001555228</v>
      </c>
      <c r="C10" s="75"/>
      <c r="D10" s="40"/>
      <c r="E10" s="71" t="s">
        <v>37</v>
      </c>
      <c r="G10" s="72">
        <f>if(G26=0,"",1.4922*P26*0.6859*1.97)</f>
        <v>6.353833293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6">
        <v>0.066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(-1*616.868)+(1111.14*'004 - Elegante Elodie'!OG)-(630.272*POWER('004 - Elegante Elodie'!OG,2))+(135.997*POWER('004 - Elegante Elodie'!OG,3))</f>
        <v>12.82396466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'004 - Elegante Elodie'!Plato/100*'004 - Elegante Elodie'!Volume</f>
        <v>41.03668692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D15/F16/'004 - Elegante Elodie'!Brouwefficientie</f>
        <v>73.27979807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60.0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0.8</v>
      </c>
      <c r="I19" s="113"/>
      <c r="J19" s="114">
        <f t="shared" ref="J19:J25" si="3">IF(ISBLANK(D19),"",D19/$B$5*100)</f>
        <v>18.75</v>
      </c>
      <c r="K19" s="110" t="str">
        <f t="shared" ref="K19:K26" si="4">K$18</f>
        <v>kg</v>
      </c>
      <c r="L19" s="114">
        <f t="shared" ref="L19:L25" si="5">IF(ISBLANK(D19),"",D19/$B$5*$B$6)</f>
        <v>30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2.638356542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54</v>
      </c>
      <c r="B20" s="117"/>
      <c r="C20" s="108">
        <f>iferror(VLOOKUP(A20,'Voorraadfiche Grondstoffen'!$A$2:$D$100,4,False),"")</f>
        <v>80</v>
      </c>
      <c r="D20" s="109">
        <v>15.0</v>
      </c>
      <c r="E20" s="118" t="str">
        <f t="shared" si="1"/>
        <v>kg</v>
      </c>
      <c r="F20" s="119">
        <v>0.8</v>
      </c>
      <c r="G20" s="120">
        <v>2.0</v>
      </c>
      <c r="H20" s="113">
        <f t="shared" si="2"/>
        <v>0.2</v>
      </c>
      <c r="I20" s="113"/>
      <c r="J20" s="114">
        <f t="shared" si="3"/>
        <v>4.6875</v>
      </c>
      <c r="K20" s="118" t="str">
        <f t="shared" si="4"/>
        <v>kg</v>
      </c>
      <c r="L20" s="114">
        <f t="shared" si="5"/>
        <v>7.5</v>
      </c>
      <c r="M20" s="121" t="str">
        <f t="shared" si="6"/>
        <v>kg</v>
      </c>
      <c r="N20" s="89"/>
      <c r="O20" s="89">
        <f t="shared" si="7"/>
        <v>1.311088144</v>
      </c>
      <c r="P20" s="105">
        <f>D20/kgperpound*lpergallon/$B$5*O20</f>
        <v>0.5128854224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/>
      <c r="B21" s="117"/>
      <c r="C21" s="108" t="str">
        <f>iferror(VLOOKUP(A21,'Voorraadfiche Grondstoffen'!$A$2:$D$100,4,False),"")</f>
        <v/>
      </c>
      <c r="D21" s="109"/>
      <c r="E21" s="118" t="str">
        <f t="shared" si="1"/>
        <v>kg</v>
      </c>
      <c r="F21" s="119"/>
      <c r="G21" s="120"/>
      <c r="H21" s="113" t="str">
        <f t="shared" si="2"/>
        <v/>
      </c>
      <c r="I21" s="113"/>
      <c r="J21" s="114" t="str">
        <f t="shared" si="3"/>
        <v/>
      </c>
      <c r="K21" s="118" t="str">
        <f t="shared" si="4"/>
        <v>kg</v>
      </c>
      <c r="L21" s="114" t="str">
        <f t="shared" si="5"/>
        <v/>
      </c>
      <c r="M21" s="121" t="str">
        <f t="shared" si="6"/>
        <v>kg</v>
      </c>
      <c r="N21" s="89"/>
      <c r="O21" s="89">
        <f t="shared" si="7"/>
        <v>0.5610512328</v>
      </c>
      <c r="P21" s="105">
        <f>D21/kgperpound*lpergallon/$B$5*O21</f>
        <v>0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/>
      <c r="B22" s="117"/>
      <c r="C22" s="108" t="str">
        <f>iferror(VLOOKUP(A22,'Voorraadfiche Grondstoffen'!$A$2:$D$100,4,False),"")</f>
        <v/>
      </c>
      <c r="D22" s="109"/>
      <c r="E22" s="118" t="str">
        <f t="shared" si="1"/>
        <v>kg</v>
      </c>
      <c r="F22" s="119"/>
      <c r="G22" s="120"/>
      <c r="H22" s="113" t="str">
        <f t="shared" si="2"/>
        <v/>
      </c>
      <c r="I22" s="113"/>
      <c r="J22" s="114" t="str">
        <f t="shared" si="3"/>
        <v/>
      </c>
      <c r="K22" s="118" t="str">
        <f t="shared" si="4"/>
        <v>kg</v>
      </c>
      <c r="L22" s="114" t="str">
        <f t="shared" si="5"/>
        <v/>
      </c>
      <c r="M22" s="121" t="str">
        <f t="shared" si="6"/>
        <v>kg</v>
      </c>
      <c r="N22" s="89"/>
      <c r="O22" s="89">
        <f t="shared" si="7"/>
        <v>0.5610512328</v>
      </c>
      <c r="P22" s="105">
        <f>D22/kgperpound*lpergallon/$B$5*O22</f>
        <v>0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/>
      <c r="B23" s="117"/>
      <c r="C23" s="108" t="str">
        <f>iferror(VLOOKUP(A23,'Voorraadfiche Grondstoffen'!$A$2:$D$100,4,False),"")</f>
        <v/>
      </c>
      <c r="D23" s="109"/>
      <c r="E23" s="118" t="str">
        <f t="shared" si="1"/>
        <v>kg</v>
      </c>
      <c r="F23" s="119"/>
      <c r="G23" s="120"/>
      <c r="H23" s="113" t="str">
        <f t="shared" si="2"/>
        <v/>
      </c>
      <c r="I23" s="113"/>
      <c r="J23" s="114" t="str">
        <f t="shared" si="3"/>
        <v/>
      </c>
      <c r="K23" s="118" t="str">
        <f t="shared" si="4"/>
        <v>kg</v>
      </c>
      <c r="L23" s="114" t="str">
        <f t="shared" si="5"/>
        <v/>
      </c>
      <c r="M23" s="121" t="str">
        <f t="shared" si="6"/>
        <v>kg</v>
      </c>
      <c r="N23" s="89"/>
      <c r="O23" s="89">
        <f t="shared" si="7"/>
        <v>0.5610512328</v>
      </c>
      <c r="P23" s="105">
        <f>D23/kgperpound*lpergallon/$B$5*O23</f>
        <v>0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116"/>
      <c r="B24" s="117"/>
      <c r="C24" s="108" t="str">
        <f>iferror(VLOOKUP(A24,'Voorraadfiche Grondstoffen'!$A$2:$D$100,4,False),"")</f>
        <v/>
      </c>
      <c r="D24" s="109"/>
      <c r="E24" s="118" t="str">
        <f t="shared" si="1"/>
        <v>kg</v>
      </c>
      <c r="F24" s="119"/>
      <c r="G24" s="120"/>
      <c r="H24" s="113" t="str">
        <f t="shared" si="2"/>
        <v/>
      </c>
      <c r="I24" s="113"/>
      <c r="J24" s="114" t="str">
        <f t="shared" si="3"/>
        <v/>
      </c>
      <c r="K24" s="118" t="str">
        <f t="shared" si="4"/>
        <v>kg</v>
      </c>
      <c r="L24" s="114" t="str">
        <f t="shared" si="5"/>
        <v/>
      </c>
      <c r="M24" s="121" t="str">
        <f t="shared" si="6"/>
        <v>kg</v>
      </c>
      <c r="N24" s="89"/>
      <c r="O24" s="89">
        <f t="shared" si="7"/>
        <v>0.5610512328</v>
      </c>
      <c r="P24" s="105">
        <f>D24/kgperpound*lpergallon/$B$5*O24</f>
        <v>0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60"/>
      <c r="B25" s="124"/>
      <c r="C25" s="108" t="str">
        <f>iferror(VLOOKUP(A25,'Voorraadfiche Grondstoffen'!$A$2:$D$100,4,False),"")</f>
        <v/>
      </c>
      <c r="D25" s="109"/>
      <c r="E25" s="125" t="str">
        <f t="shared" si="1"/>
        <v>kg</v>
      </c>
      <c r="F25" s="212"/>
      <c r="G25" s="191"/>
      <c r="H25" s="113" t="str">
        <f t="shared" si="2"/>
        <v/>
      </c>
      <c r="I25" s="113"/>
      <c r="J25" s="114" t="str">
        <f t="shared" si="3"/>
        <v/>
      </c>
      <c r="K25" s="125" t="str">
        <f t="shared" si="4"/>
        <v>kg</v>
      </c>
      <c r="L25" s="114" t="str">
        <f t="shared" si="5"/>
        <v/>
      </c>
      <c r="M25" s="128" t="str">
        <f t="shared" si="6"/>
        <v>kg</v>
      </c>
      <c r="N25" s="89"/>
      <c r="O25" s="89">
        <f t="shared" si="7"/>
        <v>0.5610512328</v>
      </c>
      <c r="P25" s="105">
        <f>D25/kgperpound*lpergallon/$B$5*O25</f>
        <v>0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75</v>
      </c>
      <c r="E26" s="132" t="str">
        <f t="shared" si="1"/>
        <v>kg</v>
      </c>
      <c r="F26" s="133"/>
      <c r="G26" s="134">
        <f>sum(G19:G25)</f>
        <v>5</v>
      </c>
      <c r="H26" s="133"/>
      <c r="I26" s="133"/>
      <c r="J26" s="131">
        <f>SUM(J19:J25)</f>
        <v>23.4375</v>
      </c>
      <c r="K26" s="132" t="str">
        <f t="shared" si="4"/>
        <v>kg</v>
      </c>
      <c r="L26" s="131">
        <f>SUM(L19:L25)</f>
        <v>37.5</v>
      </c>
      <c r="M26" s="132" t="str">
        <f t="shared" si="6"/>
        <v>kg</v>
      </c>
      <c r="N26" s="89"/>
      <c r="O26" s="89"/>
      <c r="P26" s="89">
        <f>SUM(P19:P25)</f>
        <v>3.151241965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2"/>
      <c r="E31" s="153">
        <v>45.0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>
        <v>0.0</v>
      </c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217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50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1.033871684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/>
      <c r="B39" s="107"/>
      <c r="C39" s="186"/>
      <c r="D39" s="112"/>
      <c r="E39" s="110" t="str">
        <f t="shared" ref="E39:E44" si="9">E$38</f>
        <v>g</v>
      </c>
      <c r="F39" s="112" t="s">
        <v>77</v>
      </c>
      <c r="G39" s="112"/>
      <c r="H39" s="112"/>
      <c r="I39" s="187"/>
      <c r="J39" s="188" t="str">
        <f>IF(ISBLANK(D39),"",D39/'004 - Elegante Elodie'!Volume*100)</f>
        <v/>
      </c>
      <c r="K39" s="110" t="str">
        <f t="shared" ref="K39:K44" si="10">K$38</f>
        <v>g</v>
      </c>
      <c r="L39" s="188" t="str">
        <f>IF(ISBLANK(D39),"",D39/'004 - Elegante Elodie'!Volume*$B$6)</f>
        <v/>
      </c>
      <c r="M39" s="115" t="str">
        <f t="shared" ref="M39:M44" si="11">M$38</f>
        <v>g</v>
      </c>
      <c r="N39" s="89"/>
      <c r="O39" s="89">
        <f>D39*ozpergram</f>
        <v>0</v>
      </c>
      <c r="P39" s="89">
        <f t="shared" ref="P39:P43" si="12">(1-POWER(2.71828182845904,((-0.04)*G39)))/4.15</f>
        <v>0</v>
      </c>
      <c r="Q39" s="89">
        <f t="shared" ref="Q39:Q43" si="13">P39*$P$37</f>
        <v>0</v>
      </c>
      <c r="R39" s="89">
        <f>IF(F39="Leaf", ((H39 *O39) *Q39  * 74.9) / '004 - Elegante Elodie'!Volume*3.785, ((H39 *O39) * (Q39*1.1) * 74.9) / '004 - Elegante Elodie'!Volume*3.785)</f>
        <v>0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/>
      <c r="B40" s="117"/>
      <c r="C40" s="186"/>
      <c r="D40" s="120"/>
      <c r="E40" s="118" t="str">
        <f t="shared" si="9"/>
        <v>g</v>
      </c>
      <c r="F40" s="120" t="s">
        <v>77</v>
      </c>
      <c r="G40" s="120"/>
      <c r="H40" s="120"/>
      <c r="I40" s="189"/>
      <c r="J40" s="188" t="str">
        <f>IF(ISBLANK(D40),"",D40/'004 - Elegante Elodie'!Volume*100)</f>
        <v/>
      </c>
      <c r="K40" s="118" t="str">
        <f t="shared" si="10"/>
        <v>g</v>
      </c>
      <c r="L40" s="188" t="str">
        <f>IF(ISBLANK(D40),"",D40/'004 - Elegante Elodie'!Volume*$B$6)</f>
        <v/>
      </c>
      <c r="M40" s="121" t="str">
        <f t="shared" si="11"/>
        <v>g</v>
      </c>
      <c r="N40" s="89"/>
      <c r="O40" s="89">
        <f>D40*ozpergram</f>
        <v>0</v>
      </c>
      <c r="P40" s="89">
        <f t="shared" si="12"/>
        <v>0</v>
      </c>
      <c r="Q40" s="89">
        <f t="shared" si="13"/>
        <v>0</v>
      </c>
      <c r="R40" s="89">
        <f>IF(F40="Leaf", ((H40 *O40) *Q40  * 74.9) / '004 - Elegante Elodie'!Volume*3.785, ((H40 *O40) * (Q40*1.1) * 74.9) / '004 - Elegante Elodie'!Volume*3.785)</f>
        <v>0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/>
      <c r="D41" s="120"/>
      <c r="E41" s="118" t="str">
        <f t="shared" si="9"/>
        <v>g</v>
      </c>
      <c r="F41" s="120" t="s">
        <v>77</v>
      </c>
      <c r="G41" s="120"/>
      <c r="H41" s="120"/>
      <c r="I41" s="189"/>
      <c r="J41" s="188" t="str">
        <f>IF(ISBLANK(D41),"",D41/'004 - Elegante Elodie'!Volume*100)</f>
        <v/>
      </c>
      <c r="K41" s="118" t="str">
        <f t="shared" si="10"/>
        <v>g</v>
      </c>
      <c r="L41" s="188" t="str">
        <f>IF(ISBLANK(D41),"",D41/'004 - Elegante Elodie'!Volume*$B$6)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'004 - Elegante Elodie'!Volume*3.785, ((H41 *O41) * (Q41*1.1) * 74.9) / '004 - Elegante Elodie'!Volume*3.785)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/>
      <c r="B42" s="117"/>
      <c r="C42" s="186" t="str">
        <f>iferror(1000*VLOOKUP(A42,'Voorraadfiche Grondstoffen'!$F$2:$I$100,4,False),"")</f>
        <v/>
      </c>
      <c r="D42" s="120"/>
      <c r="E42" s="118" t="str">
        <f t="shared" si="9"/>
        <v>g</v>
      </c>
      <c r="F42" s="120" t="s">
        <v>77</v>
      </c>
      <c r="G42" s="120"/>
      <c r="H42" s="190"/>
      <c r="I42" s="189"/>
      <c r="J42" s="188" t="str">
        <f>IF(ISBLANK(D42),"",D42/'004 - Elegante Elodie'!Volume*100)</f>
        <v/>
      </c>
      <c r="K42" s="118" t="str">
        <f t="shared" si="10"/>
        <v>g</v>
      </c>
      <c r="L42" s="188" t="str">
        <f>IF(ISBLANK(D42),"",D42/'004 - Elegante Elodie'!Volume*$B$6)</f>
        <v/>
      </c>
      <c r="M42" s="121" t="str">
        <f t="shared" si="11"/>
        <v>g</v>
      </c>
      <c r="N42" s="89"/>
      <c r="O42" s="89">
        <f>D42*ozpergram</f>
        <v>0</v>
      </c>
      <c r="P42" s="89">
        <f t="shared" si="12"/>
        <v>0</v>
      </c>
      <c r="Q42" s="89">
        <f t="shared" si="13"/>
        <v>0</v>
      </c>
      <c r="R42" s="89">
        <f>IF(F42="Leaf", ((H42 *O42) *Q42  * 74.9) / '004 - Elegante Elodie'!Volume*3.785, ((H42 *O42) * (Q42*1.1) * 74.9) / '004 - Elegante Elodie'!Volume*3.785)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60"/>
      <c r="B43" s="124"/>
      <c r="C43" s="186" t="str">
        <f>iferror(1000*VLOOKUP(A43,'Voorraadfiche Grondstoffen'!$F$2:$I$100,4,False),"")</f>
        <v/>
      </c>
      <c r="D43" s="191"/>
      <c r="E43" s="125" t="str">
        <f t="shared" si="9"/>
        <v>g</v>
      </c>
      <c r="F43" s="192"/>
      <c r="G43" s="191"/>
      <c r="H43" s="192"/>
      <c r="I43" s="193"/>
      <c r="J43" s="188" t="str">
        <f>IF(ISBLANK(D43),"",D43/'004 - Elegante Elodie'!Volume*100)</f>
        <v/>
      </c>
      <c r="K43" s="125" t="str">
        <f t="shared" si="10"/>
        <v>g</v>
      </c>
      <c r="L43" s="188" t="str">
        <f>IF(ISBLANK(D43),"",D43/'004 - Elegante Elodie'!Volume*$B$6)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'004 - Elegante Elodie'!Volume*3.785, ((H43 *O43) * (Q43*1.1) * 74.9) / '004 - Elegante Elodie'!Volume*3.785)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0</v>
      </c>
      <c r="E44" s="194" t="str">
        <f t="shared" si="9"/>
        <v>g</v>
      </c>
      <c r="F44" s="133"/>
      <c r="G44" s="133"/>
      <c r="H44" s="133"/>
      <c r="I44" s="133"/>
      <c r="J44" s="131">
        <f>SUM(J39:J43)</f>
        <v>0</v>
      </c>
      <c r="K44" s="132" t="str">
        <f t="shared" si="10"/>
        <v>g</v>
      </c>
      <c r="L44" s="130">
        <f>SUM(L39:L43)</f>
        <v>0</v>
      </c>
      <c r="M44" s="132" t="str">
        <f t="shared" si="11"/>
        <v>g</v>
      </c>
      <c r="N44" s="89"/>
      <c r="O44" s="89"/>
      <c r="P44" s="89"/>
      <c r="Q44" s="89"/>
      <c r="R44" s="89">
        <f>sum(R39:R43)</f>
        <v>0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 t="s">
        <v>117</v>
      </c>
      <c r="B49" s="107"/>
      <c r="C49" s="186" t="str">
        <f>iferror(1000*VLOOKUP(A49,'Voorraadfiche Grondstoffen'!$K$2:$N$100,4,False),"")</f>
        <v/>
      </c>
      <c r="D49" s="112"/>
      <c r="E49" s="110" t="str">
        <f t="shared" ref="E49:E53" si="14">E$38</f>
        <v>g</v>
      </c>
      <c r="F49" s="112"/>
      <c r="G49" s="109" t="str">
        <f t="shared" ref="G49:G54" si="15">IF(ISBLANK(D49),"",D49/$B$5)</f>
        <v/>
      </c>
      <c r="H49" s="112"/>
      <c r="I49" s="195"/>
      <c r="J49" s="188" t="str">
        <f>IF(ISBLANK(D49),"",D49/'004 - Elegante Elodie'!Volume*100)</f>
        <v/>
      </c>
      <c r="K49" s="110" t="str">
        <f t="shared" ref="K49:K53" si="16">K$38</f>
        <v>g</v>
      </c>
      <c r="L49" s="188" t="str">
        <f>IF(ISBLANK(D49),"",D49/'004 - Elegante Elodie'!Volume*$B$6)</f>
        <v/>
      </c>
      <c r="M49" s="115" t="str">
        <f t="shared" ref="M49:M53" si="17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 t="s">
        <v>118</v>
      </c>
      <c r="B50" s="117"/>
      <c r="C50" s="186" t="str">
        <f>iferror(1000*VLOOKUP(A50,'Voorraadfiche Grondstoffen'!$K$2:$N$100,4,False),"")</f>
        <v/>
      </c>
      <c r="D50" s="120"/>
      <c r="E50" s="118" t="str">
        <f t="shared" si="14"/>
        <v>g</v>
      </c>
      <c r="F50" s="120"/>
      <c r="G50" s="109" t="str">
        <f t="shared" si="15"/>
        <v/>
      </c>
      <c r="H50" s="120"/>
      <c r="I50" s="189"/>
      <c r="J50" s="188" t="str">
        <f>IF(ISBLANK(D50),"",D50/'004 - Elegante Elodie'!Volume*100)</f>
        <v/>
      </c>
      <c r="K50" s="118" t="str">
        <f t="shared" si="16"/>
        <v>g</v>
      </c>
      <c r="L50" s="188" t="str">
        <f>IF(ISBLANK(D50),"",D50/'004 - Elegante Elodie'!Volume*$B$6)</f>
        <v/>
      </c>
      <c r="M50" s="121" t="str">
        <f t="shared" si="17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/>
      <c r="B51" s="107"/>
      <c r="C51" s="186" t="str">
        <f>iferror(1000*VLOOKUP(A51,'Voorraadfiche Grondstoffen'!$K$2:$N$100,4,False),"")</f>
        <v/>
      </c>
      <c r="D51" s="120"/>
      <c r="E51" s="118" t="str">
        <f t="shared" si="14"/>
        <v>g</v>
      </c>
      <c r="F51" s="120"/>
      <c r="G51" s="109" t="str">
        <f t="shared" si="15"/>
        <v/>
      </c>
      <c r="H51" s="190"/>
      <c r="I51" s="189"/>
      <c r="J51" s="188" t="str">
        <f>IF(ISBLANK(D51),"",D51/'004 - Elegante Elodie'!Volume*100)</f>
        <v/>
      </c>
      <c r="K51" s="118" t="str">
        <f t="shared" si="16"/>
        <v>g</v>
      </c>
      <c r="L51" s="188" t="str">
        <f>IF(ISBLANK(D51),"",D51/'004 - Elegante Elodie'!Volume*$B$6)</f>
        <v/>
      </c>
      <c r="M51" s="121" t="str">
        <f t="shared" si="17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20"/>
      <c r="E52" s="118" t="str">
        <f t="shared" si="14"/>
        <v>g</v>
      </c>
      <c r="F52" s="120"/>
      <c r="G52" s="109" t="str">
        <f t="shared" si="15"/>
        <v/>
      </c>
      <c r="H52" s="190"/>
      <c r="I52" s="189"/>
      <c r="J52" s="188" t="str">
        <f>IF(ISBLANK(D52),"",D52/'004 - Elegante Elodie'!Volume*100)</f>
        <v/>
      </c>
      <c r="K52" s="118" t="str">
        <f t="shared" si="16"/>
        <v>g</v>
      </c>
      <c r="L52" s="188" t="str">
        <f>IF(ISBLANK(D52),"",D52/'004 - Elegante Elodie'!Volume*$B$6)</f>
        <v/>
      </c>
      <c r="M52" s="121" t="str">
        <f t="shared" si="17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60"/>
      <c r="B53" s="124"/>
      <c r="C53" s="186" t="str">
        <f>iferror(1000*VLOOKUP(A53,'Voorraadfiche Grondstoffen'!$K$2:$N$100,4,False),"")</f>
        <v/>
      </c>
      <c r="D53" s="191"/>
      <c r="E53" s="125" t="str">
        <f t="shared" si="14"/>
        <v>g</v>
      </c>
      <c r="F53" s="191"/>
      <c r="G53" s="109" t="str">
        <f t="shared" si="15"/>
        <v/>
      </c>
      <c r="H53" s="192"/>
      <c r="I53" s="193"/>
      <c r="J53" s="188" t="str">
        <f>IF(ISBLANK(D53),"",D53/'004 - Elegante Elodie'!Volume*100)</f>
        <v/>
      </c>
      <c r="K53" s="125" t="str">
        <f t="shared" si="16"/>
        <v>g</v>
      </c>
      <c r="L53" s="188" t="str">
        <f>IF(ISBLANK(D53),"",D53/'004 - Elegante Elodie'!Volume*$B$6)</f>
        <v/>
      </c>
      <c r="M53" s="128" t="str">
        <f t="shared" si="17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213"/>
      <c r="C54" s="214"/>
      <c r="D54" s="213"/>
      <c r="E54" s="205"/>
      <c r="F54" s="213"/>
      <c r="G54" s="109" t="str">
        <f t="shared" si="15"/>
        <v/>
      </c>
      <c r="H54" s="204"/>
      <c r="I54" s="215"/>
      <c r="J54" s="188" t="str">
        <f>IF(ISBLANK(D54),"",D54/'004 - Elegante Elodie'!Volume*100)</f>
        <v/>
      </c>
      <c r="K54" s="205"/>
      <c r="L54" s="188" t="str">
        <f>IF(ISBLANK(D54),"",D54/'004 - Elegante Elodie'!Volume*$B$6)</f>
        <v/>
      </c>
      <c r="M54" s="20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129" t="s">
        <v>55</v>
      </c>
      <c r="B55" s="47"/>
      <c r="C55" s="130"/>
      <c r="D55" s="130">
        <f>SUM(D49:D54)</f>
        <v>0</v>
      </c>
      <c r="E55" s="194" t="str">
        <f>E$38</f>
        <v>g</v>
      </c>
      <c r="F55" s="133"/>
      <c r="G55" s="133"/>
      <c r="H55" s="133"/>
      <c r="I55" s="133"/>
      <c r="J55" s="130">
        <f>SUM(J49:J53)</f>
        <v>0</v>
      </c>
      <c r="K55" s="132" t="str">
        <f>K$38</f>
        <v>g</v>
      </c>
      <c r="L55" s="130">
        <f>SUM(L49:L53)</f>
        <v>0</v>
      </c>
      <c r="M55" s="132" t="str">
        <f>M$38</f>
        <v>g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75" customHeight="1">
      <c r="A57" s="77" t="s">
        <v>85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0" customHeight="1">
      <c r="A58" s="175" t="s">
        <v>86</v>
      </c>
      <c r="B58" s="176"/>
      <c r="C58" s="177"/>
      <c r="D58" s="178" t="s">
        <v>44</v>
      </c>
      <c r="E58" s="176"/>
      <c r="F58" s="179" t="s">
        <v>35</v>
      </c>
      <c r="G58" s="179"/>
      <c r="H58" s="180"/>
      <c r="I58" s="181" t="s">
        <v>47</v>
      </c>
      <c r="J58" s="178" t="s">
        <v>48</v>
      </c>
      <c r="K58" s="176"/>
      <c r="L58" s="178" t="s">
        <v>49</v>
      </c>
      <c r="M58" s="176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38"/>
      <c r="B59" s="97"/>
      <c r="C59" s="98"/>
      <c r="D59" s="99" t="s">
        <v>50</v>
      </c>
      <c r="E59" s="185" t="s">
        <v>72</v>
      </c>
      <c r="F59" s="101"/>
      <c r="G59" s="101"/>
      <c r="H59" s="101"/>
      <c r="I59" s="102"/>
      <c r="J59" s="99" t="s">
        <v>50</v>
      </c>
      <c r="K59" s="185" t="str">
        <f>E59</f>
        <v>g</v>
      </c>
      <c r="L59" s="99" t="s">
        <v>50</v>
      </c>
      <c r="M59" s="104" t="s">
        <v>72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 t="s">
        <v>119</v>
      </c>
      <c r="B60" s="107"/>
      <c r="C60" s="186" t="str">
        <f>iferror(1000*VLOOKUP(A60,'Voorraadfiche Grondstoffen'!$P$2:$S$100,4,False),"")</f>
        <v/>
      </c>
      <c r="D60" s="112">
        <v>125.0</v>
      </c>
      <c r="E60" s="110" t="str">
        <f t="shared" ref="E60:E62" si="18">E$59</f>
        <v>g</v>
      </c>
      <c r="F60" s="111">
        <f>B7</f>
        <v>0.97</v>
      </c>
      <c r="G60" s="112"/>
      <c r="H60" s="112"/>
      <c r="I60" s="195"/>
      <c r="J60" s="188">
        <f>IF(ISBLANK(D60),"",D60/'004 - Elegante Elodie'!Volume*100)</f>
        <v>39.0625</v>
      </c>
      <c r="K60" s="110" t="str">
        <f t="shared" ref="K60:K63" si="19">K$38</f>
        <v>g</v>
      </c>
      <c r="L60" s="188">
        <f>IF(ISBLANK(D60),"",D60/'004 - Elegante Elodie'!Volume*$B$6)</f>
        <v>62.5</v>
      </c>
      <c r="M60" s="115" t="str">
        <f t="shared" ref="M60:M63" si="20">M$38</f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06"/>
      <c r="B61" s="107"/>
      <c r="C61" s="186" t="str">
        <f>iferror(1000*VLOOKUP(A61,'Voorraadfiche Grondstoffen'!$P$2:$S$100,4,False),"")</f>
        <v/>
      </c>
      <c r="D61" s="112"/>
      <c r="E61" s="110" t="str">
        <f t="shared" si="18"/>
        <v>g</v>
      </c>
      <c r="F61" s="196"/>
      <c r="G61" s="120"/>
      <c r="H61" s="120"/>
      <c r="I61" s="189"/>
      <c r="J61" s="188" t="str">
        <f>IF(ISBLANK(D61),"",D61/'004 - Elegante Elodie'!Volume*100)</f>
        <v/>
      </c>
      <c r="K61" s="118" t="str">
        <f t="shared" si="19"/>
        <v>g</v>
      </c>
      <c r="L61" s="188" t="str">
        <f>IF(ISBLANK(D61),"",D61/'004 - Elegante Elodie'!Volume*$B$6)</f>
        <v/>
      </c>
      <c r="M61" s="121" t="str">
        <f t="shared" si="20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97"/>
      <c r="B62" s="107"/>
      <c r="C62" s="186" t="str">
        <f>iferror(1000*VLOOKUP(A62,'Voorraadfiche Grondstoffen'!$P$2:$S$100,4,False),"")</f>
        <v/>
      </c>
      <c r="D62" s="188"/>
      <c r="E62" s="110" t="str">
        <f t="shared" si="18"/>
        <v>g</v>
      </c>
      <c r="F62" s="196"/>
      <c r="G62" s="120"/>
      <c r="H62" s="190"/>
      <c r="I62" s="189"/>
      <c r="J62" s="188" t="str">
        <f>IF(ISBLANK(D62),"",D62/'004 - Elegante Elodie'!Volume*100)</f>
        <v/>
      </c>
      <c r="K62" s="118" t="str">
        <f t="shared" si="19"/>
        <v>g</v>
      </c>
      <c r="L62" s="188" t="str">
        <f>IF(ISBLANK(D62),"",D62/'004 - Elegante Elodie'!Volume*$B$6)</f>
        <v/>
      </c>
      <c r="M62" s="121" t="str">
        <f t="shared" si="20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129" t="s">
        <v>55</v>
      </c>
      <c r="B63" s="47"/>
      <c r="C63" s="130"/>
      <c r="D63" s="130">
        <f>SUM(D58:D62)</f>
        <v>125</v>
      </c>
      <c r="E63" s="194" t="str">
        <f>E$38</f>
        <v>g</v>
      </c>
      <c r="F63" s="133"/>
      <c r="G63" s="133"/>
      <c r="H63" s="133"/>
      <c r="I63" s="133"/>
      <c r="J63" s="130">
        <f>SUM(J58:J62)</f>
        <v>39.0625</v>
      </c>
      <c r="K63" s="132" t="str">
        <f t="shared" si="19"/>
        <v>g</v>
      </c>
      <c r="L63" s="130">
        <f>SUM(L58:L62)</f>
        <v>62.5</v>
      </c>
      <c r="M63" s="132" t="str">
        <f t="shared" si="20"/>
        <v>g</v>
      </c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77" t="s">
        <v>88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175" t="s">
        <v>57</v>
      </c>
      <c r="B66" s="176"/>
      <c r="C66" s="177"/>
      <c r="D66" s="178" t="s">
        <v>89</v>
      </c>
      <c r="E66" s="176"/>
      <c r="F66" s="181" t="s">
        <v>90</v>
      </c>
      <c r="G66" s="47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38"/>
      <c r="B67" s="97"/>
      <c r="C67" s="198"/>
      <c r="D67" s="199" t="s">
        <v>58</v>
      </c>
      <c r="E67" s="100" t="s">
        <v>91</v>
      </c>
      <c r="F67" s="102"/>
      <c r="G67" s="38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A68" s="106" t="s">
        <v>115</v>
      </c>
      <c r="B68" s="107"/>
      <c r="C68" s="200"/>
      <c r="D68" s="112">
        <v>35.0</v>
      </c>
      <c r="E68" s="110" t="str">
        <f>E$83</f>
        <v/>
      </c>
      <c r="F68" s="201">
        <v>1.5</v>
      </c>
      <c r="G68" s="117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B69" s="23" t="s">
        <v>102</v>
      </c>
      <c r="D69" s="23">
        <v>22.0</v>
      </c>
      <c r="F69" s="23">
        <v>14.0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200"/>
      <c r="B71" s="200"/>
      <c r="C71" s="200"/>
      <c r="D71" s="112"/>
      <c r="E71" s="110"/>
      <c r="F71" s="153"/>
      <c r="G71" s="15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197"/>
      <c r="B72" s="107"/>
      <c r="C72" s="202"/>
      <c r="D72" s="188"/>
      <c r="E72" s="110" t="str">
        <f>E$83</f>
        <v/>
      </c>
      <c r="F72" s="203"/>
      <c r="G72" s="117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4"/>
      <c r="B73" s="204"/>
      <c r="C73" s="204"/>
      <c r="D73" s="204"/>
      <c r="E73" s="205"/>
      <c r="F73" s="206"/>
      <c r="G73" s="20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7" t="s">
        <v>93</v>
      </c>
      <c r="B74" s="208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25"/>
      <c r="O74" s="25"/>
      <c r="P74" s="25"/>
      <c r="Q74" s="25"/>
      <c r="R74" s="25"/>
      <c r="S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09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10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78"/>
      <c r="Q79" s="78"/>
      <c r="R79" s="78"/>
      <c r="S79" s="78"/>
      <c r="T79" s="78"/>
      <c r="U79" s="78"/>
      <c r="V79" s="78"/>
      <c r="W79" s="78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P89" s="78"/>
      <c r="Q89" s="78"/>
      <c r="R89" s="78"/>
      <c r="S89" s="78"/>
      <c r="T89" s="78"/>
      <c r="U89" s="78"/>
      <c r="V89" s="78"/>
      <c r="W89" s="78"/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>
      <c r="AI94" s="25"/>
      <c r="AJ94" s="2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21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8:B59"/>
    <mergeCell ref="A60:B60"/>
    <mergeCell ref="A61:B61"/>
    <mergeCell ref="A62:B62"/>
    <mergeCell ref="A63:B63"/>
    <mergeCell ref="A66:B67"/>
    <mergeCell ref="A68:B68"/>
    <mergeCell ref="A72:B72"/>
    <mergeCell ref="A49:B49"/>
    <mergeCell ref="A50:B50"/>
    <mergeCell ref="A51:B51"/>
    <mergeCell ref="A52:B52"/>
    <mergeCell ref="A53:B53"/>
    <mergeCell ref="A54:B54"/>
    <mergeCell ref="A55:B55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7:M57"/>
    <mergeCell ref="D58:E58"/>
    <mergeCell ref="F58:F59"/>
    <mergeCell ref="H58:H59"/>
    <mergeCell ref="I58:I59"/>
    <mergeCell ref="J58:K58"/>
    <mergeCell ref="L58:M58"/>
    <mergeCell ref="A75:M75"/>
    <mergeCell ref="A76:M76"/>
    <mergeCell ref="A77:M77"/>
    <mergeCell ref="A78:M78"/>
    <mergeCell ref="G58:G59"/>
    <mergeCell ref="A65:G65"/>
    <mergeCell ref="D66:E66"/>
    <mergeCell ref="F66:G67"/>
    <mergeCell ref="F68:G68"/>
    <mergeCell ref="F72:G72"/>
    <mergeCell ref="B74:M74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4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4 C60:C62">
    <cfRule type="containsBlanks" dxfId="3" priority="4">
      <formula>LEN(TRIM(C19))=0</formula>
    </cfRule>
  </conditionalFormatting>
  <conditionalFormatting sqref="C19:C25 C39:C43 C49:C54 C60:C62">
    <cfRule type="cellIs" dxfId="4" priority="5" operator="greaterThanOrEqual">
      <formula>D19:D62</formula>
    </cfRule>
  </conditionalFormatting>
  <conditionalFormatting sqref="C19:C25 C39:C43 C49:C54 C60:C62">
    <cfRule type="cellIs" dxfId="5" priority="6" operator="lessThan">
      <formula>D19:D62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AND(F1048593="",MOD(ROW(),2)=1)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8:G73">
    <cfRule type="containsBlanks" dxfId="1" priority="25">
      <formula>LEN(TRIM(A68))=0</formula>
    </cfRule>
  </conditionalFormatting>
  <conditionalFormatting sqref="A39:M44 A49:M55 G60:M63 A63:F63">
    <cfRule type="expression" dxfId="2" priority="26">
      <formula>MOD(ROW(),2)=0</formula>
    </cfRule>
  </conditionalFormatting>
  <conditionalFormatting sqref="C39:E44 C49:E55 C63:E63">
    <cfRule type="expression" dxfId="6" priority="27">
      <formula>AND(OR($G$3&lt;&gt;"",$E$38&lt;&gt;$M$38),MOD(ROW(),2)=1)</formula>
    </cfRule>
  </conditionalFormatting>
  <conditionalFormatting sqref="C39:E44 C49:E55 C60:E63">
    <cfRule type="expression" dxfId="7" priority="28">
      <formula>AND(OR($G$3&lt;&gt;"",$E$38&lt;&gt;$M$38),MOD(ROW(),2)=0)</formula>
    </cfRule>
  </conditionalFormatting>
  <conditionalFormatting sqref="D39:E44 D49:E55 D63:E63 D60:E62">
    <cfRule type="expression" dxfId="10" priority="29">
      <formula>AND($G$3="",MOD(ROW(),2)=1)</formula>
    </cfRule>
  </conditionalFormatting>
  <conditionalFormatting sqref="J39:K44 L39:L43 J49:K55 L49:L54 J60:K63 L60:L62">
    <cfRule type="expression" dxfId="6" priority="30">
      <formula>AND(OR($G$3="",$E$38&lt;&gt;$M$38),MOD(ROW(),2)=1)</formula>
    </cfRule>
  </conditionalFormatting>
  <conditionalFormatting sqref="J39:K44 L39:L43 J49:K55 L49:L54 J60:K63 L60:L62">
    <cfRule type="expression" dxfId="7" priority="31">
      <formula>AND(OR($G$3="",$E$38&lt;&gt;$M$38),MOD(ROW(),2)=0)</formula>
    </cfRule>
  </conditionalFormatting>
  <conditionalFormatting sqref="J39:K44 L39:L43 J49:K55 L49:L54 J60:K63 L60:L62">
    <cfRule type="expression" dxfId="0" priority="32">
      <formula>AND($G$3&lt;&gt;"",MOD(ROW(),2)=0)</formula>
    </cfRule>
  </conditionalFormatting>
  <conditionalFormatting sqref="J39:K44 L39:L43 J49:K55 L49:L54 J60:K63 L60:L62">
    <cfRule type="expression" dxfId="8" priority="33">
      <formula>AND($G$3&lt;&gt;"",MOD(ROW(),2)=1)</formula>
    </cfRule>
  </conditionalFormatting>
  <conditionalFormatting sqref="L39:M44 L49:M55 L60:M63">
    <cfRule type="expression" dxfId="11" priority="34">
      <formula>AND($E$38=$M$38,MOD(ROW(),2)=1)</formula>
    </cfRule>
  </conditionalFormatting>
  <conditionalFormatting sqref="L39:M44 L49:M55 L60:M63">
    <cfRule type="expression" dxfId="7" priority="35">
      <formula>AND($E$38=$M$38,MOD(ROW(),2)=0)</formula>
    </cfRule>
  </conditionalFormatting>
  <conditionalFormatting sqref="L39:M44 L49:M55 L60:M63">
    <cfRule type="expression" dxfId="0" priority="36">
      <formula>AND($E$38&lt;&gt;$M$38,MOD(ROW(),2)=0)</formula>
    </cfRule>
  </conditionalFormatting>
  <conditionalFormatting sqref="L39:M44 L49:M55 L60:M63">
    <cfRule type="expression" dxfId="8" priority="37">
      <formula>AND($E$38&lt;&gt;$M$38,MOD(ROW(),2)=1)</formula>
    </cfRule>
  </conditionalFormatting>
  <conditionalFormatting sqref="A60:F62 A68:G73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42">
      <formula1>'Voorraadfiche Grondstoffen'!$F$2:$F$100</formula1>
    </dataValidation>
    <dataValidation type="list" allowBlank="1" sqref="A30:A33">
      <formula1>Data!$A$2:$A$12</formula1>
    </dataValidation>
    <dataValidation type="list" allowBlank="1" sqref="F49:F54">
      <formula1>"Maisch,Kook,Whirlpool,Primaire fermentatie,Secundaire fermentatie"</formula1>
    </dataValidation>
    <dataValidation type="list" allowBlank="1" sqref="A60:A62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4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120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300.0</v>
      </c>
      <c r="C5" s="45"/>
      <c r="D5" s="45"/>
      <c r="E5" s="46" t="s">
        <v>10</v>
      </c>
      <c r="F5" s="47"/>
      <c r="G5" s="48">
        <f>if(D26=0,"",1+(G8/(258.6-((G8/258.2)*227.1))))</f>
        <v>1.044670165</v>
      </c>
      <c r="H5" s="49"/>
      <c r="I5" s="40"/>
      <c r="J5" s="50" t="s">
        <v>10</v>
      </c>
      <c r="K5" s="51"/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150.0</v>
      </c>
      <c r="C6" s="45"/>
      <c r="D6" s="45"/>
      <c r="E6" s="50" t="s">
        <v>11</v>
      </c>
      <c r="G6" s="48">
        <f>if(D26=0,"",(G5-1)*(1-'XXX - cola sour'!Attenuation)+1)</f>
        <v>1.011167541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0.75</v>
      </c>
      <c r="C7" s="61"/>
      <c r="D7" s="45"/>
      <c r="E7" s="50" t="s">
        <v>12</v>
      </c>
      <c r="G7" s="62">
        <f>if(D26=0,"",(G5-G6)*131.25/100)</f>
        <v>0.04397219401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0.65</v>
      </c>
      <c r="C8" s="45"/>
      <c r="D8" s="45"/>
      <c r="E8" s="56" t="s">
        <v>13</v>
      </c>
      <c r="G8" s="64">
        <f>if(D26=0,"",SUMPRODUCT(D19:D25,F19:F25)*'XXX - cola sour'!Brouwefficientie/'XXX - cola sour'!Volume*100)</f>
        <v>11.115</v>
      </c>
      <c r="H8" s="65"/>
      <c r="I8" s="40"/>
      <c r="J8" s="66" t="s">
        <v>13</v>
      </c>
      <c r="K8" s="67" t="str">
        <f>if(ISBLANK(K5),"",(-1*616.868)+(1111.14*K5)-(630.272*POWER(K5,2))+(135.997*POWER(K5,3)))</f>
        <v/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('XXX - cola sour'!FG-1)/(1-'XXX - cola sour'!Attenuation)+1</f>
        <v>1.045714286</v>
      </c>
      <c r="C9" s="70"/>
      <c r="D9" s="45"/>
      <c r="E9" s="71" t="s">
        <v>36</v>
      </c>
      <c r="G9" s="72">
        <f>IF(D44=0,"",R44)</f>
        <v>0</v>
      </c>
      <c r="H9" s="49"/>
      <c r="I9" s="40"/>
      <c r="J9" s="73" t="s">
        <v>14</v>
      </c>
      <c r="K9" s="74">
        <f>iferror(K8/G8*B8,"")</f>
        <v>0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1.011428571</v>
      </c>
      <c r="C10" s="75"/>
      <c r="D10" s="40"/>
      <c r="E10" s="71" t="s">
        <v>37</v>
      </c>
      <c r="G10" s="72">
        <f>if(G26=0,"",1.4922*P26*0.6859*1.97)</f>
        <v>85.43659475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6">
        <v>0.045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(-1*616.868)+(1111.14*'XXX - cola sour'!OG)-(630.272*POWER('XXX - cola sour'!OG,2))+(135.997*POWER('XXX - cola sour'!OG,3))</f>
        <v>11.36659035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'XXX - cola sour'!Plato/100*'XXX - cola sour'!Volume</f>
        <v>34.09977104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D15/F16/'XXX - cola sour'!Brouwefficientie</f>
        <v>65.57648277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50.0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0.7352941176</v>
      </c>
      <c r="I19" s="113"/>
      <c r="J19" s="188">
        <f t="shared" ref="J19:J25" si="3">IF(ISBLANK(D19),"",D19/$B$5*100)</f>
        <v>16.66666667</v>
      </c>
      <c r="K19" s="110" t="str">
        <f t="shared" ref="K19:K26" si="4">K$18</f>
        <v>kg</v>
      </c>
      <c r="L19" s="188">
        <f t="shared" ref="L19:L25" si="5">IF(ISBLANK(D19),"",D19/$B$5*$B$6)</f>
        <v>25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2.345205815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121</v>
      </c>
      <c r="B20" s="117"/>
      <c r="C20" s="108" t="str">
        <f>iferror(VLOOKUP(A20,'Voorraadfiche Grondstoffen'!$A$2:$D$100,4,False),"")</f>
        <v/>
      </c>
      <c r="D20" s="109">
        <v>5.0</v>
      </c>
      <c r="E20" s="118" t="str">
        <f t="shared" si="1"/>
        <v>kg</v>
      </c>
      <c r="F20" s="119">
        <v>0.78</v>
      </c>
      <c r="G20" s="120">
        <v>50.0</v>
      </c>
      <c r="H20" s="113">
        <f t="shared" si="2"/>
        <v>0.07352941176</v>
      </c>
      <c r="I20" s="113"/>
      <c r="J20" s="188">
        <f t="shared" si="3"/>
        <v>1.666666667</v>
      </c>
      <c r="K20" s="118" t="str">
        <f t="shared" si="4"/>
        <v>kg</v>
      </c>
      <c r="L20" s="188">
        <f t="shared" si="5"/>
        <v>2.5</v>
      </c>
      <c r="M20" s="121" t="str">
        <f t="shared" si="6"/>
        <v>kg</v>
      </c>
      <c r="N20" s="89"/>
      <c r="O20" s="89">
        <f t="shared" si="7"/>
        <v>19.31197401</v>
      </c>
      <c r="P20" s="105">
        <f>D20/kgperpound*lpergallon/$B$5*O20</f>
        <v>2.686102633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 t="s">
        <v>122</v>
      </c>
      <c r="B21" s="117"/>
      <c r="C21" s="108" t="str">
        <f>iferror(VLOOKUP(A21,'Voorraadfiche Grondstoffen'!$A$2:$D$100,4,False),"")</f>
        <v/>
      </c>
      <c r="D21" s="109">
        <v>5.0</v>
      </c>
      <c r="E21" s="118" t="str">
        <f t="shared" si="1"/>
        <v>kg</v>
      </c>
      <c r="F21" s="119">
        <v>0.72</v>
      </c>
      <c r="G21" s="120">
        <v>110.0</v>
      </c>
      <c r="H21" s="113">
        <f t="shared" si="2"/>
        <v>0.07352941176</v>
      </c>
      <c r="I21" s="113"/>
      <c r="J21" s="188">
        <f t="shared" si="3"/>
        <v>1.666666667</v>
      </c>
      <c r="K21" s="118" t="str">
        <f t="shared" si="4"/>
        <v>kg</v>
      </c>
      <c r="L21" s="188">
        <f t="shared" si="5"/>
        <v>2.5</v>
      </c>
      <c r="M21" s="121" t="str">
        <f t="shared" si="6"/>
        <v>kg</v>
      </c>
      <c r="N21" s="89"/>
      <c r="O21" s="89">
        <f t="shared" si="7"/>
        <v>41.81308135</v>
      </c>
      <c r="P21" s="105">
        <f>D21/kgperpound*lpergallon/$B$5*O21</f>
        <v>5.815781847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 t="s">
        <v>95</v>
      </c>
      <c r="B22" s="117"/>
      <c r="C22" s="108">
        <f>iferror(VLOOKUP(A22,'Voorraadfiche Grondstoffen'!$A$2:$D$100,4,False),"")</f>
        <v>5.5</v>
      </c>
      <c r="D22" s="109">
        <v>5.0</v>
      </c>
      <c r="E22" s="118" t="str">
        <f t="shared" si="1"/>
        <v>kg</v>
      </c>
      <c r="F22" s="119">
        <v>0.78</v>
      </c>
      <c r="G22" s="120">
        <v>2.0</v>
      </c>
      <c r="H22" s="113">
        <f t="shared" si="2"/>
        <v>0.07352941176</v>
      </c>
      <c r="I22" s="113"/>
      <c r="J22" s="188">
        <f t="shared" si="3"/>
        <v>1.666666667</v>
      </c>
      <c r="K22" s="118" t="str">
        <f t="shared" si="4"/>
        <v>kg</v>
      </c>
      <c r="L22" s="188">
        <f t="shared" si="5"/>
        <v>2.5</v>
      </c>
      <c r="M22" s="121" t="str">
        <f t="shared" si="6"/>
        <v>kg</v>
      </c>
      <c r="N22" s="89"/>
      <c r="O22" s="89">
        <f t="shared" si="7"/>
        <v>1.311088144</v>
      </c>
      <c r="P22" s="105">
        <f>D22/kgperpound*lpergallon/$B$5*O22</f>
        <v>0.1823592613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 t="s">
        <v>123</v>
      </c>
      <c r="B23" s="117"/>
      <c r="C23" s="108">
        <f>iferror(VLOOKUP(A23,'Voorraadfiche Grondstoffen'!$A$2:$D$100,4,False),"")</f>
        <v>0</v>
      </c>
      <c r="D23" s="109">
        <v>3.0</v>
      </c>
      <c r="E23" s="118" t="str">
        <f t="shared" si="1"/>
        <v>kg</v>
      </c>
      <c r="F23" s="119">
        <v>0.3</v>
      </c>
      <c r="G23" s="120">
        <v>1000.0</v>
      </c>
      <c r="H23" s="113">
        <f t="shared" si="2"/>
        <v>0.04411764706</v>
      </c>
      <c r="I23" s="113"/>
      <c r="J23" s="188">
        <f t="shared" si="3"/>
        <v>1</v>
      </c>
      <c r="K23" s="118" t="str">
        <f t="shared" si="4"/>
        <v>kg</v>
      </c>
      <c r="L23" s="188">
        <f t="shared" si="5"/>
        <v>1.5</v>
      </c>
      <c r="M23" s="121" t="str">
        <f t="shared" si="6"/>
        <v>kg</v>
      </c>
      <c r="N23" s="89"/>
      <c r="O23" s="89">
        <f t="shared" si="7"/>
        <v>375.5795069</v>
      </c>
      <c r="P23" s="105">
        <f>D23/kgperpound*lpergallon/$B$5*O23</f>
        <v>31.34361412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218"/>
      <c r="B24" s="117"/>
      <c r="C24" s="108" t="str">
        <f>iferror(VLOOKUP(A24,'Voorraadfiche Grondstoffen'!$A$2:$D$100,4,False),"")</f>
        <v/>
      </c>
      <c r="D24" s="109"/>
      <c r="E24" s="118" t="str">
        <f t="shared" si="1"/>
        <v>kg</v>
      </c>
      <c r="F24" s="219"/>
      <c r="G24" s="220"/>
      <c r="H24" s="113" t="str">
        <f t="shared" si="2"/>
        <v/>
      </c>
      <c r="I24" s="113"/>
      <c r="J24" s="188" t="str">
        <f t="shared" si="3"/>
        <v/>
      </c>
      <c r="K24" s="118" t="str">
        <f t="shared" si="4"/>
        <v>kg</v>
      </c>
      <c r="L24" s="188" t="str">
        <f t="shared" si="5"/>
        <v/>
      </c>
      <c r="M24" s="121" t="str">
        <f t="shared" si="6"/>
        <v>kg</v>
      </c>
      <c r="N24" s="89"/>
      <c r="O24" s="89">
        <f t="shared" si="7"/>
        <v>0.5610512328</v>
      </c>
      <c r="P24" s="105">
        <f>D24/kgperpound*lpergallon/$B$5*O24</f>
        <v>0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23"/>
      <c r="B25" s="124"/>
      <c r="C25" s="108" t="str">
        <f>iferror(VLOOKUP(A25,'Voorraadfiche Grondstoffen'!$A$2:$D$100,4,False),"")</f>
        <v/>
      </c>
      <c r="D25" s="109"/>
      <c r="E25" s="125" t="str">
        <f t="shared" si="1"/>
        <v>kg</v>
      </c>
      <c r="F25" s="126"/>
      <c r="G25" s="127"/>
      <c r="H25" s="113" t="str">
        <f t="shared" si="2"/>
        <v/>
      </c>
      <c r="I25" s="113"/>
      <c r="J25" s="188" t="str">
        <f t="shared" si="3"/>
        <v/>
      </c>
      <c r="K25" s="125" t="str">
        <f t="shared" si="4"/>
        <v>kg</v>
      </c>
      <c r="L25" s="188" t="str">
        <f t="shared" si="5"/>
        <v/>
      </c>
      <c r="M25" s="128" t="str">
        <f t="shared" si="6"/>
        <v>kg</v>
      </c>
      <c r="N25" s="89"/>
      <c r="O25" s="89">
        <f t="shared" si="7"/>
        <v>0.5610512328</v>
      </c>
      <c r="P25" s="105">
        <f>D25/kgperpound*lpergallon/$B$5*O25</f>
        <v>0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68</v>
      </c>
      <c r="E26" s="132" t="str">
        <f t="shared" si="1"/>
        <v>kg</v>
      </c>
      <c r="F26" s="133"/>
      <c r="G26" s="134">
        <f>sum(G19:G25)</f>
        <v>1165</v>
      </c>
      <c r="H26" s="133"/>
      <c r="I26" s="133"/>
      <c r="J26" s="130">
        <f>SUM(J19:J25)</f>
        <v>22.66666667</v>
      </c>
      <c r="K26" s="132" t="str">
        <f t="shared" si="4"/>
        <v>kg</v>
      </c>
      <c r="L26" s="130">
        <f>SUM(L19:L25)</f>
        <v>34</v>
      </c>
      <c r="M26" s="132" t="str">
        <f t="shared" si="6"/>
        <v>kg</v>
      </c>
      <c r="N26" s="89"/>
      <c r="O26" s="89"/>
      <c r="P26" s="89">
        <f>SUM(P19:P25)</f>
        <v>42.37306367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4"/>
      <c r="E31" s="153">
        <v>20.0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>
        <v>20.0</v>
      </c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45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1.10441493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 t="s">
        <v>124</v>
      </c>
      <c r="B39" s="107"/>
      <c r="C39" s="186" t="str">
        <f>iferror(1000*VLOOKUP(A39,'Voorraadfiche Grondstoffen'!$F$2:$I$100,4,False),"")</f>
        <v/>
      </c>
      <c r="D39" s="112">
        <v>200.0</v>
      </c>
      <c r="E39" s="110" t="str">
        <f t="shared" ref="E39:E44" si="9">E$38</f>
        <v>g</v>
      </c>
      <c r="F39" s="112" t="s">
        <v>77</v>
      </c>
      <c r="G39" s="112">
        <v>0.0</v>
      </c>
      <c r="H39" s="112"/>
      <c r="I39" s="195"/>
      <c r="J39" s="188">
        <f>IF(ISBLANK(D39),"",D39/'XXX - cola sour'!Volume*100)</f>
        <v>66.66666667</v>
      </c>
      <c r="K39" s="110" t="str">
        <f t="shared" ref="K39:K44" si="10">K$38</f>
        <v>g</v>
      </c>
      <c r="L39" s="188">
        <f>IF(ISBLANK(D39),"",D39/'XXX - cola sour'!Volume*$B$6)</f>
        <v>100</v>
      </c>
      <c r="M39" s="115" t="str">
        <f t="shared" ref="M39:M44" si="11">M$38</f>
        <v>g</v>
      </c>
      <c r="N39" s="89"/>
      <c r="O39" s="89">
        <f>D39*ozpergram</f>
        <v>7.054792</v>
      </c>
      <c r="P39" s="89">
        <f t="shared" ref="P39:P43" si="12">(1-POWER(2.71828182845904,((-0.04)*G39)))/4.15</f>
        <v>0</v>
      </c>
      <c r="Q39" s="89">
        <f t="shared" ref="Q39:Q43" si="13">P39*$P$37</f>
        <v>0</v>
      </c>
      <c r="R39" s="89">
        <f>IF(F39="Leaf", ((H39 *O39) *Q39  * 74.9) / 'XXX - cola sour'!Volume*3.785, ((H39 *O39) * (Q39*1.1) * 74.9) / 'XXX - cola sour'!Volume*3.785)</f>
        <v>0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/>
      <c r="B40" s="117"/>
      <c r="C40" s="186" t="str">
        <f>iferror(1000*VLOOKUP(A40,'Voorraadfiche Grondstoffen'!$F$2:$I$100,4,False),"")</f>
        <v/>
      </c>
      <c r="D40" s="120"/>
      <c r="E40" s="118" t="str">
        <f t="shared" si="9"/>
        <v>g</v>
      </c>
      <c r="F40" s="120" t="s">
        <v>77</v>
      </c>
      <c r="G40" s="120"/>
      <c r="H40" s="120"/>
      <c r="I40" s="189"/>
      <c r="J40" s="188" t="str">
        <f>IF(ISBLANK(D40),"",D40/'XXX - cola sour'!Volume*100)</f>
        <v/>
      </c>
      <c r="K40" s="118" t="str">
        <f t="shared" si="10"/>
        <v>g</v>
      </c>
      <c r="L40" s="188" t="str">
        <f>IF(ISBLANK(D40),"",D40/'XXX - cola sour'!Volume*$B$6)</f>
        <v/>
      </c>
      <c r="M40" s="121" t="str">
        <f t="shared" si="11"/>
        <v>g</v>
      </c>
      <c r="N40" s="89"/>
      <c r="O40" s="89">
        <f>D40*ozpergram</f>
        <v>0</v>
      </c>
      <c r="P40" s="89">
        <f t="shared" si="12"/>
        <v>0</v>
      </c>
      <c r="Q40" s="89">
        <f t="shared" si="13"/>
        <v>0</v>
      </c>
      <c r="R40" s="89">
        <f>IF(F40="Leaf", ((H40 *O40) *Q40  * 74.9) / 'XXX - cola sour'!Volume*3.785, ((H40 *O40) * (Q40*1.1) * 74.9) / 'XXX - cola sour'!Volume*3.785)</f>
        <v>0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 t="str">
        <f>iferror(1000*VLOOKUP(A41,'Voorraadfiche Grondstoffen'!$F$2:$I$100,4,False),"")</f>
        <v/>
      </c>
      <c r="D41" s="190"/>
      <c r="E41" s="118" t="str">
        <f t="shared" si="9"/>
        <v>g</v>
      </c>
      <c r="F41" s="120" t="s">
        <v>77</v>
      </c>
      <c r="G41" s="120"/>
      <c r="H41" s="190"/>
      <c r="I41" s="189"/>
      <c r="J41" s="188" t="str">
        <f>IF(ISBLANK(D41),"",D41/'XXX - cola sour'!Volume*100)</f>
        <v/>
      </c>
      <c r="K41" s="118" t="str">
        <f t="shared" si="10"/>
        <v>g</v>
      </c>
      <c r="L41" s="188" t="str">
        <f>IF(ISBLANK(D41),"",D41/'XXX - cola sour'!Volume*$B$6)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'XXX - cola sour'!Volume*3.785, ((H41 *O41) * (Q41*1.1) * 74.9) / 'XXX - cola sour'!Volume*3.785)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/>
      <c r="B42" s="117"/>
      <c r="C42" s="186" t="str">
        <f>iferror(1000*VLOOKUP(A42,'Voorraadfiche Grondstoffen'!$F$2:$I$100,4,False),"")</f>
        <v/>
      </c>
      <c r="D42" s="190"/>
      <c r="E42" s="118" t="str">
        <f t="shared" si="9"/>
        <v>g</v>
      </c>
      <c r="F42" s="120" t="s">
        <v>77</v>
      </c>
      <c r="G42" s="120"/>
      <c r="H42" s="190"/>
      <c r="I42" s="189"/>
      <c r="J42" s="188" t="str">
        <f>IF(ISBLANK(D42),"",D42/'XXX - cola sour'!Volume*100)</f>
        <v/>
      </c>
      <c r="K42" s="118" t="str">
        <f t="shared" si="10"/>
        <v>g</v>
      </c>
      <c r="L42" s="188" t="str">
        <f>IF(ISBLANK(D42),"",D42/'XXX - cola sour'!Volume*$B$6)</f>
        <v/>
      </c>
      <c r="M42" s="121" t="str">
        <f t="shared" si="11"/>
        <v>g</v>
      </c>
      <c r="N42" s="89"/>
      <c r="O42" s="89">
        <f>D42*ozpergram</f>
        <v>0</v>
      </c>
      <c r="P42" s="89">
        <f t="shared" si="12"/>
        <v>0</v>
      </c>
      <c r="Q42" s="89">
        <f t="shared" si="13"/>
        <v>0</v>
      </c>
      <c r="R42" s="89">
        <f>IF(F42="Leaf", ((H42 *O42) *Q42  * 74.9) / 'XXX - cola sour'!Volume*3.785, ((H42 *O42) * (Q42*1.1) * 74.9) / 'XXX - cola sour'!Volume*3.785)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23"/>
      <c r="B43" s="124"/>
      <c r="C43" s="186" t="str">
        <f>iferror(1000*VLOOKUP(A43,'Voorraadfiche Grondstoffen'!$F$2:$I$100,4,False),"")</f>
        <v/>
      </c>
      <c r="D43" s="192"/>
      <c r="E43" s="125" t="str">
        <f t="shared" si="9"/>
        <v>g</v>
      </c>
      <c r="F43" s="192"/>
      <c r="G43" s="192"/>
      <c r="H43" s="192"/>
      <c r="I43" s="193"/>
      <c r="J43" s="188" t="str">
        <f>IF(ISBLANK(D43),"",D43/'XXX - cola sour'!Volume*100)</f>
        <v/>
      </c>
      <c r="K43" s="125" t="str">
        <f t="shared" si="10"/>
        <v>g</v>
      </c>
      <c r="L43" s="188" t="str">
        <f>IF(ISBLANK(D43),"",D43/'XXX - cola sour'!Volume*$B$6)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'XXX - cola sour'!Volume*3.785, ((H43 *O43) * (Q43*1.1) * 74.9) / 'XXX - cola sour'!Volume*3.785)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200</v>
      </c>
      <c r="E44" s="194" t="str">
        <f t="shared" si="9"/>
        <v>g</v>
      </c>
      <c r="F44" s="133"/>
      <c r="G44" s="133"/>
      <c r="H44" s="133"/>
      <c r="I44" s="133"/>
      <c r="J44" s="130">
        <f>SUM(J39:J43)</f>
        <v>66.66666667</v>
      </c>
      <c r="K44" s="132" t="str">
        <f t="shared" si="10"/>
        <v>g</v>
      </c>
      <c r="L44" s="130">
        <f>SUM(L39:L43)</f>
        <v>100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0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/>
      <c r="B49" s="107"/>
      <c r="C49" s="186" t="str">
        <f>iferror(1000*VLOOKUP(A49,'Voorraadfiche Grondstoffen'!$K$2:$N$100,4,False),"")</f>
        <v/>
      </c>
      <c r="D49" s="112"/>
      <c r="E49" s="110" t="str">
        <f t="shared" ref="E49:E54" si="14">E$38</f>
        <v>g</v>
      </c>
      <c r="F49" s="112" t="s">
        <v>125</v>
      </c>
      <c r="G49" s="112" t="str">
        <f>IF(ISBLANK(D49),"",D49/#REF!)</f>
        <v/>
      </c>
      <c r="H49" s="112"/>
      <c r="I49" s="195"/>
      <c r="J49" s="188" t="str">
        <f>IF(ISBLANK(D49),"",D49/'XXX - cola sour'!Volume*100)</f>
        <v/>
      </c>
      <c r="K49" s="110" t="str">
        <f t="shared" ref="K49:K54" si="15">K$38</f>
        <v>g</v>
      </c>
      <c r="L49" s="188" t="str">
        <f>IF(ISBLANK(D49),"",D49/'XXX - cola sour'!Volume*$B$6)</f>
        <v/>
      </c>
      <c r="M49" s="115" t="str">
        <f t="shared" ref="M49:M54" si="16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/>
      <c r="B50" s="117"/>
      <c r="C50" s="186" t="str">
        <f>iferror(1000*VLOOKUP(A50,'Voorraadfiche Grondstoffen'!$K$2:$N$100,4,False),"")</f>
        <v/>
      </c>
      <c r="D50" s="120"/>
      <c r="E50" s="118" t="str">
        <f t="shared" si="14"/>
        <v>g</v>
      </c>
      <c r="F50" s="120" t="s">
        <v>84</v>
      </c>
      <c r="G50" s="112" t="str">
        <f t="shared" ref="G50:G51" si="17">IF(ISBLANK(D50),"",D50/$B$5)</f>
        <v/>
      </c>
      <c r="H50" s="120"/>
      <c r="I50" s="189"/>
      <c r="J50" s="188" t="str">
        <f>IF(ISBLANK(D50),"",D50/'XXX - cola sour'!Volume*100)</f>
        <v/>
      </c>
      <c r="K50" s="118" t="str">
        <f t="shared" si="15"/>
        <v>g</v>
      </c>
      <c r="L50" s="188" t="str">
        <f>IF(ISBLANK(D50),"",D50/'XXX - cola sour'!Volume*$B$6)</f>
        <v/>
      </c>
      <c r="M50" s="121" t="str">
        <f t="shared" si="16"/>
        <v>g</v>
      </c>
      <c r="N50" s="221" t="s">
        <v>126</v>
      </c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 t="s">
        <v>127</v>
      </c>
      <c r="B51" s="107"/>
      <c r="C51" s="186">
        <f>iferror(1000*VLOOKUP(A51,'Voorraadfiche Grondstoffen'!$K$2:$N$100,4,False),"")</f>
        <v>685</v>
      </c>
      <c r="D51" s="120">
        <v>280.0</v>
      </c>
      <c r="E51" s="118" t="str">
        <f t="shared" si="14"/>
        <v>g</v>
      </c>
      <c r="F51" s="120" t="s">
        <v>84</v>
      </c>
      <c r="G51" s="112">
        <f t="shared" si="17"/>
        <v>0.9333333333</v>
      </c>
      <c r="H51" s="190"/>
      <c r="I51" s="189"/>
      <c r="J51" s="188">
        <f>IF(ISBLANK(D51),"",D51/'XXX - cola sour'!Volume*100)</f>
        <v>93.33333333</v>
      </c>
      <c r="K51" s="118" t="str">
        <f t="shared" si="15"/>
        <v>g</v>
      </c>
      <c r="L51" s="188">
        <f>IF(ISBLANK(D51),"",D51/'XXX - cola sour'!Volume*$B$6)</f>
        <v>140</v>
      </c>
      <c r="M51" s="121" t="str">
        <f t="shared" si="16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90"/>
      <c r="E52" s="118" t="str">
        <f t="shared" si="14"/>
        <v>g</v>
      </c>
      <c r="F52" s="120"/>
      <c r="G52" s="112" t="str">
        <f t="shared" ref="G52:G53" si="18">IF(ISBLANK(D52),"",D52/#REF!)</f>
        <v/>
      </c>
      <c r="H52" s="190"/>
      <c r="I52" s="189"/>
      <c r="J52" s="188" t="str">
        <f>IF(ISBLANK(D52),"",D52/'XXX - cola sour'!Volume*100)</f>
        <v/>
      </c>
      <c r="K52" s="118" t="str">
        <f t="shared" si="15"/>
        <v>g</v>
      </c>
      <c r="L52" s="188" t="str">
        <f>IF(ISBLANK(D52),"",D52/'XXX - cola sour'!Volume*$B$6)</f>
        <v/>
      </c>
      <c r="M52" s="121" t="str">
        <f t="shared" si="16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23"/>
      <c r="B53" s="124"/>
      <c r="C53" s="186" t="str">
        <f>iferror(1000*VLOOKUP(A53,'Voorraadfiche Grondstoffen'!$K$2:$N$100,4,False),"")</f>
        <v/>
      </c>
      <c r="D53" s="192"/>
      <c r="E53" s="125" t="str">
        <f t="shared" si="14"/>
        <v>g</v>
      </c>
      <c r="F53" s="192"/>
      <c r="G53" s="112" t="str">
        <f t="shared" si="18"/>
        <v/>
      </c>
      <c r="H53" s="192"/>
      <c r="I53" s="193"/>
      <c r="J53" s="188" t="str">
        <f>IF(ISBLANK(D53),"",D53/'XXX - cola sour'!Volume*100)</f>
        <v/>
      </c>
      <c r="K53" s="125" t="str">
        <f t="shared" si="15"/>
        <v>g</v>
      </c>
      <c r="L53" s="188" t="str">
        <f>IF(ISBLANK(D53),"",D53/'XXX - cola sour'!Volume*$B$6)</f>
        <v/>
      </c>
      <c r="M53" s="128" t="str">
        <f t="shared" si="16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129" t="s">
        <v>55</v>
      </c>
      <c r="B54" s="47"/>
      <c r="C54" s="130"/>
      <c r="D54" s="130">
        <f>SUM(D49:D53)</f>
        <v>280</v>
      </c>
      <c r="E54" s="194" t="str">
        <f t="shared" si="14"/>
        <v>g</v>
      </c>
      <c r="F54" s="133"/>
      <c r="G54" s="133"/>
      <c r="H54" s="133"/>
      <c r="I54" s="133"/>
      <c r="J54" s="130">
        <f>SUM(J49:J53)</f>
        <v>93.33333333</v>
      </c>
      <c r="K54" s="132" t="str">
        <f t="shared" si="15"/>
        <v>g</v>
      </c>
      <c r="L54" s="130">
        <f>SUM(L49:L53)</f>
        <v>140</v>
      </c>
      <c r="M54" s="132" t="str">
        <f t="shared" si="16"/>
        <v>g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77" t="s">
        <v>85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0" customHeight="1">
      <c r="A57" s="175" t="s">
        <v>86</v>
      </c>
      <c r="B57" s="176"/>
      <c r="C57" s="177"/>
      <c r="D57" s="178" t="s">
        <v>44</v>
      </c>
      <c r="E57" s="176"/>
      <c r="F57" s="179" t="s">
        <v>35</v>
      </c>
      <c r="G57" s="179"/>
      <c r="H57" s="180"/>
      <c r="I57" s="181" t="s">
        <v>47</v>
      </c>
      <c r="J57" s="178" t="s">
        <v>48</v>
      </c>
      <c r="K57" s="176"/>
      <c r="L57" s="178" t="s">
        <v>49</v>
      </c>
      <c r="M57" s="17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75" customHeight="1">
      <c r="A58" s="38"/>
      <c r="B58" s="97"/>
      <c r="C58" s="98"/>
      <c r="D58" s="99" t="s">
        <v>50</v>
      </c>
      <c r="E58" s="185" t="s">
        <v>72</v>
      </c>
      <c r="F58" s="101"/>
      <c r="G58" s="101"/>
      <c r="H58" s="101"/>
      <c r="I58" s="102"/>
      <c r="J58" s="99" t="s">
        <v>50</v>
      </c>
      <c r="K58" s="185" t="str">
        <f>E58</f>
        <v>g</v>
      </c>
      <c r="L58" s="99" t="s">
        <v>50</v>
      </c>
      <c r="M58" s="104" t="s">
        <v>72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106" t="s">
        <v>128</v>
      </c>
      <c r="B59" s="107"/>
      <c r="C59" s="186">
        <f>iferror(1000*VLOOKUP(A59,'Voorraadfiche Grondstoffen'!$P$2:$S$100,4,False),"")</f>
        <v>375</v>
      </c>
      <c r="D59" s="112">
        <v>150.0</v>
      </c>
      <c r="E59" s="110" t="str">
        <f t="shared" ref="E59:E61" si="19">E$58</f>
        <v>g</v>
      </c>
      <c r="F59" s="111">
        <v>0.78</v>
      </c>
      <c r="G59" s="112"/>
      <c r="H59" s="112"/>
      <c r="I59" s="195"/>
      <c r="J59" s="188">
        <f>IF(ISBLANK(D59),"",D59/'XXX - cola sour'!Volume*100)</f>
        <v>50</v>
      </c>
      <c r="K59" s="110" t="str">
        <f t="shared" ref="K59:K62" si="20">K$38</f>
        <v>g</v>
      </c>
      <c r="L59" s="188">
        <f>IF(ISBLANK(D59),"",D59/'XXX - cola sour'!Volume*$B$6)</f>
        <v>75</v>
      </c>
      <c r="M59" s="115" t="str">
        <f t="shared" ref="M59:M62" si="21">M$38</f>
        <v>g</v>
      </c>
      <c r="N59" s="25"/>
      <c r="O59" s="25"/>
      <c r="P59" s="25"/>
      <c r="Q59" s="25"/>
      <c r="R59" s="25"/>
      <c r="S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 t="s">
        <v>100</v>
      </c>
      <c r="B60" s="107"/>
      <c r="C60" s="186">
        <f>iferror(1000*VLOOKUP(A60,'Voorraadfiche Grondstoffen'!$P$2:$S$100,4,False),"")</f>
        <v>0</v>
      </c>
      <c r="D60" s="112">
        <v>20.0</v>
      </c>
      <c r="E60" s="110" t="str">
        <f t="shared" si="19"/>
        <v>g</v>
      </c>
      <c r="F60" s="196"/>
      <c r="G60" s="120"/>
      <c r="H60" s="120"/>
      <c r="I60" s="189"/>
      <c r="J60" s="188">
        <f>IF(ISBLANK(D60),"",D60/'XXX - cola sour'!Volume*100)</f>
        <v>6.666666667</v>
      </c>
      <c r="K60" s="118" t="str">
        <f t="shared" si="20"/>
        <v>g</v>
      </c>
      <c r="L60" s="188">
        <f>IF(ISBLANK(D60),"",D60/'XXX - cola sour'!Volume*$B$6)</f>
        <v>10</v>
      </c>
      <c r="M60" s="121" t="str">
        <f t="shared" si="21"/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97"/>
      <c r="B61" s="107"/>
      <c r="C61" s="186" t="str">
        <f>iferror(1000*VLOOKUP(A61,'Voorraadfiche Grondstoffen'!$P$2:$S$100,4,False),"")</f>
        <v/>
      </c>
      <c r="D61" s="188"/>
      <c r="E61" s="110" t="str">
        <f t="shared" si="19"/>
        <v>g</v>
      </c>
      <c r="F61" s="196"/>
      <c r="G61" s="120"/>
      <c r="H61" s="190"/>
      <c r="I61" s="189"/>
      <c r="J61" s="188" t="str">
        <f>IF(ISBLANK(D61),"",D61/'XXX - cola sour'!Volume*100)</f>
        <v/>
      </c>
      <c r="K61" s="118" t="str">
        <f t="shared" si="20"/>
        <v>g</v>
      </c>
      <c r="L61" s="188" t="str">
        <f>IF(ISBLANK(D61),"",D61/'XXX - cola sour'!Volume*$B$6)</f>
        <v/>
      </c>
      <c r="M61" s="121" t="str">
        <f t="shared" si="21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29" t="s">
        <v>55</v>
      </c>
      <c r="B62" s="47"/>
      <c r="C62" s="130"/>
      <c r="D62" s="130">
        <f>SUM(D57:D61)</f>
        <v>170</v>
      </c>
      <c r="E62" s="194" t="str">
        <f>E$38</f>
        <v>g</v>
      </c>
      <c r="F62" s="133"/>
      <c r="G62" s="133"/>
      <c r="H62" s="133"/>
      <c r="I62" s="133"/>
      <c r="J62" s="130">
        <f>SUM(J57:J61)</f>
        <v>56.66666667</v>
      </c>
      <c r="K62" s="132" t="str">
        <f t="shared" si="20"/>
        <v>g</v>
      </c>
      <c r="L62" s="130">
        <f>SUM(L57:L61)</f>
        <v>85</v>
      </c>
      <c r="M62" s="132" t="str">
        <f t="shared" si="21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77" t="s">
        <v>88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175" t="s">
        <v>57</v>
      </c>
      <c r="B65" s="176"/>
      <c r="C65" s="177"/>
      <c r="D65" s="178" t="s">
        <v>89</v>
      </c>
      <c r="E65" s="176"/>
      <c r="F65" s="181" t="s">
        <v>90</v>
      </c>
      <c r="G65" s="47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38"/>
      <c r="B66" s="97"/>
      <c r="C66" s="198"/>
      <c r="D66" s="199" t="s">
        <v>58</v>
      </c>
      <c r="E66" s="100" t="s">
        <v>91</v>
      </c>
      <c r="F66" s="102"/>
      <c r="G66" s="38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106" t="s">
        <v>92</v>
      </c>
      <c r="B67" s="107"/>
      <c r="C67" s="200"/>
      <c r="D67" s="112">
        <v>21.0</v>
      </c>
      <c r="E67" s="110" t="str">
        <f>E$82</f>
        <v/>
      </c>
      <c r="F67" s="201">
        <v>14.0</v>
      </c>
      <c r="G67" s="117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A69" s="200"/>
      <c r="B69" s="200"/>
      <c r="C69" s="200"/>
      <c r="D69" s="112"/>
      <c r="E69" s="110"/>
      <c r="F69" s="153"/>
      <c r="G69" s="15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197"/>
      <c r="B71" s="107"/>
      <c r="C71" s="202"/>
      <c r="D71" s="188"/>
      <c r="E71" s="110" t="str">
        <f>E$82</f>
        <v/>
      </c>
      <c r="F71" s="203"/>
      <c r="G71" s="117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204"/>
      <c r="B72" s="204"/>
      <c r="C72" s="204"/>
      <c r="D72" s="204"/>
      <c r="E72" s="205"/>
      <c r="F72" s="206"/>
      <c r="G72" s="20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7" t="s">
        <v>93</v>
      </c>
      <c r="B73" s="208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9" t="s">
        <v>129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 t="s">
        <v>130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 t="s">
        <v>131</v>
      </c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22" t="s">
        <v>132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78"/>
      <c r="Q78" s="78"/>
      <c r="R78" s="78"/>
      <c r="S78" s="78"/>
      <c r="T78" s="78"/>
      <c r="U78" s="78"/>
      <c r="V78" s="78"/>
      <c r="W78" s="78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P79" s="78"/>
      <c r="Q79" s="78"/>
      <c r="R79" s="78"/>
      <c r="S79" s="78"/>
      <c r="T79" s="78"/>
      <c r="U79" s="78"/>
      <c r="V79" s="78"/>
      <c r="W79" s="78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C85" s="223"/>
      <c r="D85" s="107"/>
      <c r="E85" s="224"/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C86" s="225"/>
      <c r="D86" s="117"/>
      <c r="E86" s="226"/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C87" s="227"/>
      <c r="D87" s="117"/>
      <c r="E87" s="224"/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C88" s="225"/>
      <c r="D88" s="117"/>
      <c r="E88" s="228"/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4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9:B59"/>
    <mergeCell ref="A60:B60"/>
    <mergeCell ref="A61:B61"/>
    <mergeCell ref="A62:B62"/>
    <mergeCell ref="A65:B66"/>
    <mergeCell ref="A67:B67"/>
    <mergeCell ref="A71:B71"/>
    <mergeCell ref="A49:B49"/>
    <mergeCell ref="A50:B50"/>
    <mergeCell ref="A51:B51"/>
    <mergeCell ref="A52:B52"/>
    <mergeCell ref="A53:B53"/>
    <mergeCell ref="A54:B54"/>
    <mergeCell ref="A57:B58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6:M56"/>
    <mergeCell ref="D57:E57"/>
    <mergeCell ref="F57:F58"/>
    <mergeCell ref="H57:H58"/>
    <mergeCell ref="I57:I58"/>
    <mergeCell ref="J57:K57"/>
    <mergeCell ref="L57:M57"/>
    <mergeCell ref="A74:M74"/>
    <mergeCell ref="A75:M75"/>
    <mergeCell ref="A76:M76"/>
    <mergeCell ref="A77:M77"/>
    <mergeCell ref="C85:D85"/>
    <mergeCell ref="C86:D86"/>
    <mergeCell ref="C87:D87"/>
    <mergeCell ref="C88:D88"/>
    <mergeCell ref="G57:G58"/>
    <mergeCell ref="A64:G64"/>
    <mergeCell ref="D65:E65"/>
    <mergeCell ref="F65:G66"/>
    <mergeCell ref="F67:G67"/>
    <mergeCell ref="F71:G71"/>
    <mergeCell ref="B73:M73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3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3 C59:C61">
    <cfRule type="containsBlanks" dxfId="3" priority="4">
      <formula>LEN(TRIM(C19))=0</formula>
    </cfRule>
  </conditionalFormatting>
  <conditionalFormatting sqref="C19:C25 C39:C43 C49:C53 C59:C61">
    <cfRule type="cellIs" dxfId="4" priority="5" operator="greaterThanOrEqual">
      <formula>D19:D61</formula>
    </cfRule>
  </conditionalFormatting>
  <conditionalFormatting sqref="C19:C25 C39:C43 C49:C53 C59:C61">
    <cfRule type="cellIs" dxfId="5" priority="6" operator="lessThan">
      <formula>D19:D61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AND(F1048592="",MOD(ROW(),2)=1)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7:G72">
    <cfRule type="containsBlanks" dxfId="1" priority="25">
      <formula>LEN(TRIM(A67))=0</formula>
    </cfRule>
  </conditionalFormatting>
  <conditionalFormatting sqref="A39:M44 A49:M54 G59:M62 A62:F62">
    <cfRule type="expression" dxfId="2" priority="26">
      <formula>MOD(ROW(),2)=0</formula>
    </cfRule>
  </conditionalFormatting>
  <conditionalFormatting sqref="C39:E44 C49:E54 C62:E62">
    <cfRule type="expression" dxfId="6" priority="27">
      <formula>AND(OR($G$3&lt;&gt;"",$E$38&lt;&gt;$M$38),MOD(ROW(),2)=1)</formula>
    </cfRule>
  </conditionalFormatting>
  <conditionalFormatting sqref="C39:E44 C49:E54 C59:E62">
    <cfRule type="expression" dxfId="7" priority="28">
      <formula>AND(OR($G$3&lt;&gt;"",$E$38&lt;&gt;$M$38),MOD(ROW(),2)=0)</formula>
    </cfRule>
  </conditionalFormatting>
  <conditionalFormatting sqref="D39:E44 D49:E54 D62:E62 D59:E61">
    <cfRule type="expression" dxfId="10" priority="29">
      <formula>AND($G$3="",MOD(ROW(),2)=1)</formula>
    </cfRule>
  </conditionalFormatting>
  <conditionalFormatting sqref="J39:K44 L39:L43 J49:K54 L49:L53 J59:K62 L59:L61">
    <cfRule type="expression" dxfId="6" priority="30">
      <formula>AND(OR($G$3="",$E$38&lt;&gt;$M$38),MOD(ROW(),2)=1)</formula>
    </cfRule>
  </conditionalFormatting>
  <conditionalFormatting sqref="J39:K44 L39:L43 J49:K54 L49:L53 J59:K62 L59:L61">
    <cfRule type="expression" dxfId="7" priority="31">
      <formula>AND(OR($G$3="",$E$38&lt;&gt;$M$38),MOD(ROW(),2)=0)</formula>
    </cfRule>
  </conditionalFormatting>
  <conditionalFormatting sqref="J39:K44 L39:L43 J49:K54 L49:L53 J59:K62 L59:L61">
    <cfRule type="expression" dxfId="0" priority="32">
      <formula>AND($G$3&lt;&gt;"",MOD(ROW(),2)=0)</formula>
    </cfRule>
  </conditionalFormatting>
  <conditionalFormatting sqref="J39:K44 L39:L43 J49:K54 L49:L53 J59:K62 L59:L61">
    <cfRule type="expression" dxfId="8" priority="33">
      <formula>AND($G$3&lt;&gt;"",MOD(ROW(),2)=1)</formula>
    </cfRule>
  </conditionalFormatting>
  <conditionalFormatting sqref="L39:M44 L49:M54 L59:M62">
    <cfRule type="expression" dxfId="11" priority="34">
      <formula>AND($E$38=$M$38,MOD(ROW(),2)=1)</formula>
    </cfRule>
  </conditionalFormatting>
  <conditionalFormatting sqref="L39:M44 L49:M54 L59:M62">
    <cfRule type="expression" dxfId="7" priority="35">
      <formula>AND($E$38=$M$38,MOD(ROW(),2)=0)</formula>
    </cfRule>
  </conditionalFormatting>
  <conditionalFormatting sqref="L39:M44 L49:M54 L59:M62">
    <cfRule type="expression" dxfId="0" priority="36">
      <formula>AND($E$38&lt;&gt;$M$38,MOD(ROW(),2)=0)</formula>
    </cfRule>
  </conditionalFormatting>
  <conditionalFormatting sqref="L39:M44 L49:M54 L59:M62">
    <cfRule type="expression" dxfId="8" priority="37">
      <formula>AND($E$38&lt;&gt;$M$38,MOD(ROW(),2)=1)</formula>
    </cfRule>
  </conditionalFormatting>
  <conditionalFormatting sqref="A59:F61 A67:G72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F49:F53">
      <formula1>"Maisch,Kook,Whirlpool,Primaire fermentatie,Secundaire fermentatie"</formula1>
    </dataValidation>
    <dataValidation type="list" allowBlank="1" sqref="A59:A61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3">
      <formula1>'Voorraadfiche Grondstoffen'!$K$2:$K$100</formula1>
    </dataValidation>
  </dataValidations>
  <hyperlinks>
    <hyperlink r:id="rId2" ref="N50"/>
    <hyperlink r:id="rId3" ref="A77"/>
  </hyperlinks>
  <printOptions/>
  <pageMargins bottom="0.31" footer="0.0" header="0.0" left="0.25" right="0.25" top="0.31"/>
  <pageSetup fitToHeight="0" orientation="portrait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133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134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180.0</v>
      </c>
      <c r="C5" s="45"/>
      <c r="D5" s="45"/>
      <c r="E5" s="46" t="s">
        <v>10</v>
      </c>
      <c r="F5" s="47"/>
      <c r="G5" s="48">
        <f>if(D26=0,"",1+(G8/(258.6-((G8/258.2)*227.1))))</f>
        <v>1.119563897</v>
      </c>
      <c r="H5" s="49"/>
      <c r="I5" s="40"/>
      <c r="J5" s="50" t="s">
        <v>10</v>
      </c>
      <c r="K5" s="51"/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90.0</v>
      </c>
      <c r="C6" s="45"/>
      <c r="D6" s="45"/>
      <c r="E6" s="50" t="s">
        <v>11</v>
      </c>
      <c r="G6" s="48">
        <f>if(D26=0,"",(G5-1)*(1-'008 - Pastry Orangette'!Attenuation)+1)</f>
        <v>1.029890974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0.75</v>
      </c>
      <c r="C7" s="61"/>
      <c r="D7" s="45"/>
      <c r="E7" s="50" t="s">
        <v>12</v>
      </c>
      <c r="G7" s="62">
        <f>if(D26=0,"",(G5-G6)*131.25/100)</f>
        <v>0.117695711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0.65</v>
      </c>
      <c r="C8" s="45"/>
      <c r="D8" s="45"/>
      <c r="E8" s="56" t="s">
        <v>13</v>
      </c>
      <c r="G8" s="64">
        <f>if(D26=0,"",SUMPRODUCT(D19:D25,F19:F25)*'008 - Pastry Orangette'!Brouwefficientie/'008 - Pastry Orangette'!Volume*100)</f>
        <v>27.97708333</v>
      </c>
      <c r="H8" s="65"/>
      <c r="I8" s="40"/>
      <c r="J8" s="66" t="s">
        <v>13</v>
      </c>
      <c r="K8" s="67" t="str">
        <f>if(ISBLANK(K5),"",(-1*616.868)+(1111.14*K5)-(630.272*POWER(K5,2))+(135.997*POWER(K5,3)))</f>
        <v/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('008 - Pastry Orangette'!FG-1)/(1-'008 - Pastry Orangette'!Attenuation)+1</f>
        <v>1.121904762</v>
      </c>
      <c r="C9" s="70"/>
      <c r="D9" s="45"/>
      <c r="E9" s="71" t="s">
        <v>36</v>
      </c>
      <c r="G9" s="72">
        <f>IF(D44=0,"",R44)</f>
        <v>31.08029489</v>
      </c>
      <c r="H9" s="49"/>
      <c r="I9" s="40"/>
      <c r="J9" s="73" t="s">
        <v>14</v>
      </c>
      <c r="K9" s="74">
        <f>iferror(K8/G8*B8,"")</f>
        <v>0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1.03047619</v>
      </c>
      <c r="C10" s="75"/>
      <c r="D10" s="40"/>
      <c r="E10" s="71" t="s">
        <v>37</v>
      </c>
      <c r="G10" s="72">
        <f>if(G26=0,"",1.4922*P26*0.6859*1.97)</f>
        <v>220.0509068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1">
        <v>0.12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(-1*616.868)+(1111.14*'008 - Pastry Orangette'!OG)-(630.272*POWER('008 - Pastry Orangette'!OG,2))+(135.997*POWER('008 - Pastry Orangette'!OG,3))</f>
        <v>28.46309163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'008 - Pastry Orangette'!Plato/100*'008 - Pastry Orangette'!Volume</f>
        <v>51.23356493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D15/F16/'008 - Pastry Orangette'!Brouwefficientie</f>
        <v>98.52608641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60.0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0.5911330049</v>
      </c>
      <c r="I19" s="113"/>
      <c r="J19" s="114">
        <f t="shared" ref="J19:J25" si="3">IF(ISBLANK(D19),"",D19/$B$5*100)</f>
        <v>33.33333333</v>
      </c>
      <c r="K19" s="110" t="str">
        <f t="shared" ref="K19:K26" si="4">K$18</f>
        <v>kg</v>
      </c>
      <c r="L19" s="114">
        <f t="shared" ref="L19:L25" si="5">IF(ISBLANK(D19),"",D19/$B$5*$B$6)</f>
        <v>30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4.690411631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54</v>
      </c>
      <c r="B20" s="117"/>
      <c r="C20" s="108">
        <f>iferror(VLOOKUP(A20,'Voorraadfiche Grondstoffen'!$A$2:$D$100,4,False),"")</f>
        <v>80</v>
      </c>
      <c r="D20" s="109">
        <v>10.0</v>
      </c>
      <c r="E20" s="118" t="str">
        <f t="shared" si="1"/>
        <v>kg</v>
      </c>
      <c r="F20" s="119">
        <v>0.75</v>
      </c>
      <c r="G20" s="120">
        <v>2.0</v>
      </c>
      <c r="H20" s="113">
        <f t="shared" si="2"/>
        <v>0.09852216749</v>
      </c>
      <c r="I20" s="113"/>
      <c r="J20" s="114">
        <f t="shared" si="3"/>
        <v>5.555555556</v>
      </c>
      <c r="K20" s="118" t="str">
        <f t="shared" si="4"/>
        <v>kg</v>
      </c>
      <c r="L20" s="114">
        <f t="shared" si="5"/>
        <v>5</v>
      </c>
      <c r="M20" s="121" t="str">
        <f t="shared" si="6"/>
        <v>kg</v>
      </c>
      <c r="N20" s="89"/>
      <c r="O20" s="89">
        <f t="shared" si="7"/>
        <v>1.311088144</v>
      </c>
      <c r="P20" s="105">
        <f>D20/kgperpound*lpergallon/$B$5*O20</f>
        <v>0.6078642043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 t="s">
        <v>135</v>
      </c>
      <c r="B21" s="117"/>
      <c r="C21" s="108">
        <f>iferror(VLOOKUP(A21,'Voorraadfiche Grondstoffen'!$A$2:$D$100,4,False),"")</f>
        <v>14</v>
      </c>
      <c r="D21" s="109">
        <v>10.0</v>
      </c>
      <c r="E21" s="118" t="str">
        <f t="shared" si="1"/>
        <v>kg</v>
      </c>
      <c r="F21" s="119">
        <v>0.78</v>
      </c>
      <c r="G21" s="120">
        <v>1.0</v>
      </c>
      <c r="H21" s="113">
        <f t="shared" si="2"/>
        <v>0.09852216749</v>
      </c>
      <c r="I21" s="113"/>
      <c r="J21" s="114">
        <f t="shared" si="3"/>
        <v>5.555555556</v>
      </c>
      <c r="K21" s="118" t="str">
        <f t="shared" si="4"/>
        <v>kg</v>
      </c>
      <c r="L21" s="114">
        <f t="shared" si="5"/>
        <v>5</v>
      </c>
      <c r="M21" s="121" t="str">
        <f t="shared" si="6"/>
        <v>kg</v>
      </c>
      <c r="N21" s="89"/>
      <c r="O21" s="89">
        <f t="shared" si="7"/>
        <v>0.9360696885</v>
      </c>
      <c r="P21" s="105">
        <f>D21/kgperpound*lpergallon/$B$5*O21</f>
        <v>0.4339931369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 t="s">
        <v>95</v>
      </c>
      <c r="B22" s="117"/>
      <c r="C22" s="108">
        <f>iferror(VLOOKUP(A22,'Voorraadfiche Grondstoffen'!$A$2:$D$100,4,False),"")</f>
        <v>5.5</v>
      </c>
      <c r="D22" s="109">
        <v>15.0</v>
      </c>
      <c r="E22" s="118" t="str">
        <f t="shared" si="1"/>
        <v>kg</v>
      </c>
      <c r="F22" s="119">
        <v>0.7</v>
      </c>
      <c r="G22" s="120">
        <v>1.0</v>
      </c>
      <c r="H22" s="113">
        <f t="shared" si="2"/>
        <v>0.1477832512</v>
      </c>
      <c r="I22" s="113"/>
      <c r="J22" s="114">
        <f t="shared" si="3"/>
        <v>8.333333333</v>
      </c>
      <c r="K22" s="118" t="str">
        <f t="shared" si="4"/>
        <v>kg</v>
      </c>
      <c r="L22" s="114">
        <f t="shared" si="5"/>
        <v>7.5</v>
      </c>
      <c r="M22" s="121" t="str">
        <f t="shared" si="6"/>
        <v>kg</v>
      </c>
      <c r="N22" s="89"/>
      <c r="O22" s="89">
        <f t="shared" si="7"/>
        <v>0.9360696885</v>
      </c>
      <c r="P22" s="105">
        <f>D22/kgperpound*lpergallon/$B$5*O22</f>
        <v>0.6509897053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 t="s">
        <v>123</v>
      </c>
      <c r="B23" s="117"/>
      <c r="C23" s="108">
        <f>iferror(VLOOKUP(A23,'Voorraadfiche Grondstoffen'!$A$2:$D$100,4,False),"")</f>
        <v>0</v>
      </c>
      <c r="D23" s="109">
        <v>3.0</v>
      </c>
      <c r="E23" s="118" t="str">
        <f t="shared" si="1"/>
        <v>kg</v>
      </c>
      <c r="F23" s="119">
        <v>0.75</v>
      </c>
      <c r="G23" s="120">
        <v>1200.0</v>
      </c>
      <c r="H23" s="113">
        <f t="shared" si="2"/>
        <v>0.02955665025</v>
      </c>
      <c r="I23" s="113"/>
      <c r="J23" s="114">
        <f t="shared" si="3"/>
        <v>1.666666667</v>
      </c>
      <c r="K23" s="118" t="str">
        <f t="shared" si="4"/>
        <v>kg</v>
      </c>
      <c r="L23" s="114">
        <f t="shared" si="5"/>
        <v>1.5</v>
      </c>
      <c r="M23" s="121" t="str">
        <f t="shared" si="6"/>
        <v>kg</v>
      </c>
      <c r="N23" s="89"/>
      <c r="O23" s="89">
        <f t="shared" si="7"/>
        <v>450.583198</v>
      </c>
      <c r="P23" s="105">
        <f>D23/kgperpound*lpergallon/$B$5*O23</f>
        <v>62.67162091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116" t="s">
        <v>136</v>
      </c>
      <c r="B24" s="117"/>
      <c r="C24" s="108">
        <f>iferror(VLOOKUP(A24,'Voorraadfiche Grondstoffen'!$A$2:$D$100,4,False),"")</f>
        <v>2.5</v>
      </c>
      <c r="D24" s="109">
        <v>2.5</v>
      </c>
      <c r="E24" s="118" t="str">
        <f t="shared" si="1"/>
        <v>kg</v>
      </c>
      <c r="F24" s="119">
        <v>0.75</v>
      </c>
      <c r="G24" s="120">
        <v>900.0</v>
      </c>
      <c r="H24" s="113">
        <f t="shared" si="2"/>
        <v>0.02463054187</v>
      </c>
      <c r="I24" s="113"/>
      <c r="J24" s="114">
        <f t="shared" si="3"/>
        <v>1.388888889</v>
      </c>
      <c r="K24" s="118" t="str">
        <f t="shared" si="4"/>
        <v>kg</v>
      </c>
      <c r="L24" s="114">
        <f t="shared" si="5"/>
        <v>1.25</v>
      </c>
      <c r="M24" s="121" t="str">
        <f t="shared" si="6"/>
        <v>kg</v>
      </c>
      <c r="N24" s="89"/>
      <c r="O24" s="89">
        <f t="shared" si="7"/>
        <v>338.0776613</v>
      </c>
      <c r="P24" s="105">
        <f>D24/kgperpound*lpergallon/$B$5*O24</f>
        <v>39.1860207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60" t="s">
        <v>137</v>
      </c>
      <c r="B25" s="124"/>
      <c r="C25" s="108">
        <f>iferror(VLOOKUP(A25,'Voorraadfiche Grondstoffen'!$A$2:$D$100,4,False),"")</f>
        <v>0</v>
      </c>
      <c r="D25" s="109">
        <v>1.0</v>
      </c>
      <c r="E25" s="125" t="str">
        <f t="shared" si="1"/>
        <v>kg</v>
      </c>
      <c r="F25" s="212">
        <v>0.75</v>
      </c>
      <c r="G25" s="191">
        <v>50.0</v>
      </c>
      <c r="H25" s="113">
        <f t="shared" si="2"/>
        <v>0.009852216749</v>
      </c>
      <c r="I25" s="113"/>
      <c r="J25" s="114">
        <f t="shared" si="3"/>
        <v>0.5555555556</v>
      </c>
      <c r="K25" s="125" t="str">
        <f t="shared" si="4"/>
        <v>kg</v>
      </c>
      <c r="L25" s="114">
        <f t="shared" si="5"/>
        <v>0.5</v>
      </c>
      <c r="M25" s="128" t="str">
        <f t="shared" si="6"/>
        <v>kg</v>
      </c>
      <c r="N25" s="89"/>
      <c r="O25" s="89">
        <f t="shared" si="7"/>
        <v>19.31197401</v>
      </c>
      <c r="P25" s="105">
        <f>D25/kgperpound*lpergallon/$B$5*O25</f>
        <v>0.8953675442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101.5</v>
      </c>
      <c r="E26" s="132" t="str">
        <f t="shared" si="1"/>
        <v>kg</v>
      </c>
      <c r="F26" s="133"/>
      <c r="G26" s="134">
        <f>sum(G19:G25)</f>
        <v>2157</v>
      </c>
      <c r="H26" s="133"/>
      <c r="I26" s="133"/>
      <c r="J26" s="131">
        <f>SUM(J19:J25)</f>
        <v>56.38888889</v>
      </c>
      <c r="K26" s="132" t="str">
        <f t="shared" si="4"/>
        <v>kg</v>
      </c>
      <c r="L26" s="131">
        <f>SUM(L19:L25)</f>
        <v>50.75</v>
      </c>
      <c r="M26" s="132" t="str">
        <f t="shared" si="6"/>
        <v>kg</v>
      </c>
      <c r="N26" s="89"/>
      <c r="O26" s="89"/>
      <c r="P26" s="89">
        <f>SUM(P19:P25)</f>
        <v>109.1362678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2"/>
      <c r="E31" s="153">
        <v>0.0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>
        <v>45.0</v>
      </c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50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0.5633979928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 t="s">
        <v>76</v>
      </c>
      <c r="B39" s="107"/>
      <c r="C39" s="186"/>
      <c r="D39" s="112">
        <v>400.0</v>
      </c>
      <c r="E39" s="110" t="str">
        <f t="shared" ref="E39:E44" si="9">E$38</f>
        <v>g</v>
      </c>
      <c r="F39" s="112" t="s">
        <v>77</v>
      </c>
      <c r="G39" s="112">
        <v>60.0</v>
      </c>
      <c r="H39" s="112">
        <v>10.3</v>
      </c>
      <c r="I39" s="187"/>
      <c r="J39" s="188">
        <f>IF(ISBLANK(D39),"",D39/'008 - Pastry Orangette'!Volume*100)</f>
        <v>222.2222222</v>
      </c>
      <c r="K39" s="110" t="str">
        <f t="shared" ref="K39:K44" si="10">K$38</f>
        <v>g</v>
      </c>
      <c r="L39" s="188">
        <f>IF(ISBLANK(D39),"",D39/'008 - Pastry Orangette'!Volume*$B$6)</f>
        <v>200</v>
      </c>
      <c r="M39" s="115" t="str">
        <f t="shared" ref="M39:M44" si="11">M$38</f>
        <v>g</v>
      </c>
      <c r="N39" s="89"/>
      <c r="O39" s="89">
        <f>D39*ozpergram</f>
        <v>14.109584</v>
      </c>
      <c r="P39" s="89">
        <f t="shared" ref="P39:P43" si="12">(1-POWER(2.71828182845904,((-0.04)*G39)))/4.15</f>
        <v>0.2191041076</v>
      </c>
      <c r="Q39" s="89">
        <f t="shared" ref="Q39:Q43" si="13">P39*$P$37</f>
        <v>0.1234428145</v>
      </c>
      <c r="R39" s="89">
        <f>IF(F39="Leaf", ((H39 *O39) *Q39  * 74.9) / '008 - Pastry Orangette'!Volume*3.785, ((H39 *O39) * (Q39*1.1) * 74.9) / '008 - Pastry Orangette'!Volume*3.785)</f>
        <v>31.08029489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/>
      <c r="B40" s="117"/>
      <c r="C40" s="186"/>
      <c r="D40" s="120"/>
      <c r="E40" s="118" t="str">
        <f t="shared" si="9"/>
        <v>g</v>
      </c>
      <c r="F40" s="120" t="s">
        <v>77</v>
      </c>
      <c r="G40" s="120"/>
      <c r="H40" s="120"/>
      <c r="I40" s="189"/>
      <c r="J40" s="188" t="str">
        <f>IF(ISBLANK(D40),"",D40/'008 - Pastry Orangette'!Volume*100)</f>
        <v/>
      </c>
      <c r="K40" s="118" t="str">
        <f t="shared" si="10"/>
        <v>g</v>
      </c>
      <c r="L40" s="188" t="str">
        <f>IF(ISBLANK(D40),"",D40/'008 - Pastry Orangette'!Volume*$B$6)</f>
        <v/>
      </c>
      <c r="M40" s="121" t="str">
        <f t="shared" si="11"/>
        <v>g</v>
      </c>
      <c r="N40" s="89"/>
      <c r="O40" s="89">
        <f>D40*ozpergram</f>
        <v>0</v>
      </c>
      <c r="P40" s="89">
        <f t="shared" si="12"/>
        <v>0</v>
      </c>
      <c r="Q40" s="89">
        <f t="shared" si="13"/>
        <v>0</v>
      </c>
      <c r="R40" s="89">
        <f>IF(F40="Leaf", ((H40 *O40) *Q40  * 74.9) / '008 - Pastry Orangette'!Volume*3.785, ((H40 *O40) * (Q40*1.1) * 74.9) / '008 - Pastry Orangette'!Volume*3.785)</f>
        <v>0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/>
      <c r="D41" s="120"/>
      <c r="E41" s="118" t="str">
        <f t="shared" si="9"/>
        <v>g</v>
      </c>
      <c r="F41" s="120" t="s">
        <v>77</v>
      </c>
      <c r="G41" s="120"/>
      <c r="H41" s="120"/>
      <c r="I41" s="189"/>
      <c r="J41" s="188" t="str">
        <f>IF(ISBLANK(D41),"",D41/'008 - Pastry Orangette'!Volume*100)</f>
        <v/>
      </c>
      <c r="K41" s="118" t="str">
        <f t="shared" si="10"/>
        <v>g</v>
      </c>
      <c r="L41" s="188" t="str">
        <f>IF(ISBLANK(D41),"",D41/'008 - Pastry Orangette'!Volume*$B$6)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'008 - Pastry Orangette'!Volume*3.785, ((H41 *O41) * (Q41*1.1) * 74.9) / '008 - Pastry Orangette'!Volume*3.785)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/>
      <c r="B42" s="117"/>
      <c r="C42" s="186" t="str">
        <f>iferror(1000*VLOOKUP(A42,'Voorraadfiche Grondstoffen'!$F$2:$I$100,4,False),"")</f>
        <v/>
      </c>
      <c r="D42" s="120"/>
      <c r="E42" s="118" t="str">
        <f t="shared" si="9"/>
        <v>g</v>
      </c>
      <c r="F42" s="120" t="s">
        <v>77</v>
      </c>
      <c r="G42" s="120"/>
      <c r="H42" s="190"/>
      <c r="I42" s="189"/>
      <c r="J42" s="188" t="str">
        <f>IF(ISBLANK(D42),"",D42/'008 - Pastry Orangette'!Volume*100)</f>
        <v/>
      </c>
      <c r="K42" s="118" t="str">
        <f t="shared" si="10"/>
        <v>g</v>
      </c>
      <c r="L42" s="188" t="str">
        <f>IF(ISBLANK(D42),"",D42/'008 - Pastry Orangette'!Volume*$B$6)</f>
        <v/>
      </c>
      <c r="M42" s="121" t="str">
        <f t="shared" si="11"/>
        <v>g</v>
      </c>
      <c r="N42" s="89"/>
      <c r="O42" s="89">
        <f>D42*ozpergram</f>
        <v>0</v>
      </c>
      <c r="P42" s="89">
        <f t="shared" si="12"/>
        <v>0</v>
      </c>
      <c r="Q42" s="89">
        <f t="shared" si="13"/>
        <v>0</v>
      </c>
      <c r="R42" s="89">
        <f>IF(F42="Leaf", ((H42 *O42) *Q42  * 74.9) / '008 - Pastry Orangette'!Volume*3.785, ((H42 *O42) * (Q42*1.1) * 74.9) / '008 - Pastry Orangette'!Volume*3.785)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60"/>
      <c r="B43" s="124"/>
      <c r="C43" s="186" t="str">
        <f>iferror(1000*VLOOKUP(A43,'Voorraadfiche Grondstoffen'!$F$2:$I$100,4,False),"")</f>
        <v/>
      </c>
      <c r="D43" s="191"/>
      <c r="E43" s="125" t="str">
        <f t="shared" si="9"/>
        <v>g</v>
      </c>
      <c r="F43" s="192"/>
      <c r="G43" s="191"/>
      <c r="H43" s="192"/>
      <c r="I43" s="193"/>
      <c r="J43" s="188" t="str">
        <f>IF(ISBLANK(D43),"",D43/'008 - Pastry Orangette'!Volume*100)</f>
        <v/>
      </c>
      <c r="K43" s="125" t="str">
        <f t="shared" si="10"/>
        <v>g</v>
      </c>
      <c r="L43" s="188" t="str">
        <f>IF(ISBLANK(D43),"",D43/'008 - Pastry Orangette'!Volume*$B$6)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'008 - Pastry Orangette'!Volume*3.785, ((H43 *O43) * (Q43*1.1) * 74.9) / '008 - Pastry Orangette'!Volume*3.785)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400</v>
      </c>
      <c r="E44" s="194" t="str">
        <f t="shared" si="9"/>
        <v>g</v>
      </c>
      <c r="F44" s="133"/>
      <c r="G44" s="133"/>
      <c r="H44" s="133"/>
      <c r="I44" s="133"/>
      <c r="J44" s="131">
        <f>SUM(J39:J43)</f>
        <v>222.2222222</v>
      </c>
      <c r="K44" s="132" t="str">
        <f t="shared" si="10"/>
        <v>g</v>
      </c>
      <c r="L44" s="130">
        <f>SUM(L39:L43)</f>
        <v>200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31.08029489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/>
      <c r="B49" s="107"/>
      <c r="C49" s="186" t="str">
        <f>iferror(1000*VLOOKUP(A49,'Voorraadfiche Grondstoffen'!$K$2:$N$100,4,False),"")</f>
        <v/>
      </c>
      <c r="D49" s="112"/>
      <c r="E49" s="110" t="str">
        <f t="shared" ref="E49:E53" si="14">E$38</f>
        <v>g</v>
      </c>
      <c r="F49" s="112"/>
      <c r="G49" s="109"/>
      <c r="H49" s="112"/>
      <c r="I49" s="195"/>
      <c r="J49" s="188" t="str">
        <f>IF(ISBLANK(D49),"",D49/'008 - Pastry Orangette'!Volume*100)</f>
        <v/>
      </c>
      <c r="K49" s="110" t="str">
        <f t="shared" ref="K49:K53" si="15">K$38</f>
        <v>g</v>
      </c>
      <c r="L49" s="188" t="str">
        <f>IF(ISBLANK(D49),"",D49/'008 - Pastry Orangette'!Volume*$B$6)</f>
        <v/>
      </c>
      <c r="M49" s="115" t="str">
        <f t="shared" ref="M49:M53" si="16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/>
      <c r="B50" s="117"/>
      <c r="C50" s="186" t="str">
        <f>iferror(1000*VLOOKUP(A50,'Voorraadfiche Grondstoffen'!$K$2:$N$100,4,False),"")</f>
        <v/>
      </c>
      <c r="D50" s="120"/>
      <c r="E50" s="118" t="str">
        <f t="shared" si="14"/>
        <v>g</v>
      </c>
      <c r="F50" s="120"/>
      <c r="G50" s="109"/>
      <c r="H50" s="120"/>
      <c r="I50" s="189"/>
      <c r="J50" s="188" t="str">
        <f>IF(ISBLANK(D50),"",D50/'008 - Pastry Orangette'!Volume*100)</f>
        <v/>
      </c>
      <c r="K50" s="118" t="str">
        <f t="shared" si="15"/>
        <v>g</v>
      </c>
      <c r="L50" s="188" t="str">
        <f>IF(ISBLANK(D50),"",D50/'008 - Pastry Orangette'!Volume*$B$6)</f>
        <v/>
      </c>
      <c r="M50" s="121" t="str">
        <f t="shared" si="16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/>
      <c r="B51" s="107"/>
      <c r="C51" s="186" t="str">
        <f>iferror(1000*VLOOKUP(A51,'Voorraadfiche Grondstoffen'!$K$2:$N$100,4,False),"")</f>
        <v/>
      </c>
      <c r="D51" s="120"/>
      <c r="E51" s="118" t="str">
        <f t="shared" si="14"/>
        <v>g</v>
      </c>
      <c r="F51" s="120"/>
      <c r="G51" s="109"/>
      <c r="H51" s="190"/>
      <c r="I51" s="189"/>
      <c r="J51" s="188" t="str">
        <f>IF(ISBLANK(D51),"",D51/'008 - Pastry Orangette'!Volume*100)</f>
        <v/>
      </c>
      <c r="K51" s="118" t="str">
        <f t="shared" si="15"/>
        <v>g</v>
      </c>
      <c r="L51" s="188" t="str">
        <f>IF(ISBLANK(D51),"",D51/'008 - Pastry Orangette'!Volume*$B$6)</f>
        <v/>
      </c>
      <c r="M51" s="121" t="str">
        <f t="shared" si="16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20"/>
      <c r="E52" s="118" t="str">
        <f t="shared" si="14"/>
        <v>g</v>
      </c>
      <c r="F52" s="120"/>
      <c r="G52" s="109"/>
      <c r="H52" s="190"/>
      <c r="I52" s="189"/>
      <c r="J52" s="188" t="str">
        <f>IF(ISBLANK(D52),"",D52/'008 - Pastry Orangette'!Volume*100)</f>
        <v/>
      </c>
      <c r="K52" s="118" t="str">
        <f t="shared" si="15"/>
        <v>g</v>
      </c>
      <c r="L52" s="188" t="str">
        <f>IF(ISBLANK(D52),"",D52/'008 - Pastry Orangette'!Volume*$B$6)</f>
        <v/>
      </c>
      <c r="M52" s="121" t="str">
        <f t="shared" si="16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60"/>
      <c r="B53" s="124"/>
      <c r="C53" s="186" t="str">
        <f>iferror(1000*VLOOKUP(A53,'Voorraadfiche Grondstoffen'!$K$2:$N$100,4,False),"")</f>
        <v/>
      </c>
      <c r="D53" s="191"/>
      <c r="E53" s="125" t="str">
        <f t="shared" si="14"/>
        <v>g</v>
      </c>
      <c r="F53" s="191"/>
      <c r="G53" s="109"/>
      <c r="H53" s="192"/>
      <c r="I53" s="193"/>
      <c r="J53" s="188" t="str">
        <f>IF(ISBLANK(D53),"",D53/'008 - Pastry Orangette'!Volume*100)</f>
        <v/>
      </c>
      <c r="K53" s="125" t="str">
        <f t="shared" si="15"/>
        <v>g</v>
      </c>
      <c r="L53" s="188" t="str">
        <f>IF(ISBLANK(D53),"",D53/'008 - Pastry Orangette'!Volume*$B$6)</f>
        <v/>
      </c>
      <c r="M53" s="128" t="str">
        <f t="shared" si="16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213"/>
      <c r="C54" s="214"/>
      <c r="D54" s="213"/>
      <c r="E54" s="205"/>
      <c r="F54" s="213"/>
      <c r="G54" s="109"/>
      <c r="H54" s="204"/>
      <c r="I54" s="215"/>
      <c r="J54" s="188" t="str">
        <f>IF(ISBLANK(D54),"",D54/'008 - Pastry Orangette'!Volume*100)</f>
        <v/>
      </c>
      <c r="K54" s="205"/>
      <c r="L54" s="188" t="str">
        <f>IF(ISBLANK(D54),"",D54/'008 - Pastry Orangette'!Volume*$B$6)</f>
        <v/>
      </c>
      <c r="M54" s="20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129" t="s">
        <v>55</v>
      </c>
      <c r="B55" s="47"/>
      <c r="C55" s="130"/>
      <c r="D55" s="130">
        <f>SUM(D49:D54)</f>
        <v>0</v>
      </c>
      <c r="E55" s="194" t="str">
        <f>E$38</f>
        <v>g</v>
      </c>
      <c r="F55" s="133"/>
      <c r="G55" s="133"/>
      <c r="H55" s="133"/>
      <c r="I55" s="133"/>
      <c r="J55" s="130">
        <f>SUM(J49:J53)</f>
        <v>0</v>
      </c>
      <c r="K55" s="132" t="str">
        <f>K$38</f>
        <v>g</v>
      </c>
      <c r="L55" s="130">
        <f>SUM(L49:L53)</f>
        <v>0</v>
      </c>
      <c r="M55" s="132" t="str">
        <f>M$38</f>
        <v>g</v>
      </c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40"/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75" customHeight="1">
      <c r="A57" s="77" t="s">
        <v>85</v>
      </c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0" customHeight="1">
      <c r="A58" s="175" t="s">
        <v>86</v>
      </c>
      <c r="B58" s="176"/>
      <c r="C58" s="177"/>
      <c r="D58" s="178" t="s">
        <v>44</v>
      </c>
      <c r="E58" s="176"/>
      <c r="F58" s="179" t="s">
        <v>35</v>
      </c>
      <c r="G58" s="179"/>
      <c r="H58" s="180"/>
      <c r="I58" s="181" t="s">
        <v>47</v>
      </c>
      <c r="J58" s="178" t="s">
        <v>48</v>
      </c>
      <c r="K58" s="176"/>
      <c r="L58" s="178" t="s">
        <v>49</v>
      </c>
      <c r="M58" s="176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38"/>
      <c r="B59" s="97"/>
      <c r="C59" s="98"/>
      <c r="D59" s="99" t="s">
        <v>50</v>
      </c>
      <c r="E59" s="185" t="s">
        <v>72</v>
      </c>
      <c r="F59" s="101"/>
      <c r="G59" s="101"/>
      <c r="H59" s="101"/>
      <c r="I59" s="102"/>
      <c r="J59" s="99" t="s">
        <v>50</v>
      </c>
      <c r="K59" s="185" t="str">
        <f>E59</f>
        <v>g</v>
      </c>
      <c r="L59" s="99" t="s">
        <v>50</v>
      </c>
      <c r="M59" s="104" t="s">
        <v>72</v>
      </c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 t="s">
        <v>138</v>
      </c>
      <c r="B60" s="107"/>
      <c r="C60" s="186">
        <f>iferror(1000*VLOOKUP(A60,'Voorraadfiche Grondstoffen'!$P$2:$S$100,4,False),"")</f>
        <v>625</v>
      </c>
      <c r="D60" s="112">
        <v>200.0</v>
      </c>
      <c r="E60" s="110" t="str">
        <f t="shared" ref="E60:E62" si="17">E$59</f>
        <v>g</v>
      </c>
      <c r="F60" s="111">
        <f>B7</f>
        <v>0.75</v>
      </c>
      <c r="G60" s="112"/>
      <c r="H60" s="112"/>
      <c r="I60" s="195"/>
      <c r="J60" s="188">
        <f>IF(ISBLANK(D60),"",D60/'008 - Pastry Orangette'!Volume*100)</f>
        <v>111.1111111</v>
      </c>
      <c r="K60" s="110" t="str">
        <f t="shared" ref="K60:K63" si="18">K$38</f>
        <v>g</v>
      </c>
      <c r="L60" s="188">
        <f>IF(ISBLANK(D60),"",D60/'008 - Pastry Orangette'!Volume*$B$6)</f>
        <v>100</v>
      </c>
      <c r="M60" s="115" t="str">
        <f t="shared" ref="M60:M63" si="19">M$38</f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06"/>
      <c r="B61" s="107"/>
      <c r="C61" s="186" t="str">
        <f>iferror(1000*VLOOKUP(A61,'Voorraadfiche Grondstoffen'!$P$2:$S$100,4,False),"")</f>
        <v/>
      </c>
      <c r="D61" s="112"/>
      <c r="E61" s="110" t="str">
        <f t="shared" si="17"/>
        <v>g</v>
      </c>
      <c r="F61" s="196"/>
      <c r="G61" s="120"/>
      <c r="H61" s="120"/>
      <c r="I61" s="189"/>
      <c r="J61" s="188" t="str">
        <f>IF(ISBLANK(D61),"",D61/'008 - Pastry Orangette'!Volume*100)</f>
        <v/>
      </c>
      <c r="K61" s="118" t="str">
        <f t="shared" si="18"/>
        <v>g</v>
      </c>
      <c r="L61" s="188" t="str">
        <f>IF(ISBLANK(D61),"",D61/'008 - Pastry Orangette'!Volume*$B$6)</f>
        <v/>
      </c>
      <c r="M61" s="121" t="str">
        <f t="shared" si="19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97"/>
      <c r="B62" s="107"/>
      <c r="C62" s="186" t="str">
        <f>iferror(1000*VLOOKUP(A62,'Voorraadfiche Grondstoffen'!$P$2:$S$100,4,False),"")</f>
        <v/>
      </c>
      <c r="D62" s="188"/>
      <c r="E62" s="110" t="str">
        <f t="shared" si="17"/>
        <v>g</v>
      </c>
      <c r="F62" s="196"/>
      <c r="G62" s="120"/>
      <c r="H62" s="190"/>
      <c r="I62" s="189"/>
      <c r="J62" s="188" t="str">
        <f>IF(ISBLANK(D62),"",D62/'008 - Pastry Orangette'!Volume*100)</f>
        <v/>
      </c>
      <c r="K62" s="118" t="str">
        <f t="shared" si="18"/>
        <v>g</v>
      </c>
      <c r="L62" s="188" t="str">
        <f>IF(ISBLANK(D62),"",D62/'008 - Pastry Orangette'!Volume*$B$6)</f>
        <v/>
      </c>
      <c r="M62" s="121" t="str">
        <f t="shared" si="19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129" t="s">
        <v>55</v>
      </c>
      <c r="B63" s="47"/>
      <c r="C63" s="130"/>
      <c r="D63" s="130">
        <f>SUM(D58:D62)</f>
        <v>200</v>
      </c>
      <c r="E63" s="194" t="str">
        <f>E$38</f>
        <v>g</v>
      </c>
      <c r="F63" s="133"/>
      <c r="G63" s="133"/>
      <c r="H63" s="133"/>
      <c r="I63" s="133"/>
      <c r="J63" s="130">
        <f>SUM(J58:J62)</f>
        <v>111.1111111</v>
      </c>
      <c r="K63" s="132" t="str">
        <f t="shared" si="18"/>
        <v>g</v>
      </c>
      <c r="L63" s="130">
        <f>SUM(L58:L62)</f>
        <v>100</v>
      </c>
      <c r="M63" s="132" t="str">
        <f t="shared" si="19"/>
        <v>g</v>
      </c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77" t="s">
        <v>88</v>
      </c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175" t="s">
        <v>57</v>
      </c>
      <c r="B66" s="176"/>
      <c r="C66" s="177"/>
      <c r="D66" s="178" t="s">
        <v>89</v>
      </c>
      <c r="E66" s="176"/>
      <c r="F66" s="181" t="s">
        <v>90</v>
      </c>
      <c r="G66" s="47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38"/>
      <c r="B67" s="97"/>
      <c r="C67" s="198"/>
      <c r="D67" s="199" t="s">
        <v>58</v>
      </c>
      <c r="E67" s="100" t="s">
        <v>91</v>
      </c>
      <c r="F67" s="102"/>
      <c r="G67" s="38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A68" s="106"/>
      <c r="B68" s="107"/>
      <c r="C68" s="200"/>
      <c r="D68" s="112"/>
      <c r="E68" s="110"/>
      <c r="F68" s="201"/>
      <c r="G68" s="117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B69" s="23" t="s">
        <v>102</v>
      </c>
      <c r="D69" s="23">
        <v>18.0</v>
      </c>
      <c r="F69" s="23">
        <v>18.0</v>
      </c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 t="s">
        <v>139</v>
      </c>
      <c r="C70" s="200"/>
      <c r="D70" s="112">
        <v>22.0</v>
      </c>
      <c r="E70" s="110"/>
      <c r="F70" s="153">
        <v>3.0</v>
      </c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200"/>
      <c r="B71" s="200" t="s">
        <v>140</v>
      </c>
      <c r="C71" s="200"/>
      <c r="D71" s="112">
        <v>2.0</v>
      </c>
      <c r="E71" s="110"/>
      <c r="F71" s="153">
        <v>7.0</v>
      </c>
      <c r="G71" s="153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197"/>
      <c r="B72" s="107"/>
      <c r="C72" s="202"/>
      <c r="D72" s="188"/>
      <c r="E72" s="110" t="str">
        <f>E$83</f>
        <v/>
      </c>
      <c r="F72" s="203"/>
      <c r="G72" s="117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4"/>
      <c r="B73" s="204"/>
      <c r="C73" s="204"/>
      <c r="D73" s="204"/>
      <c r="E73" s="205"/>
      <c r="F73" s="206"/>
      <c r="G73" s="206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7" t="s">
        <v>93</v>
      </c>
      <c r="B74" s="208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25"/>
      <c r="O74" s="25"/>
      <c r="P74" s="25"/>
      <c r="Q74" s="25"/>
      <c r="R74" s="25"/>
      <c r="S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09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10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78"/>
      <c r="Q79" s="78"/>
      <c r="R79" s="78"/>
      <c r="S79" s="78"/>
      <c r="T79" s="78"/>
      <c r="U79" s="78"/>
      <c r="V79" s="78"/>
      <c r="W79" s="78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P89" s="78"/>
      <c r="Q89" s="78"/>
      <c r="R89" s="78"/>
      <c r="S89" s="78"/>
      <c r="T89" s="78"/>
      <c r="U89" s="78"/>
      <c r="V89" s="78"/>
      <c r="W89" s="78"/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>
      <c r="AI94" s="25"/>
      <c r="AJ94" s="25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</sheetData>
  <mergeCells count="121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8:B59"/>
    <mergeCell ref="A60:B60"/>
    <mergeCell ref="A61:B61"/>
    <mergeCell ref="A62:B62"/>
    <mergeCell ref="A63:B63"/>
    <mergeCell ref="A66:B67"/>
    <mergeCell ref="A68:B68"/>
    <mergeCell ref="A72:B72"/>
    <mergeCell ref="A49:B49"/>
    <mergeCell ref="A50:B50"/>
    <mergeCell ref="A51:B51"/>
    <mergeCell ref="A52:B52"/>
    <mergeCell ref="A53:B53"/>
    <mergeCell ref="A54:B54"/>
    <mergeCell ref="A55:B55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7:M57"/>
    <mergeCell ref="D58:E58"/>
    <mergeCell ref="F58:F59"/>
    <mergeCell ref="H58:H59"/>
    <mergeCell ref="I58:I59"/>
    <mergeCell ref="J58:K58"/>
    <mergeCell ref="L58:M58"/>
    <mergeCell ref="A75:M75"/>
    <mergeCell ref="A76:M76"/>
    <mergeCell ref="A77:M77"/>
    <mergeCell ref="A78:M78"/>
    <mergeCell ref="G58:G59"/>
    <mergeCell ref="A65:G65"/>
    <mergeCell ref="D66:E66"/>
    <mergeCell ref="F66:G67"/>
    <mergeCell ref="F68:G68"/>
    <mergeCell ref="F72:G72"/>
    <mergeCell ref="B74:M74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4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4 C60:C62">
    <cfRule type="containsBlanks" dxfId="3" priority="4">
      <formula>LEN(TRIM(C19))=0</formula>
    </cfRule>
  </conditionalFormatting>
  <conditionalFormatting sqref="C19:C25 C39:C43 C49:C54 C60:C62">
    <cfRule type="cellIs" dxfId="4" priority="5" operator="greaterThanOrEqual">
      <formula>D19:D62</formula>
    </cfRule>
  </conditionalFormatting>
  <conditionalFormatting sqref="C19:C25 C39:C43 C49:C54 C60:C62">
    <cfRule type="cellIs" dxfId="5" priority="6" operator="lessThan">
      <formula>D19:D62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AND(F1048593="",MOD(ROW(),2)=1)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8:G73">
    <cfRule type="containsBlanks" dxfId="1" priority="25">
      <formula>LEN(TRIM(A68))=0</formula>
    </cfRule>
  </conditionalFormatting>
  <conditionalFormatting sqref="A39:M44 A49:M55 G60:M63 A63:F63">
    <cfRule type="expression" dxfId="2" priority="26">
      <formula>MOD(ROW(),2)=0</formula>
    </cfRule>
  </conditionalFormatting>
  <conditionalFormatting sqref="C39:E44 C49:E55 C63:E63">
    <cfRule type="expression" dxfId="6" priority="27">
      <formula>AND(OR($G$3&lt;&gt;"",$E$38&lt;&gt;$M$38),MOD(ROW(),2)=1)</formula>
    </cfRule>
  </conditionalFormatting>
  <conditionalFormatting sqref="C39:E44 C49:E55 C60:E63">
    <cfRule type="expression" dxfId="7" priority="28">
      <formula>AND(OR($G$3&lt;&gt;"",$E$38&lt;&gt;$M$38),MOD(ROW(),2)=0)</formula>
    </cfRule>
  </conditionalFormatting>
  <conditionalFormatting sqref="D39:E44 D49:E55 D63:E63 D60:E62">
    <cfRule type="expression" dxfId="10" priority="29">
      <formula>AND($G$3="",MOD(ROW(),2)=1)</formula>
    </cfRule>
  </conditionalFormatting>
  <conditionalFormatting sqref="J39:K44 L39:L43 J49:K55 L49:L54 J60:K63 L60:L62">
    <cfRule type="expression" dxfId="6" priority="30">
      <formula>AND(OR($G$3="",$E$38&lt;&gt;$M$38),MOD(ROW(),2)=1)</formula>
    </cfRule>
  </conditionalFormatting>
  <conditionalFormatting sqref="J39:K44 L39:L43 J49:K55 L49:L54 J60:K63 L60:L62">
    <cfRule type="expression" dxfId="7" priority="31">
      <formula>AND(OR($G$3="",$E$38&lt;&gt;$M$38),MOD(ROW(),2)=0)</formula>
    </cfRule>
  </conditionalFormatting>
  <conditionalFormatting sqref="J39:K44 L39:L43 J49:K55 L49:L54 J60:K63 L60:L62">
    <cfRule type="expression" dxfId="0" priority="32">
      <formula>AND($G$3&lt;&gt;"",MOD(ROW(),2)=0)</formula>
    </cfRule>
  </conditionalFormatting>
  <conditionalFormatting sqref="J39:K44 L39:L43 J49:K55 L49:L54 J60:K63 L60:L62">
    <cfRule type="expression" dxfId="8" priority="33">
      <formula>AND($G$3&lt;&gt;"",MOD(ROW(),2)=1)</formula>
    </cfRule>
  </conditionalFormatting>
  <conditionalFormatting sqref="L39:M44 L49:M55 L60:M63">
    <cfRule type="expression" dxfId="11" priority="34">
      <formula>AND($E$38=$M$38,MOD(ROW(),2)=1)</formula>
    </cfRule>
  </conditionalFormatting>
  <conditionalFormatting sqref="L39:M44 L49:M55 L60:M63">
    <cfRule type="expression" dxfId="7" priority="35">
      <formula>AND($E$38=$M$38,MOD(ROW(),2)=0)</formula>
    </cfRule>
  </conditionalFormatting>
  <conditionalFormatting sqref="L39:M44 L49:M55 L60:M63">
    <cfRule type="expression" dxfId="0" priority="36">
      <formula>AND($E$38&lt;&gt;$M$38,MOD(ROW(),2)=0)</formula>
    </cfRule>
  </conditionalFormatting>
  <conditionalFormatting sqref="L39:M44 L49:M55 L60:M63">
    <cfRule type="expression" dxfId="8" priority="37">
      <formula>AND($E$38&lt;&gt;$M$38,MOD(ROW(),2)=1)</formula>
    </cfRule>
  </conditionalFormatting>
  <conditionalFormatting sqref="A60:F62 A68:G73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0 A42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A41">
      <formula1>'Voorraadfiche Grondstoffen'!$F$8:$F$100</formula1>
    </dataValidation>
    <dataValidation type="list" allowBlank="1" sqref="F49:F54">
      <formula1>"Maisch,Kook,Whirlpool,Primaire fermentatie,Secundaire fermentatie"</formula1>
    </dataValidation>
    <dataValidation type="list" allowBlank="1" sqref="A60:A62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4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16.43"/>
    <col customWidth="1" min="2" max="2" width="17.86"/>
    <col customWidth="1" min="3" max="4" width="8.71"/>
    <col customWidth="1" min="5" max="5" width="6.57"/>
    <col customWidth="1" min="6" max="6" width="12.43"/>
    <col customWidth="1" min="7" max="7" width="10.86"/>
    <col customWidth="1" min="8" max="8" width="11.43"/>
    <col customWidth="1" min="9" max="9" width="10.0"/>
    <col customWidth="1" min="10" max="10" width="8.43"/>
    <col customWidth="1" min="11" max="11" width="4.14"/>
    <col customWidth="1" min="12" max="12" width="8.43"/>
    <col customWidth="1" min="13" max="13" width="9.71"/>
    <col customWidth="1" min="14" max="36" width="8.71"/>
  </cols>
  <sheetData>
    <row r="1" ht="51.0" customHeight="1">
      <c r="A1" s="24" t="s">
        <v>141</v>
      </c>
      <c r="N1" s="25"/>
      <c r="O1" s="25"/>
      <c r="P1" s="26"/>
      <c r="Q1" s="26"/>
      <c r="R1" s="26"/>
      <c r="S1" s="26"/>
      <c r="T1" s="26"/>
      <c r="U1" s="26"/>
      <c r="V1" s="26"/>
      <c r="W1" s="26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</row>
    <row r="2">
      <c r="A2" s="27" t="s">
        <v>30</v>
      </c>
      <c r="B2" s="28" t="s">
        <v>31</v>
      </c>
      <c r="E2" s="29"/>
      <c r="F2" s="30"/>
      <c r="G2" s="31"/>
      <c r="N2" s="25"/>
      <c r="O2" s="25"/>
      <c r="P2" s="32"/>
      <c r="Z2" s="25"/>
      <c r="AA2" s="25"/>
      <c r="AB2" s="25"/>
      <c r="AC2" s="25"/>
      <c r="AD2" s="25"/>
      <c r="AE2" s="25"/>
      <c r="AF2" s="25"/>
      <c r="AG2" s="25"/>
      <c r="AH2" s="25"/>
      <c r="AI2" s="25"/>
      <c r="AJ2" s="25"/>
    </row>
    <row r="3">
      <c r="A3" s="27"/>
      <c r="B3" s="33"/>
      <c r="C3" s="34"/>
      <c r="D3" s="34"/>
      <c r="E3" s="29"/>
      <c r="F3" s="30"/>
      <c r="G3" s="33"/>
      <c r="H3" s="35"/>
      <c r="I3" s="29"/>
      <c r="J3" s="29"/>
      <c r="K3" s="29"/>
      <c r="L3" s="29"/>
      <c r="M3" s="29"/>
      <c r="N3" s="25"/>
      <c r="O3" s="25"/>
      <c r="P3" s="32"/>
      <c r="Y3" s="36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</row>
    <row r="4">
      <c r="A4" s="37" t="s">
        <v>32</v>
      </c>
      <c r="B4" s="38"/>
      <c r="C4" s="39"/>
      <c r="D4" s="39"/>
      <c r="E4" s="37" t="s">
        <v>5</v>
      </c>
      <c r="F4" s="38"/>
      <c r="G4" s="38"/>
      <c r="H4" s="38"/>
      <c r="I4" s="40"/>
      <c r="J4" s="37" t="s">
        <v>6</v>
      </c>
      <c r="K4" s="38"/>
      <c r="L4" s="38"/>
      <c r="M4" s="38"/>
      <c r="N4" s="41"/>
      <c r="O4" s="41"/>
      <c r="P4" s="42"/>
      <c r="Q4" s="42"/>
      <c r="R4" s="42"/>
      <c r="S4" s="42"/>
      <c r="T4" s="42"/>
      <c r="U4" s="42"/>
      <c r="V4" s="42"/>
      <c r="W4" s="42"/>
      <c r="X4" s="42"/>
      <c r="Y4" s="36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</row>
    <row r="5">
      <c r="A5" s="43" t="s">
        <v>33</v>
      </c>
      <c r="B5" s="44">
        <v>250.0</v>
      </c>
      <c r="C5" s="45"/>
      <c r="D5" s="45"/>
      <c r="E5" s="46" t="s">
        <v>10</v>
      </c>
      <c r="F5" s="47"/>
      <c r="G5" s="48">
        <f>if(D26=0,"",1+(G8/(258.6-((G8/258.2)*227.1))))</f>
        <v>1.073653604</v>
      </c>
      <c r="H5" s="49"/>
      <c r="I5" s="40"/>
      <c r="J5" s="50" t="s">
        <v>10</v>
      </c>
      <c r="K5" s="51"/>
      <c r="L5" s="52"/>
      <c r="M5" s="52"/>
      <c r="N5" s="53"/>
      <c r="O5" s="53"/>
      <c r="P5" s="54"/>
      <c r="Q5" s="55"/>
      <c r="R5" s="55"/>
      <c r="S5" s="55"/>
      <c r="T5" s="55"/>
      <c r="U5" s="55"/>
      <c r="V5" s="55"/>
      <c r="W5" s="55"/>
      <c r="X5" s="55"/>
      <c r="Y5" s="36"/>
      <c r="Z5" s="25"/>
      <c r="AA5" s="25"/>
      <c r="AB5" s="25"/>
      <c r="AC5" s="25"/>
      <c r="AD5" s="25"/>
      <c r="AE5" s="25"/>
      <c r="AF5" s="25"/>
      <c r="AG5" s="25"/>
      <c r="AH5" s="25"/>
      <c r="AI5" s="25"/>
      <c r="AJ5" s="25"/>
    </row>
    <row r="6">
      <c r="A6" s="56" t="s">
        <v>34</v>
      </c>
      <c r="B6" s="57">
        <v>125.0</v>
      </c>
      <c r="C6" s="45"/>
      <c r="D6" s="45"/>
      <c r="E6" s="50" t="s">
        <v>11</v>
      </c>
      <c r="G6" s="48">
        <f>if(D26=0,"",(G5-1)*(1-'XXX - Parelende Pippa'!Attenuation)+1)</f>
        <v>1.014730721</v>
      </c>
      <c r="H6" s="49"/>
      <c r="I6" s="40"/>
      <c r="J6" s="50" t="s">
        <v>11</v>
      </c>
      <c r="K6" s="58"/>
      <c r="L6" s="49"/>
      <c r="M6" s="49"/>
      <c r="N6" s="59"/>
      <c r="O6" s="59"/>
      <c r="P6" s="36"/>
      <c r="Q6" s="36"/>
      <c r="R6" s="36"/>
      <c r="S6" s="36"/>
      <c r="T6" s="36"/>
      <c r="U6" s="36"/>
      <c r="V6" s="36"/>
      <c r="W6" s="36"/>
      <c r="X6" s="36"/>
      <c r="Y6" s="36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</row>
    <row r="7">
      <c r="A7" s="43" t="s">
        <v>35</v>
      </c>
      <c r="B7" s="60">
        <v>0.8</v>
      </c>
      <c r="C7" s="61"/>
      <c r="D7" s="45"/>
      <c r="E7" s="50" t="s">
        <v>12</v>
      </c>
      <c r="G7" s="62">
        <f>if(D26=0,"",(G5-G6)*131.25/100)</f>
        <v>0.07733628369</v>
      </c>
      <c r="H7" s="49"/>
      <c r="I7" s="40"/>
      <c r="J7" s="50" t="s">
        <v>12</v>
      </c>
      <c r="K7" s="62" t="str">
        <f>IF(isblank(K6),"",(K5-K6)*131.25/100)</f>
        <v/>
      </c>
      <c r="L7" s="49"/>
      <c r="M7" s="49"/>
      <c r="N7" s="59"/>
      <c r="O7" s="59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</row>
    <row r="8">
      <c r="A8" s="43" t="s">
        <v>14</v>
      </c>
      <c r="B8" s="63">
        <v>0.65</v>
      </c>
      <c r="C8" s="45"/>
      <c r="D8" s="45"/>
      <c r="E8" s="56" t="s">
        <v>13</v>
      </c>
      <c r="G8" s="64">
        <f>if(D26=0,"",SUMPRODUCT(D19:D25,F19:F25)*'XXX - Parelende Pippa'!Brouwefficientie/'XXX - Parelende Pippa'!Volume*100)</f>
        <v>17.888</v>
      </c>
      <c r="H8" s="65"/>
      <c r="I8" s="40"/>
      <c r="J8" s="66" t="s">
        <v>13</v>
      </c>
      <c r="K8" s="67" t="str">
        <f>if(ISBLANK(K5),"",(-1*616.868)+(1111.14*K5)-(630.272*POWER(K5,2))+(135.997*POWER(K5,3)))</f>
        <v/>
      </c>
      <c r="L8" s="49"/>
      <c r="M8" s="49"/>
      <c r="N8" s="59"/>
      <c r="O8" s="59"/>
      <c r="P8" s="68"/>
      <c r="Q8" s="69"/>
      <c r="R8" s="68"/>
      <c r="S8" s="68"/>
      <c r="T8" s="68"/>
      <c r="U8" s="68"/>
      <c r="V8" s="68"/>
      <c r="W8" s="68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</row>
    <row r="9">
      <c r="A9" s="56" t="s">
        <v>10</v>
      </c>
      <c r="B9" s="48">
        <f>('XXX - Parelende Pippa'!FG-1)/(1-'XXX - Parelende Pippa'!Attenuation)+1</f>
        <v>1.074285714</v>
      </c>
      <c r="C9" s="70"/>
      <c r="D9" s="45"/>
      <c r="E9" s="71" t="s">
        <v>36</v>
      </c>
      <c r="G9" s="72">
        <f>IF(D44=0,"",R44)</f>
        <v>27.00302509</v>
      </c>
      <c r="H9" s="49"/>
      <c r="I9" s="40"/>
      <c r="J9" s="73" t="s">
        <v>14</v>
      </c>
      <c r="K9" s="74">
        <f>iferror(K8/G8*B8,"")</f>
        <v>0</v>
      </c>
      <c r="L9" s="49"/>
      <c r="M9" s="49"/>
      <c r="N9" s="59"/>
      <c r="O9" s="59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</row>
    <row r="10">
      <c r="A10" s="43" t="s">
        <v>11</v>
      </c>
      <c r="B10" s="48">
        <f>B11*(1-B7)/(B7*131.25/100)+1</f>
        <v>1.014857143</v>
      </c>
      <c r="C10" s="75"/>
      <c r="D10" s="40"/>
      <c r="E10" s="71" t="s">
        <v>37</v>
      </c>
      <c r="G10" s="72">
        <f>if(G26=0,"",1.4922*P26*0.6859*1.97)</f>
        <v>134.5149364</v>
      </c>
      <c r="H10" s="49"/>
      <c r="I10" s="40"/>
      <c r="J10" s="40"/>
      <c r="K10" s="40"/>
      <c r="L10" s="40"/>
      <c r="M10" s="40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</row>
    <row r="11">
      <c r="A11" s="71" t="s">
        <v>12</v>
      </c>
      <c r="B11" s="216">
        <v>0.078</v>
      </c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</row>
    <row r="12">
      <c r="A12" s="71" t="s">
        <v>13</v>
      </c>
      <c r="B12" s="67">
        <f>(-1*616.868)+(1111.14*'XXX - Parelende Pippa'!OG)-(630.272*POWER('XXX - Parelende Pippa'!OG,2))+(135.997*POWER('XXX - Parelende Pippa'!OG,3))</f>
        <v>18.03544183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</row>
    <row r="13">
      <c r="A13" s="77"/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25"/>
      <c r="O13" s="78"/>
      <c r="P13" s="78"/>
      <c r="Q13" s="78"/>
      <c r="R13" s="78"/>
      <c r="S13" s="78"/>
      <c r="T13" s="78"/>
      <c r="U13" s="78"/>
      <c r="V13" s="78"/>
      <c r="W13" s="78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</row>
    <row r="14">
      <c r="A14" s="77" t="s">
        <v>38</v>
      </c>
      <c r="N14" s="25"/>
      <c r="O14" s="78"/>
      <c r="P14" s="78"/>
      <c r="Q14" s="78"/>
      <c r="R14" s="78"/>
      <c r="S14" s="78"/>
      <c r="T14" s="78"/>
      <c r="U14" s="78"/>
      <c r="V14" s="78"/>
      <c r="W14" s="78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</row>
    <row r="15">
      <c r="A15" s="79" t="s">
        <v>39</v>
      </c>
      <c r="B15" s="80"/>
      <c r="C15" s="81"/>
      <c r="D15" s="81">
        <f>'XXX - Parelende Pippa'!Plato/100*'XXX - Parelende Pippa'!Volume</f>
        <v>45.08860459</v>
      </c>
      <c r="E15" s="82" t="s">
        <v>40</v>
      </c>
      <c r="F15" s="82"/>
      <c r="G15" s="82"/>
      <c r="H15" s="82"/>
      <c r="I15" s="82"/>
      <c r="J15" s="82"/>
      <c r="K15" s="82"/>
      <c r="L15" s="82"/>
      <c r="M15" s="82"/>
      <c r="N15" s="25"/>
      <c r="O15" s="78"/>
      <c r="P15" s="78"/>
      <c r="Q15" s="78"/>
      <c r="R15" s="78"/>
      <c r="S15" s="78"/>
      <c r="T15" s="78"/>
      <c r="U15" s="78"/>
      <c r="V15" s="78"/>
      <c r="W15" s="78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</row>
    <row r="16">
      <c r="A16" s="83" t="s">
        <v>41</v>
      </c>
      <c r="B16" s="84"/>
      <c r="C16" s="85"/>
      <c r="D16" s="85">
        <f>D15/F16/'XXX - Parelende Pippa'!Brouwefficientie</f>
        <v>86.70885498</v>
      </c>
      <c r="E16" s="86" t="s">
        <v>40</v>
      </c>
      <c r="F16" s="87">
        <v>0.8</v>
      </c>
      <c r="G16" s="86"/>
      <c r="H16" s="86"/>
      <c r="I16" s="86"/>
      <c r="J16" s="86"/>
      <c r="K16" s="86"/>
      <c r="L16" s="88"/>
      <c r="M16" s="88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>
      <c r="A17" s="90" t="s">
        <v>42</v>
      </c>
      <c r="B17" s="91"/>
      <c r="C17" s="92" t="s">
        <v>43</v>
      </c>
      <c r="D17" s="93" t="s">
        <v>44</v>
      </c>
      <c r="E17" s="91"/>
      <c r="F17" s="94" t="s">
        <v>45</v>
      </c>
      <c r="G17" s="95" t="s">
        <v>37</v>
      </c>
      <c r="H17" s="96" t="s">
        <v>46</v>
      </c>
      <c r="I17" s="96" t="s">
        <v>47</v>
      </c>
      <c r="J17" s="93" t="s">
        <v>48</v>
      </c>
      <c r="K17" s="91"/>
      <c r="L17" s="93" t="s">
        <v>49</v>
      </c>
      <c r="M17" s="91"/>
      <c r="N17" s="89"/>
      <c r="O17" s="89"/>
      <c r="P17" s="89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>
      <c r="A18" s="38"/>
      <c r="B18" s="97"/>
      <c r="C18" s="98" t="s">
        <v>40</v>
      </c>
      <c r="D18" s="99" t="s">
        <v>50</v>
      </c>
      <c r="E18" s="100" t="s">
        <v>40</v>
      </c>
      <c r="F18" s="101"/>
      <c r="G18" s="101"/>
      <c r="H18" s="102"/>
      <c r="I18" s="102"/>
      <c r="J18" s="99" t="s">
        <v>50</v>
      </c>
      <c r="K18" s="103" t="str">
        <f>E18</f>
        <v>kg</v>
      </c>
      <c r="L18" s="99" t="s">
        <v>50</v>
      </c>
      <c r="M18" s="104" t="s">
        <v>40</v>
      </c>
      <c r="N18" s="89"/>
      <c r="O18" s="105" t="s">
        <v>51</v>
      </c>
      <c r="P18" s="105" t="s">
        <v>52</v>
      </c>
      <c r="Q18" s="89"/>
      <c r="R18" s="89"/>
      <c r="S18" s="89"/>
      <c r="T18" s="89"/>
      <c r="U18" s="89"/>
      <c r="V18" s="89"/>
      <c r="W18" s="89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>
      <c r="A19" s="106" t="s">
        <v>53</v>
      </c>
      <c r="B19" s="107"/>
      <c r="C19" s="108">
        <f>iferror(VLOOKUP(A19,'Voorraadfiche Grondstoffen'!$A$2:$D$100,4,False),"")</f>
        <v>50</v>
      </c>
      <c r="D19" s="109">
        <v>50.0</v>
      </c>
      <c r="E19" s="110" t="str">
        <f t="shared" ref="E19:E26" si="1">E$18</f>
        <v>kg</v>
      </c>
      <c r="F19" s="111">
        <v>0.78</v>
      </c>
      <c r="G19" s="112">
        <v>3.0</v>
      </c>
      <c r="H19" s="113">
        <f t="shared" ref="H19:H25" si="2">if(isblank(D19),"",(D19/$D$26))</f>
        <v>0.5376344086</v>
      </c>
      <c r="I19" s="113"/>
      <c r="J19" s="188">
        <f t="shared" ref="J19:J25" si="3">IF(ISBLANK(D19),"",D19/$B$5*100)</f>
        <v>20</v>
      </c>
      <c r="K19" s="110" t="str">
        <f t="shared" ref="K19:K26" si="4">K$18</f>
        <v>kg</v>
      </c>
      <c r="L19" s="188">
        <f t="shared" ref="L19:L25" si="5">IF(ISBLANK(D19),"",D19/$B$5*$B$6)</f>
        <v>25</v>
      </c>
      <c r="M19" s="115" t="str">
        <f t="shared" ref="M19:M26" si="6">M$18</f>
        <v>kg</v>
      </c>
      <c r="N19" s="89"/>
      <c r="O19" s="89">
        <f t="shared" ref="O19:O25" si="7">(G19*0.508+0.76)/1.3546</f>
        <v>1.6861066</v>
      </c>
      <c r="P19" s="105">
        <f>D19/kgperpound*lpergallon/$B$5*O19</f>
        <v>2.814246978</v>
      </c>
      <c r="Q19" s="105"/>
      <c r="R19" s="105"/>
      <c r="S19" s="105"/>
      <c r="T19" s="105"/>
      <c r="U19" s="105"/>
      <c r="V19" s="105"/>
      <c r="W19" s="10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>
      <c r="A20" s="116" t="s">
        <v>123</v>
      </c>
      <c r="B20" s="117"/>
      <c r="C20" s="108">
        <f>iferror(VLOOKUP(A20,'Voorraadfiche Grondstoffen'!$A$2:$D$100,4,False),"")</f>
        <v>0</v>
      </c>
      <c r="D20" s="109">
        <v>3.0</v>
      </c>
      <c r="E20" s="118" t="str">
        <f t="shared" si="1"/>
        <v>kg</v>
      </c>
      <c r="F20" s="119">
        <v>0.6</v>
      </c>
      <c r="G20" s="120">
        <v>1000.0</v>
      </c>
      <c r="H20" s="113">
        <f t="shared" si="2"/>
        <v>0.03225806452</v>
      </c>
      <c r="I20" s="113"/>
      <c r="J20" s="188">
        <f t="shared" si="3"/>
        <v>1.2</v>
      </c>
      <c r="K20" s="118" t="str">
        <f t="shared" si="4"/>
        <v>kg</v>
      </c>
      <c r="L20" s="188">
        <f t="shared" si="5"/>
        <v>1.5</v>
      </c>
      <c r="M20" s="121" t="str">
        <f t="shared" si="6"/>
        <v>kg</v>
      </c>
      <c r="N20" s="89"/>
      <c r="O20" s="89">
        <f t="shared" si="7"/>
        <v>375.5795069</v>
      </c>
      <c r="P20" s="105">
        <f>D20/kgperpound*lpergallon/$B$5*O20</f>
        <v>37.61233694</v>
      </c>
      <c r="Q20" s="105"/>
      <c r="R20" s="105"/>
      <c r="S20" s="105"/>
      <c r="T20" s="105"/>
      <c r="U20" s="105"/>
      <c r="V20" s="105"/>
      <c r="W20" s="10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>
      <c r="A21" s="122" t="s">
        <v>142</v>
      </c>
      <c r="B21" s="117"/>
      <c r="C21" s="108">
        <f>iferror(VLOOKUP(A21,'Voorraadfiche Grondstoffen'!$A$2:$D$100,4,False),"")</f>
        <v>0</v>
      </c>
      <c r="D21" s="109">
        <v>20.0</v>
      </c>
      <c r="E21" s="118" t="str">
        <f t="shared" si="1"/>
        <v>kg</v>
      </c>
      <c r="F21" s="119">
        <v>0.65</v>
      </c>
      <c r="G21" s="120">
        <v>2.0</v>
      </c>
      <c r="H21" s="113">
        <f t="shared" si="2"/>
        <v>0.2150537634</v>
      </c>
      <c r="I21" s="113"/>
      <c r="J21" s="188">
        <f t="shared" si="3"/>
        <v>8</v>
      </c>
      <c r="K21" s="118" t="str">
        <f t="shared" si="4"/>
        <v>kg</v>
      </c>
      <c r="L21" s="188">
        <f t="shared" si="5"/>
        <v>10</v>
      </c>
      <c r="M21" s="121" t="str">
        <f t="shared" si="6"/>
        <v>kg</v>
      </c>
      <c r="N21" s="89"/>
      <c r="O21" s="89">
        <f t="shared" si="7"/>
        <v>1.311088144</v>
      </c>
      <c r="P21" s="105">
        <f>D21/kgperpound*lpergallon/$B$5*O21</f>
        <v>0.8753244543</v>
      </c>
      <c r="Q21" s="105"/>
      <c r="R21" s="105"/>
      <c r="S21" s="105"/>
      <c r="T21" s="105"/>
      <c r="U21" s="105"/>
      <c r="V21" s="105"/>
      <c r="W21" s="10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>
      <c r="A22" s="116" t="s">
        <v>143</v>
      </c>
      <c r="B22" s="117"/>
      <c r="C22" s="108">
        <v>20.0</v>
      </c>
      <c r="D22" s="109">
        <v>20.0</v>
      </c>
      <c r="E22" s="118" t="str">
        <f t="shared" si="1"/>
        <v>kg</v>
      </c>
      <c r="F22" s="119">
        <v>0.75</v>
      </c>
      <c r="G22" s="120">
        <v>100.0</v>
      </c>
      <c r="H22" s="113">
        <f t="shared" si="2"/>
        <v>0.2150537634</v>
      </c>
      <c r="I22" s="113"/>
      <c r="J22" s="188">
        <f t="shared" si="3"/>
        <v>8</v>
      </c>
      <c r="K22" s="118" t="str">
        <f t="shared" si="4"/>
        <v>kg</v>
      </c>
      <c r="L22" s="188">
        <f t="shared" si="5"/>
        <v>10</v>
      </c>
      <c r="M22" s="121" t="str">
        <f t="shared" si="6"/>
        <v>kg</v>
      </c>
      <c r="N22" s="89"/>
      <c r="O22" s="89">
        <f t="shared" si="7"/>
        <v>38.0628968</v>
      </c>
      <c r="P22" s="105">
        <f>D22/kgperpound*lpergallon/$B$5*O22</f>
        <v>25.41200949</v>
      </c>
      <c r="Q22" s="105"/>
      <c r="R22" s="105"/>
      <c r="S22" s="105"/>
      <c r="T22" s="105"/>
      <c r="U22" s="105"/>
      <c r="V22" s="105"/>
      <c r="W22" s="10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>
      <c r="A23" s="116"/>
      <c r="B23" s="117"/>
      <c r="C23" s="108" t="str">
        <f>iferror(VLOOKUP(A23,'Voorraadfiche Grondstoffen'!$A$2:$D$100,4,False),"")</f>
        <v/>
      </c>
      <c r="D23" s="109"/>
      <c r="E23" s="118" t="str">
        <f t="shared" si="1"/>
        <v>kg</v>
      </c>
      <c r="F23" s="119"/>
      <c r="G23" s="120"/>
      <c r="H23" s="113" t="str">
        <f t="shared" si="2"/>
        <v/>
      </c>
      <c r="I23" s="113"/>
      <c r="J23" s="188" t="str">
        <f t="shared" si="3"/>
        <v/>
      </c>
      <c r="K23" s="118" t="str">
        <f t="shared" si="4"/>
        <v>kg</v>
      </c>
      <c r="L23" s="188" t="str">
        <f t="shared" si="5"/>
        <v/>
      </c>
      <c r="M23" s="121" t="str">
        <f t="shared" si="6"/>
        <v>kg</v>
      </c>
      <c r="N23" s="89"/>
      <c r="O23" s="89">
        <f t="shared" si="7"/>
        <v>0.5610512328</v>
      </c>
      <c r="P23" s="105">
        <f>D23/kgperpound*lpergallon/$B$5*O23</f>
        <v>0</v>
      </c>
      <c r="Q23" s="105"/>
      <c r="R23" s="105"/>
      <c r="S23" s="105"/>
      <c r="T23" s="105"/>
      <c r="U23" s="105"/>
      <c r="V23" s="105"/>
      <c r="W23" s="10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ht="15.75" customHeight="1">
      <c r="A24" s="218"/>
      <c r="B24" s="117"/>
      <c r="C24" s="108" t="str">
        <f>iferror(VLOOKUP(A24,'Voorraadfiche Grondstoffen'!$A$2:$D$100,4,False),"")</f>
        <v/>
      </c>
      <c r="D24" s="109"/>
      <c r="E24" s="118" t="str">
        <f t="shared" si="1"/>
        <v>kg</v>
      </c>
      <c r="F24" s="219"/>
      <c r="G24" s="220"/>
      <c r="H24" s="113" t="str">
        <f t="shared" si="2"/>
        <v/>
      </c>
      <c r="I24" s="113"/>
      <c r="J24" s="188" t="str">
        <f t="shared" si="3"/>
        <v/>
      </c>
      <c r="K24" s="118" t="str">
        <f t="shared" si="4"/>
        <v>kg</v>
      </c>
      <c r="L24" s="188" t="str">
        <f t="shared" si="5"/>
        <v/>
      </c>
      <c r="M24" s="121" t="str">
        <f t="shared" si="6"/>
        <v>kg</v>
      </c>
      <c r="N24" s="89"/>
      <c r="O24" s="89">
        <f t="shared" si="7"/>
        <v>0.5610512328</v>
      </c>
      <c r="P24" s="105">
        <f>D24/kgperpound*lpergallon/$B$5*O24</f>
        <v>0</v>
      </c>
      <c r="Q24" s="105"/>
      <c r="R24" s="105"/>
      <c r="S24" s="105"/>
      <c r="T24" s="105"/>
      <c r="U24" s="105"/>
      <c r="V24" s="105"/>
      <c r="W24" s="10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ht="15.75" customHeight="1">
      <c r="A25" s="123"/>
      <c r="B25" s="124"/>
      <c r="C25" s="108" t="str">
        <f>iferror(VLOOKUP(A25,'Voorraadfiche Grondstoffen'!$A$2:$D$100,4,False),"")</f>
        <v/>
      </c>
      <c r="D25" s="109"/>
      <c r="E25" s="125" t="str">
        <f t="shared" si="1"/>
        <v>kg</v>
      </c>
      <c r="F25" s="126"/>
      <c r="G25" s="127"/>
      <c r="H25" s="113" t="str">
        <f t="shared" si="2"/>
        <v/>
      </c>
      <c r="I25" s="113"/>
      <c r="J25" s="188" t="str">
        <f t="shared" si="3"/>
        <v/>
      </c>
      <c r="K25" s="125" t="str">
        <f t="shared" si="4"/>
        <v>kg</v>
      </c>
      <c r="L25" s="188" t="str">
        <f t="shared" si="5"/>
        <v/>
      </c>
      <c r="M25" s="128" t="str">
        <f t="shared" si="6"/>
        <v>kg</v>
      </c>
      <c r="N25" s="89"/>
      <c r="O25" s="89">
        <f t="shared" si="7"/>
        <v>0.5610512328</v>
      </c>
      <c r="P25" s="105">
        <f>D25/kgperpound*lpergallon/$B$5*O25</f>
        <v>0</v>
      </c>
      <c r="Q25" s="105"/>
      <c r="R25" s="105"/>
      <c r="S25" s="105"/>
      <c r="T25" s="105"/>
      <c r="U25" s="105"/>
      <c r="V25" s="105"/>
      <c r="W25" s="10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ht="15.75" customHeight="1">
      <c r="A26" s="129" t="s">
        <v>55</v>
      </c>
      <c r="B26" s="47"/>
      <c r="C26" s="130"/>
      <c r="D26" s="131">
        <f>SUM(D19:D25)</f>
        <v>93</v>
      </c>
      <c r="E26" s="132" t="str">
        <f t="shared" si="1"/>
        <v>kg</v>
      </c>
      <c r="F26" s="133"/>
      <c r="G26" s="134">
        <f>sum(G19:G25)</f>
        <v>1105</v>
      </c>
      <c r="H26" s="133"/>
      <c r="I26" s="133"/>
      <c r="J26" s="130">
        <f>SUM(J19:J25)</f>
        <v>37.2</v>
      </c>
      <c r="K26" s="132" t="str">
        <f t="shared" si="4"/>
        <v>kg</v>
      </c>
      <c r="L26" s="130">
        <f>SUM(L19:L25)</f>
        <v>46.5</v>
      </c>
      <c r="M26" s="132" t="str">
        <f t="shared" si="6"/>
        <v>kg</v>
      </c>
      <c r="N26" s="89"/>
      <c r="O26" s="89"/>
      <c r="P26" s="89">
        <f>SUM(P19:P25)</f>
        <v>66.71391786</v>
      </c>
      <c r="Q26" s="105"/>
      <c r="R26" s="105"/>
      <c r="S26" s="89"/>
      <c r="T26" s="89"/>
      <c r="U26" s="89"/>
      <c r="V26" s="89"/>
      <c r="W26" s="89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ht="15.75" customHeight="1">
      <c r="A27" s="40"/>
      <c r="B27" s="40"/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ht="15.75" customHeight="1">
      <c r="A28" s="77" t="s">
        <v>56</v>
      </c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ht="15.75" customHeight="1">
      <c r="A29" s="135" t="s">
        <v>57</v>
      </c>
      <c r="B29" s="136"/>
      <c r="C29" s="137"/>
      <c r="D29" s="138" t="s">
        <v>58</v>
      </c>
      <c r="E29" s="138" t="s">
        <v>59</v>
      </c>
      <c r="F29" s="139"/>
      <c r="G29" s="140"/>
      <c r="H29" s="136"/>
      <c r="I29" s="139"/>
      <c r="J29" s="140"/>
      <c r="K29" s="141"/>
      <c r="L29" s="140"/>
      <c r="M29" s="142"/>
      <c r="N29" s="89"/>
      <c r="O29" s="89"/>
      <c r="P29" s="89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ht="15.75" customHeight="1">
      <c r="A30" s="106" t="s">
        <v>60</v>
      </c>
      <c r="B30" s="107"/>
      <c r="C30" s="143"/>
      <c r="D30" s="144"/>
      <c r="E30" s="145">
        <v>0.0</v>
      </c>
      <c r="F30" s="144"/>
      <c r="G30" s="146"/>
      <c r="H30" s="107"/>
      <c r="I30" s="147"/>
      <c r="J30" s="148"/>
      <c r="K30" s="149"/>
      <c r="L30" s="150"/>
      <c r="M30" s="107"/>
      <c r="N30" s="89"/>
      <c r="O30" s="89"/>
      <c r="P30" s="89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ht="15.75" customHeight="1">
      <c r="A31" s="116" t="s">
        <v>61</v>
      </c>
      <c r="B31" s="117"/>
      <c r="C31" s="151"/>
      <c r="D31" s="154"/>
      <c r="E31" s="153">
        <v>5.0</v>
      </c>
      <c r="F31" s="154" t="str">
        <f t="shared" ref="F31:F33" si="8">IF(D31="","",D30)</f>
        <v/>
      </c>
      <c r="G31" s="155"/>
      <c r="H31" s="117"/>
      <c r="I31" s="156"/>
      <c r="J31" s="157"/>
      <c r="K31" s="158"/>
      <c r="L31" s="159"/>
      <c r="M31" s="117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ht="15.75" customHeight="1">
      <c r="A32" s="116" t="s">
        <v>62</v>
      </c>
      <c r="B32" s="117"/>
      <c r="C32" s="151"/>
      <c r="D32" s="154"/>
      <c r="E32" s="153">
        <v>35.0</v>
      </c>
      <c r="F32" s="154" t="str">
        <f t="shared" si="8"/>
        <v/>
      </c>
      <c r="G32" s="155"/>
      <c r="H32" s="117"/>
      <c r="I32" s="156"/>
      <c r="J32" s="157"/>
      <c r="K32" s="158"/>
      <c r="L32" s="159"/>
      <c r="M32" s="117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</row>
    <row r="33" ht="15.75" customHeight="1">
      <c r="A33" s="160" t="s">
        <v>63</v>
      </c>
      <c r="B33" s="124"/>
      <c r="C33" s="161"/>
      <c r="D33" s="162"/>
      <c r="E33" s="163">
        <v>5.0</v>
      </c>
      <c r="F33" s="162" t="str">
        <f t="shared" si="8"/>
        <v/>
      </c>
      <c r="G33" s="164"/>
      <c r="H33" s="124"/>
      <c r="I33" s="165"/>
      <c r="J33" s="166"/>
      <c r="K33" s="167"/>
      <c r="L33" s="168"/>
      <c r="M33" s="124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</row>
    <row r="34" ht="15.75" customHeight="1">
      <c r="A34" s="169" t="s">
        <v>64</v>
      </c>
      <c r="B34" s="47"/>
      <c r="C34" s="170"/>
      <c r="D34" s="170"/>
      <c r="E34" s="171">
        <f>SUM(E30:E33)</f>
        <v>45</v>
      </c>
      <c r="F34" s="170" t="s">
        <v>65</v>
      </c>
      <c r="G34" s="170"/>
      <c r="H34" s="170"/>
      <c r="I34" s="172"/>
      <c r="J34" s="173"/>
      <c r="K34" s="169"/>
      <c r="L34" s="174"/>
      <c r="M34" s="170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</row>
    <row r="35" ht="15.75" customHeight="1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</row>
    <row r="36" ht="15.75" customHeight="1">
      <c r="A36" s="77" t="s">
        <v>66</v>
      </c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</row>
    <row r="37" ht="15.75" customHeight="1">
      <c r="A37" s="175" t="s">
        <v>67</v>
      </c>
      <c r="B37" s="176"/>
      <c r="C37" s="177"/>
      <c r="D37" s="178" t="s">
        <v>44</v>
      </c>
      <c r="E37" s="176"/>
      <c r="F37" s="179" t="s">
        <v>68</v>
      </c>
      <c r="G37" s="179" t="s">
        <v>69</v>
      </c>
      <c r="H37" s="180" t="s">
        <v>70</v>
      </c>
      <c r="I37" s="181" t="s">
        <v>47</v>
      </c>
      <c r="J37" s="178" t="s">
        <v>48</v>
      </c>
      <c r="K37" s="176"/>
      <c r="L37" s="178" t="s">
        <v>49</v>
      </c>
      <c r="M37" s="176"/>
      <c r="N37" s="89"/>
      <c r="O37" s="105" t="s">
        <v>71</v>
      </c>
      <c r="P37" s="89">
        <f>1.65*POWER(0.000125,G5-1)</f>
        <v>0.8511523486</v>
      </c>
      <c r="Q37" s="89"/>
      <c r="R37" s="89"/>
      <c r="S37" s="89"/>
      <c r="T37" s="89"/>
      <c r="U37" s="89"/>
      <c r="V37" s="89"/>
      <c r="W37" s="89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</row>
    <row r="38" ht="15.75" customHeight="1">
      <c r="A38" s="38"/>
      <c r="B38" s="97"/>
      <c r="C38" s="182"/>
      <c r="D38" s="183" t="s">
        <v>50</v>
      </c>
      <c r="E38" s="184" t="s">
        <v>72</v>
      </c>
      <c r="F38" s="101"/>
      <c r="G38" s="101"/>
      <c r="H38" s="101"/>
      <c r="I38" s="102"/>
      <c r="J38" s="99" t="s">
        <v>50</v>
      </c>
      <c r="K38" s="185" t="str">
        <f>E38</f>
        <v>g</v>
      </c>
      <c r="L38" s="99" t="s">
        <v>50</v>
      </c>
      <c r="M38" s="104" t="s">
        <v>72</v>
      </c>
      <c r="N38" s="89"/>
      <c r="O38" s="105" t="s">
        <v>73</v>
      </c>
      <c r="P38" s="105" t="s">
        <v>74</v>
      </c>
      <c r="Q38" s="105" t="s">
        <v>75</v>
      </c>
      <c r="R38" s="105" t="s">
        <v>36</v>
      </c>
      <c r="S38" s="89"/>
      <c r="T38" s="89"/>
      <c r="U38" s="89"/>
      <c r="V38" s="89"/>
      <c r="W38" s="89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</row>
    <row r="39" ht="15.75" customHeight="1">
      <c r="A39" s="106" t="s">
        <v>78</v>
      </c>
      <c r="B39" s="107"/>
      <c r="C39" s="186">
        <f>iferror(1000*VLOOKUP(A39,'Voorraadfiche Grondstoffen'!$F$2:$I$100,4,False),"")</f>
        <v>1800</v>
      </c>
      <c r="D39" s="112">
        <v>400.0</v>
      </c>
      <c r="E39" s="110" t="str">
        <f t="shared" ref="E39:E44" si="9">E$38</f>
        <v>g</v>
      </c>
      <c r="F39" s="112" t="s">
        <v>77</v>
      </c>
      <c r="G39" s="112">
        <v>30.0</v>
      </c>
      <c r="H39" s="112">
        <v>8.5</v>
      </c>
      <c r="I39" s="195"/>
      <c r="J39" s="188">
        <f>IF(ISBLANK(D39),"",D39/'XXX - Parelende Pippa'!Volume*100)</f>
        <v>160</v>
      </c>
      <c r="K39" s="110" t="str">
        <f t="shared" ref="K39:K44" si="10">K$38</f>
        <v>g</v>
      </c>
      <c r="L39" s="188">
        <f>IF(ISBLANK(D39),"",D39/'XXX - Parelende Pippa'!Volume*$B$6)</f>
        <v>200</v>
      </c>
      <c r="M39" s="115" t="str">
        <f t="shared" ref="M39:M44" si="11">M$38</f>
        <v>g</v>
      </c>
      <c r="N39" s="89"/>
      <c r="O39" s="89">
        <f>D39*ozpergram</f>
        <v>14.109584</v>
      </c>
      <c r="P39" s="89">
        <f t="shared" ref="P39:P43" si="12">(1-POWER(2.71828182845904,((-0.04)*G39)))/4.15</f>
        <v>0.1683869369</v>
      </c>
      <c r="Q39" s="89">
        <f t="shared" ref="Q39:Q43" si="13">P39*$P$37</f>
        <v>0.1433229368</v>
      </c>
      <c r="R39" s="89">
        <f>IF(F39="Leaf", ((H39 *O39) *Q39  * 74.9) / 'XXX - Parelende Pippa'!Volume*3.785, ((H39 *O39) * (Q39*1.1) * 74.9) / 'XXX - Parelende Pippa'!Volume*3.785)</f>
        <v>21.44120612</v>
      </c>
      <c r="S39" s="89"/>
      <c r="T39" s="89"/>
      <c r="U39" s="89"/>
      <c r="V39" s="89"/>
      <c r="W39" s="89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</row>
    <row r="40" ht="15.75" customHeight="1">
      <c r="A40" s="116" t="s">
        <v>144</v>
      </c>
      <c r="B40" s="117"/>
      <c r="C40" s="186" t="str">
        <f>iferror(1000*VLOOKUP(A40,'Voorraadfiche Grondstoffen'!$F$2:$I$100,4,False),"")</f>
        <v/>
      </c>
      <c r="D40" s="120">
        <v>400.0</v>
      </c>
      <c r="E40" s="118" t="str">
        <f t="shared" si="9"/>
        <v>g</v>
      </c>
      <c r="F40" s="120" t="s">
        <v>77</v>
      </c>
      <c r="G40" s="120">
        <v>5.0</v>
      </c>
      <c r="H40" s="120">
        <v>8.5</v>
      </c>
      <c r="I40" s="189"/>
      <c r="J40" s="188">
        <f>IF(ISBLANK(D40),"",D40/'XXX - Parelende Pippa'!Volume*100)</f>
        <v>160</v>
      </c>
      <c r="K40" s="118" t="str">
        <f t="shared" si="10"/>
        <v>g</v>
      </c>
      <c r="L40" s="188">
        <f>IF(ISBLANK(D40),"",D40/'XXX - Parelende Pippa'!Volume*$B$6)</f>
        <v>200</v>
      </c>
      <c r="M40" s="121" t="str">
        <f t="shared" si="11"/>
        <v>g</v>
      </c>
      <c r="N40" s="89"/>
      <c r="O40" s="89">
        <f>D40*ozpergram</f>
        <v>14.109584</v>
      </c>
      <c r="P40" s="89">
        <f t="shared" si="12"/>
        <v>0.04367933661</v>
      </c>
      <c r="Q40" s="89">
        <f t="shared" si="13"/>
        <v>0.03717776994</v>
      </c>
      <c r="R40" s="89">
        <f>IF(F40="Leaf", ((H40 *O40) *Q40  * 74.9) / 'XXX - Parelende Pippa'!Volume*3.785, ((H40 *O40) * (Q40*1.1) * 74.9) / 'XXX - Parelende Pippa'!Volume*3.785)</f>
        <v>5.561818967</v>
      </c>
      <c r="S40" s="89"/>
      <c r="T40" s="89"/>
      <c r="U40" s="89"/>
      <c r="V40" s="89"/>
      <c r="W40" s="89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</row>
    <row r="41" ht="15.75" customHeight="1">
      <c r="A41" s="106"/>
      <c r="B41" s="107"/>
      <c r="C41" s="186" t="str">
        <f>iferror(1000*VLOOKUP(A41,'Voorraadfiche Grondstoffen'!$F$2:$I$100,4,False),"")</f>
        <v/>
      </c>
      <c r="D41" s="190"/>
      <c r="E41" s="118" t="str">
        <f t="shared" si="9"/>
        <v>g</v>
      </c>
      <c r="F41" s="120" t="s">
        <v>77</v>
      </c>
      <c r="G41" s="120"/>
      <c r="H41" s="190"/>
      <c r="I41" s="189"/>
      <c r="J41" s="188" t="str">
        <f>IF(ISBLANK(D41),"",D41/'XXX - Parelende Pippa'!Volume*100)</f>
        <v/>
      </c>
      <c r="K41" s="118" t="str">
        <f t="shared" si="10"/>
        <v>g</v>
      </c>
      <c r="L41" s="188" t="str">
        <f>IF(ISBLANK(D41),"",D41/'XXX - Parelende Pippa'!Volume*$B$6)</f>
        <v/>
      </c>
      <c r="M41" s="121" t="str">
        <f t="shared" si="11"/>
        <v>g</v>
      </c>
      <c r="N41" s="89"/>
      <c r="O41" s="89">
        <f>D41*ozpergram</f>
        <v>0</v>
      </c>
      <c r="P41" s="89">
        <f t="shared" si="12"/>
        <v>0</v>
      </c>
      <c r="Q41" s="89">
        <f t="shared" si="13"/>
        <v>0</v>
      </c>
      <c r="R41" s="89">
        <f>IF(F41="Leaf", ((H41 *O41) *Q41  * 74.9) / 'XXX - Parelende Pippa'!Volume*3.785, ((H41 *O41) * (Q41*1.1) * 74.9) / 'XXX - Parelende Pippa'!Volume*3.785)</f>
        <v>0</v>
      </c>
      <c r="S41" s="89"/>
      <c r="T41" s="89"/>
      <c r="U41" s="89"/>
      <c r="V41" s="89"/>
      <c r="W41" s="89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</row>
    <row r="42" ht="15.75" customHeight="1">
      <c r="A42" s="116"/>
      <c r="B42" s="117"/>
      <c r="C42" s="186" t="str">
        <f>iferror(1000*VLOOKUP(A42,'Voorraadfiche Grondstoffen'!$F$2:$I$100,4,False),"")</f>
        <v/>
      </c>
      <c r="D42" s="190"/>
      <c r="E42" s="118" t="str">
        <f t="shared" si="9"/>
        <v>g</v>
      </c>
      <c r="F42" s="120" t="s">
        <v>77</v>
      </c>
      <c r="G42" s="120"/>
      <c r="H42" s="190"/>
      <c r="I42" s="189"/>
      <c r="J42" s="188" t="str">
        <f>IF(ISBLANK(D42),"",D42/'XXX - Parelende Pippa'!Volume*100)</f>
        <v/>
      </c>
      <c r="K42" s="118" t="str">
        <f t="shared" si="10"/>
        <v>g</v>
      </c>
      <c r="L42" s="188" t="str">
        <f>IF(ISBLANK(D42),"",D42/'XXX - Parelende Pippa'!Volume*$B$6)</f>
        <v/>
      </c>
      <c r="M42" s="121" t="str">
        <f t="shared" si="11"/>
        <v>g</v>
      </c>
      <c r="N42" s="89"/>
      <c r="O42" s="89">
        <f>D42*ozpergram</f>
        <v>0</v>
      </c>
      <c r="P42" s="89">
        <f t="shared" si="12"/>
        <v>0</v>
      </c>
      <c r="Q42" s="89">
        <f t="shared" si="13"/>
        <v>0</v>
      </c>
      <c r="R42" s="89">
        <f>IF(F42="Leaf", ((H42 *O42) *Q42  * 74.9) / 'XXX - Parelende Pippa'!Volume*3.785, ((H42 *O42) * (Q42*1.1) * 74.9) / 'XXX - Parelende Pippa'!Volume*3.785)</f>
        <v>0</v>
      </c>
      <c r="S42" s="89"/>
      <c r="T42" s="89"/>
      <c r="U42" s="89"/>
      <c r="V42" s="89"/>
      <c r="W42" s="89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</row>
    <row r="43" ht="15.75" customHeight="1">
      <c r="A43" s="123"/>
      <c r="B43" s="124"/>
      <c r="C43" s="186" t="str">
        <f>iferror(1000*VLOOKUP(A43,'Voorraadfiche Grondstoffen'!$F$2:$I$100,4,False),"")</f>
        <v/>
      </c>
      <c r="D43" s="192"/>
      <c r="E43" s="125" t="str">
        <f t="shared" si="9"/>
        <v>g</v>
      </c>
      <c r="F43" s="192"/>
      <c r="G43" s="192"/>
      <c r="H43" s="192"/>
      <c r="I43" s="193"/>
      <c r="J43" s="188" t="str">
        <f>IF(ISBLANK(D43),"",D43/'XXX - Parelende Pippa'!Volume*100)</f>
        <v/>
      </c>
      <c r="K43" s="125" t="str">
        <f t="shared" si="10"/>
        <v>g</v>
      </c>
      <c r="L43" s="188" t="str">
        <f>IF(ISBLANK(D43),"",D43/'XXX - Parelende Pippa'!Volume*$B$6)</f>
        <v/>
      </c>
      <c r="M43" s="128" t="str">
        <f t="shared" si="11"/>
        <v>g</v>
      </c>
      <c r="N43" s="89"/>
      <c r="O43" s="89">
        <f>D43*ozpergram</f>
        <v>0</v>
      </c>
      <c r="P43" s="89">
        <f t="shared" si="12"/>
        <v>0</v>
      </c>
      <c r="Q43" s="89">
        <f t="shared" si="13"/>
        <v>0</v>
      </c>
      <c r="R43" s="89">
        <f>IF(F43="Leaf", ((H43 *O43) *Q43  * 74.9) / 'XXX - Parelende Pippa'!Volume*3.785, ((H43 *O43) * (Q43*1.1) * 74.9) / 'XXX - Parelende Pippa'!Volume*3.785)</f>
        <v>0</v>
      </c>
      <c r="S43" s="89"/>
      <c r="T43" s="89"/>
      <c r="U43" s="89"/>
      <c r="V43" s="89"/>
      <c r="W43" s="89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</row>
    <row r="44" ht="15.75" customHeight="1">
      <c r="A44" s="129" t="s">
        <v>55</v>
      </c>
      <c r="B44" s="47"/>
      <c r="C44" s="130"/>
      <c r="D44" s="130">
        <f>SUM(D39:D43)</f>
        <v>800</v>
      </c>
      <c r="E44" s="194" t="str">
        <f t="shared" si="9"/>
        <v>g</v>
      </c>
      <c r="F44" s="133"/>
      <c r="G44" s="133"/>
      <c r="H44" s="133"/>
      <c r="I44" s="133"/>
      <c r="J44" s="130">
        <f>SUM(J39:J43)</f>
        <v>320</v>
      </c>
      <c r="K44" s="132" t="str">
        <f t="shared" si="10"/>
        <v>g</v>
      </c>
      <c r="L44" s="130">
        <f>SUM(L39:L43)</f>
        <v>400</v>
      </c>
      <c r="M44" s="132" t="str">
        <f t="shared" si="11"/>
        <v>g</v>
      </c>
      <c r="N44" s="89"/>
      <c r="O44" s="89"/>
      <c r="P44" s="89"/>
      <c r="Q44" s="89"/>
      <c r="R44" s="89">
        <f>sum(R39:R43)</f>
        <v>27.00302509</v>
      </c>
      <c r="S44" s="89"/>
      <c r="T44" s="89"/>
      <c r="U44" s="89"/>
      <c r="V44" s="89"/>
      <c r="W44" s="89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</row>
    <row r="45" ht="15.75" customHeight="1">
      <c r="A45" s="40"/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</row>
    <row r="46" ht="15.75" customHeight="1">
      <c r="A46" s="77" t="s">
        <v>79</v>
      </c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</row>
    <row r="47" ht="15.75" customHeight="1">
      <c r="A47" s="175" t="s">
        <v>80</v>
      </c>
      <c r="B47" s="176"/>
      <c r="C47" s="177"/>
      <c r="D47" s="178" t="s">
        <v>44</v>
      </c>
      <c r="E47" s="176"/>
      <c r="F47" s="179" t="s">
        <v>81</v>
      </c>
      <c r="G47" s="179" t="s">
        <v>82</v>
      </c>
      <c r="H47" s="180"/>
      <c r="I47" s="181" t="s">
        <v>47</v>
      </c>
      <c r="J47" s="178" t="s">
        <v>48</v>
      </c>
      <c r="K47" s="176"/>
      <c r="L47" s="178" t="s">
        <v>49</v>
      </c>
      <c r="M47" s="176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</row>
    <row r="48" ht="15.75" customHeight="1">
      <c r="A48" s="38"/>
      <c r="B48" s="97"/>
      <c r="C48" s="182"/>
      <c r="D48" s="183" t="s">
        <v>50</v>
      </c>
      <c r="E48" s="184" t="s">
        <v>72</v>
      </c>
      <c r="F48" s="101"/>
      <c r="G48" s="101"/>
      <c r="H48" s="101"/>
      <c r="I48" s="102"/>
      <c r="J48" s="99" t="s">
        <v>50</v>
      </c>
      <c r="K48" s="185" t="str">
        <f>E48</f>
        <v>g</v>
      </c>
      <c r="L48" s="99" t="s">
        <v>50</v>
      </c>
      <c r="M48" s="104" t="s">
        <v>72</v>
      </c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</row>
    <row r="49" ht="15.75" customHeight="1">
      <c r="A49" s="106" t="s">
        <v>145</v>
      </c>
      <c r="B49" s="107"/>
      <c r="C49" s="186" t="str">
        <f>iferror(1000*VLOOKUP(A49,'Voorraadfiche Grondstoffen'!$K$2:$N$100,4,False),"")</f>
        <v/>
      </c>
      <c r="D49" s="112"/>
      <c r="E49" s="110" t="str">
        <f t="shared" ref="E49:E54" si="14">E$38</f>
        <v>g</v>
      </c>
      <c r="F49" s="112" t="s">
        <v>84</v>
      </c>
      <c r="G49" s="112" t="str">
        <f t="shared" ref="G49:G53" si="15">IF(ISBLANK(D49),"",D49/#REF!)</f>
        <v/>
      </c>
      <c r="H49" s="112"/>
      <c r="I49" s="195"/>
      <c r="J49" s="188" t="str">
        <f>IF(ISBLANK(D49),"",D49/'XXX - Parelende Pippa'!Volume*100)</f>
        <v/>
      </c>
      <c r="K49" s="110" t="str">
        <f t="shared" ref="K49:K54" si="16">K$38</f>
        <v>g</v>
      </c>
      <c r="L49" s="188" t="str">
        <f>IF(ISBLANK(D49),"",D49/'XXX - Parelende Pippa'!Volume*$B$6)</f>
        <v/>
      </c>
      <c r="M49" s="115" t="str">
        <f t="shared" ref="M49:M54" si="17">M$38</f>
        <v>g</v>
      </c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</row>
    <row r="50" ht="15.75" customHeight="1">
      <c r="A50" s="116" t="s">
        <v>146</v>
      </c>
      <c r="B50" s="117"/>
      <c r="C50" s="186" t="str">
        <f>iferror(1000*VLOOKUP(A50,'Voorraadfiche Grondstoffen'!$K$2:$N$100,4,False),"")</f>
        <v/>
      </c>
      <c r="D50" s="120"/>
      <c r="E50" s="118" t="str">
        <f t="shared" si="14"/>
        <v>g</v>
      </c>
      <c r="F50" s="120" t="s">
        <v>147</v>
      </c>
      <c r="G50" s="112" t="str">
        <f t="shared" si="15"/>
        <v/>
      </c>
      <c r="H50" s="120"/>
      <c r="I50" s="189"/>
      <c r="J50" s="188" t="str">
        <f>IF(ISBLANK(D50),"",D50/'XXX - Parelende Pippa'!Volume*100)</f>
        <v/>
      </c>
      <c r="K50" s="118" t="str">
        <f t="shared" si="16"/>
        <v>g</v>
      </c>
      <c r="L50" s="188" t="str">
        <f>IF(ISBLANK(D50),"",D50/'XXX - Parelende Pippa'!Volume*$B$6)</f>
        <v/>
      </c>
      <c r="M50" s="121" t="str">
        <f t="shared" si="17"/>
        <v>g</v>
      </c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</row>
    <row r="51" ht="15.75" customHeight="1">
      <c r="A51" s="106" t="s">
        <v>127</v>
      </c>
      <c r="B51" s="107"/>
      <c r="C51" s="186">
        <f>iferror(1000*VLOOKUP(A51,'Voorraadfiche Grondstoffen'!$K$2:$N$100,4,False),"")</f>
        <v>685</v>
      </c>
      <c r="D51" s="190"/>
      <c r="E51" s="118" t="str">
        <f t="shared" si="14"/>
        <v>g</v>
      </c>
      <c r="F51" s="120" t="s">
        <v>147</v>
      </c>
      <c r="G51" s="112" t="str">
        <f t="shared" si="15"/>
        <v/>
      </c>
      <c r="H51" s="190"/>
      <c r="I51" s="189"/>
      <c r="J51" s="188" t="str">
        <f>IF(ISBLANK(D51),"",D51/'XXX - Parelende Pippa'!Volume*100)</f>
        <v/>
      </c>
      <c r="K51" s="118" t="str">
        <f t="shared" si="16"/>
        <v>g</v>
      </c>
      <c r="L51" s="188" t="str">
        <f>IF(ISBLANK(D51),"",D51/'XXX - Parelende Pippa'!Volume*$B$6)</f>
        <v/>
      </c>
      <c r="M51" s="121" t="str">
        <f t="shared" si="17"/>
        <v>g</v>
      </c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</row>
    <row r="52" ht="15.75" customHeight="1">
      <c r="A52" s="116"/>
      <c r="B52" s="117"/>
      <c r="C52" s="186" t="str">
        <f>iferror(1000*VLOOKUP(A52,'Voorraadfiche Grondstoffen'!$K$2:$N$100,4,False),"")</f>
        <v/>
      </c>
      <c r="D52" s="190"/>
      <c r="E52" s="118" t="str">
        <f t="shared" si="14"/>
        <v>g</v>
      </c>
      <c r="F52" s="120"/>
      <c r="G52" s="112" t="str">
        <f t="shared" si="15"/>
        <v/>
      </c>
      <c r="H52" s="190"/>
      <c r="I52" s="189"/>
      <c r="J52" s="188" t="str">
        <f>IF(ISBLANK(D52),"",D52/'XXX - Parelende Pippa'!Volume*100)</f>
        <v/>
      </c>
      <c r="K52" s="118" t="str">
        <f t="shared" si="16"/>
        <v>g</v>
      </c>
      <c r="L52" s="188" t="str">
        <f>IF(ISBLANK(D52),"",D52/'XXX - Parelende Pippa'!Volume*$B$6)</f>
        <v/>
      </c>
      <c r="M52" s="121" t="str">
        <f t="shared" si="17"/>
        <v>g</v>
      </c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</row>
    <row r="53" ht="15.75" customHeight="1">
      <c r="A53" s="123"/>
      <c r="B53" s="124"/>
      <c r="C53" s="186" t="str">
        <f>iferror(1000*VLOOKUP(A53,'Voorraadfiche Grondstoffen'!$K$2:$N$100,4,False),"")</f>
        <v/>
      </c>
      <c r="D53" s="192"/>
      <c r="E53" s="125" t="str">
        <f t="shared" si="14"/>
        <v>g</v>
      </c>
      <c r="F53" s="192"/>
      <c r="G53" s="112" t="str">
        <f t="shared" si="15"/>
        <v/>
      </c>
      <c r="H53" s="192"/>
      <c r="I53" s="193"/>
      <c r="J53" s="188" t="str">
        <f>IF(ISBLANK(D53),"",D53/'XXX - Parelende Pippa'!Volume*100)</f>
        <v/>
      </c>
      <c r="K53" s="125" t="str">
        <f t="shared" si="16"/>
        <v>g</v>
      </c>
      <c r="L53" s="188" t="str">
        <f>IF(ISBLANK(D53),"",D53/'XXX - Parelende Pippa'!Volume*$B$6)</f>
        <v/>
      </c>
      <c r="M53" s="128" t="str">
        <f t="shared" si="17"/>
        <v>g</v>
      </c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</row>
    <row r="54" ht="15.75" customHeight="1">
      <c r="A54" s="129" t="s">
        <v>55</v>
      </c>
      <c r="B54" s="47"/>
      <c r="C54" s="130"/>
      <c r="D54" s="130">
        <f>SUM(D49:D53)</f>
        <v>0</v>
      </c>
      <c r="E54" s="194" t="str">
        <f t="shared" si="14"/>
        <v>g</v>
      </c>
      <c r="F54" s="133"/>
      <c r="G54" s="133"/>
      <c r="H54" s="133"/>
      <c r="I54" s="133"/>
      <c r="J54" s="130">
        <f>SUM(J49:J53)</f>
        <v>0</v>
      </c>
      <c r="K54" s="132" t="str">
        <f t="shared" si="16"/>
        <v>g</v>
      </c>
      <c r="L54" s="130">
        <f>SUM(L49:L53)</f>
        <v>0</v>
      </c>
      <c r="M54" s="132" t="str">
        <f t="shared" si="17"/>
        <v>g</v>
      </c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</row>
    <row r="55" ht="15.75" customHeight="1">
      <c r="A55" s="40"/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</row>
    <row r="56" ht="15.75" customHeight="1">
      <c r="A56" s="77" t="s">
        <v>85</v>
      </c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</row>
    <row r="57" ht="15.0" customHeight="1">
      <c r="A57" s="175" t="s">
        <v>86</v>
      </c>
      <c r="B57" s="176"/>
      <c r="C57" s="177"/>
      <c r="D57" s="178" t="s">
        <v>44</v>
      </c>
      <c r="E57" s="176"/>
      <c r="F57" s="179" t="s">
        <v>35</v>
      </c>
      <c r="G57" s="179"/>
      <c r="H57" s="180"/>
      <c r="I57" s="181" t="s">
        <v>47</v>
      </c>
      <c r="J57" s="178" t="s">
        <v>48</v>
      </c>
      <c r="K57" s="176"/>
      <c r="L57" s="178" t="s">
        <v>49</v>
      </c>
      <c r="M57" s="176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</row>
    <row r="58" ht="15.75" customHeight="1">
      <c r="A58" s="38"/>
      <c r="B58" s="97"/>
      <c r="C58" s="98"/>
      <c r="D58" s="99" t="s">
        <v>50</v>
      </c>
      <c r="E58" s="185" t="s">
        <v>72</v>
      </c>
      <c r="F58" s="101"/>
      <c r="G58" s="101"/>
      <c r="H58" s="101"/>
      <c r="I58" s="102"/>
      <c r="J58" s="99" t="s">
        <v>50</v>
      </c>
      <c r="K58" s="185" t="str">
        <f>E58</f>
        <v>g</v>
      </c>
      <c r="L58" s="99" t="s">
        <v>50</v>
      </c>
      <c r="M58" s="104" t="s">
        <v>72</v>
      </c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</row>
    <row r="59" ht="15.75" customHeight="1">
      <c r="A59" s="106" t="s">
        <v>148</v>
      </c>
      <c r="B59" s="107"/>
      <c r="C59" s="186">
        <f>iferror(1000*VLOOKUP(A59,'Voorraadfiche Grondstoffen'!$P$2:$S$100,4,False),"")</f>
        <v>0</v>
      </c>
      <c r="D59" s="112">
        <v>150.0</v>
      </c>
      <c r="E59" s="110" t="str">
        <f t="shared" ref="E59:E61" si="18">E$58</f>
        <v>g</v>
      </c>
      <c r="F59" s="111">
        <f>B7</f>
        <v>0.8</v>
      </c>
      <c r="G59" s="112"/>
      <c r="H59" s="112"/>
      <c r="I59" s="195"/>
      <c r="J59" s="188">
        <f>IF(ISBLANK(D59),"",D59/'XXX - Parelende Pippa'!Volume*100)</f>
        <v>60</v>
      </c>
      <c r="K59" s="110" t="str">
        <f t="shared" ref="K59:K62" si="19">K$38</f>
        <v>g</v>
      </c>
      <c r="L59" s="188">
        <f>IF(ISBLANK(D59),"",D59/'XXX - Parelende Pippa'!Volume*$B$6)</f>
        <v>75</v>
      </c>
      <c r="M59" s="115" t="str">
        <f t="shared" ref="M59:M62" si="20">M$38</f>
        <v>g</v>
      </c>
      <c r="N59" s="25"/>
      <c r="O59" s="25"/>
      <c r="P59" s="25"/>
      <c r="Q59" s="25"/>
      <c r="R59" s="25"/>
      <c r="S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</row>
    <row r="60" ht="15.75" customHeight="1">
      <c r="A60" s="106"/>
      <c r="B60" s="107"/>
      <c r="C60" s="186" t="str">
        <f>iferror(1000*VLOOKUP(A60,'Voorraadfiche Grondstoffen'!$P$2:$S$100,4,False),"")</f>
        <v/>
      </c>
      <c r="D60" s="112"/>
      <c r="E60" s="110" t="str">
        <f t="shared" si="18"/>
        <v>g</v>
      </c>
      <c r="F60" s="196"/>
      <c r="G60" s="120"/>
      <c r="H60" s="120"/>
      <c r="I60" s="189"/>
      <c r="J60" s="188" t="str">
        <f>IF(ISBLANK(D60),"",D60/'XXX - Parelende Pippa'!Volume*100)</f>
        <v/>
      </c>
      <c r="K60" s="118" t="str">
        <f t="shared" si="19"/>
        <v>g</v>
      </c>
      <c r="L60" s="188" t="str">
        <f>IF(ISBLANK(D60),"",D60/'XXX - Parelende Pippa'!Volume*$B$6)</f>
        <v/>
      </c>
      <c r="M60" s="121" t="str">
        <f t="shared" si="20"/>
        <v>g</v>
      </c>
      <c r="N60" s="25"/>
      <c r="O60" s="25"/>
      <c r="P60" s="25"/>
      <c r="Q60" s="25"/>
      <c r="R60" s="25"/>
      <c r="S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</row>
    <row r="61" ht="15.75" customHeight="1">
      <c r="A61" s="197"/>
      <c r="B61" s="107"/>
      <c r="C61" s="186" t="str">
        <f>iferror(1000*VLOOKUP(A61,'Voorraadfiche Grondstoffen'!$P$2:$S$100,4,False),"")</f>
        <v/>
      </c>
      <c r="D61" s="188"/>
      <c r="E61" s="110" t="str">
        <f t="shared" si="18"/>
        <v>g</v>
      </c>
      <c r="F61" s="196"/>
      <c r="G61" s="120"/>
      <c r="H61" s="190"/>
      <c r="I61" s="189"/>
      <c r="J61" s="188" t="str">
        <f>IF(ISBLANK(D61),"",D61/'XXX - Parelende Pippa'!Volume*100)</f>
        <v/>
      </c>
      <c r="K61" s="118" t="str">
        <f t="shared" si="19"/>
        <v>g</v>
      </c>
      <c r="L61" s="188" t="str">
        <f>IF(ISBLANK(D61),"",D61/'XXX - Parelende Pippa'!Volume*$B$6)</f>
        <v/>
      </c>
      <c r="M61" s="121" t="str">
        <f t="shared" si="20"/>
        <v>g</v>
      </c>
      <c r="N61" s="25"/>
      <c r="O61" s="25"/>
      <c r="P61" s="25"/>
      <c r="Q61" s="25"/>
      <c r="R61" s="25"/>
      <c r="S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</row>
    <row r="62" ht="15.75" customHeight="1">
      <c r="A62" s="129" t="s">
        <v>55</v>
      </c>
      <c r="B62" s="47"/>
      <c r="C62" s="130"/>
      <c r="D62" s="130">
        <f>SUM(D57:D61)</f>
        <v>150</v>
      </c>
      <c r="E62" s="194" t="str">
        <f>E$38</f>
        <v>g</v>
      </c>
      <c r="F62" s="133"/>
      <c r="G62" s="133"/>
      <c r="H62" s="133"/>
      <c r="I62" s="133"/>
      <c r="J62" s="130">
        <f>SUM(J57:J61)</f>
        <v>60</v>
      </c>
      <c r="K62" s="132" t="str">
        <f t="shared" si="19"/>
        <v>g</v>
      </c>
      <c r="L62" s="130">
        <f>SUM(L57:L61)</f>
        <v>75</v>
      </c>
      <c r="M62" s="132" t="str">
        <f t="shared" si="20"/>
        <v>g</v>
      </c>
      <c r="N62" s="25"/>
      <c r="O62" s="25"/>
      <c r="P62" s="25"/>
      <c r="Q62" s="25"/>
      <c r="R62" s="25"/>
      <c r="S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</row>
    <row r="63" ht="15.7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</row>
    <row r="64" ht="15.75" customHeight="1">
      <c r="A64" s="77" t="s">
        <v>88</v>
      </c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</row>
    <row r="65" ht="15.75" customHeight="1">
      <c r="A65" s="175" t="s">
        <v>57</v>
      </c>
      <c r="B65" s="176"/>
      <c r="C65" s="177"/>
      <c r="D65" s="178" t="s">
        <v>89</v>
      </c>
      <c r="E65" s="176"/>
      <c r="F65" s="181" t="s">
        <v>90</v>
      </c>
      <c r="G65" s="47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</row>
    <row r="66" ht="15.75" customHeight="1">
      <c r="A66" s="38"/>
      <c r="B66" s="97"/>
      <c r="C66" s="198"/>
      <c r="D66" s="199" t="s">
        <v>58</v>
      </c>
      <c r="E66" s="100" t="s">
        <v>91</v>
      </c>
      <c r="F66" s="102"/>
      <c r="G66" s="38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</row>
    <row r="67" ht="15.75" customHeight="1">
      <c r="A67" s="106" t="s">
        <v>92</v>
      </c>
      <c r="B67" s="107"/>
      <c r="C67" s="200"/>
      <c r="D67" s="112">
        <v>21.0</v>
      </c>
      <c r="E67" s="110" t="str">
        <f>E$82</f>
        <v/>
      </c>
      <c r="F67" s="201">
        <v>14.0</v>
      </c>
      <c r="G67" s="117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</row>
    <row r="68" ht="15.75" customHeight="1"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</row>
    <row r="69" ht="15.75" customHeight="1">
      <c r="A69" s="200"/>
      <c r="B69" s="200"/>
      <c r="C69" s="200"/>
      <c r="D69" s="112"/>
      <c r="E69" s="110"/>
      <c r="F69" s="153"/>
      <c r="G69" s="153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</row>
    <row r="70" ht="15.75" customHeight="1">
      <c r="A70" s="200"/>
      <c r="B70" s="200"/>
      <c r="C70" s="200"/>
      <c r="D70" s="112"/>
      <c r="E70" s="110"/>
      <c r="F70" s="153"/>
      <c r="G70" s="153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</row>
    <row r="71" ht="15.75" customHeight="1">
      <c r="A71" s="197"/>
      <c r="B71" s="107"/>
      <c r="C71" s="202"/>
      <c r="D71" s="188"/>
      <c r="E71" s="110" t="str">
        <f>E$82</f>
        <v/>
      </c>
      <c r="F71" s="203"/>
      <c r="G71" s="117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</row>
    <row r="72" ht="15.75" customHeight="1">
      <c r="A72" s="204"/>
      <c r="B72" s="204"/>
      <c r="C72" s="204"/>
      <c r="D72" s="204"/>
      <c r="E72" s="205"/>
      <c r="F72" s="206"/>
      <c r="G72" s="206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</row>
    <row r="73" ht="15.75" customHeight="1">
      <c r="A73" s="207" t="s">
        <v>93</v>
      </c>
      <c r="B73" s="208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25"/>
      <c r="O73" s="25"/>
      <c r="P73" s="25"/>
      <c r="Q73" s="25"/>
      <c r="R73" s="25"/>
      <c r="S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</row>
    <row r="74" ht="15.75" customHeight="1">
      <c r="A74" s="209" t="s">
        <v>149</v>
      </c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</row>
    <row r="75" ht="15.75" customHeight="1">
      <c r="A75" s="209" t="s">
        <v>150</v>
      </c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</row>
    <row r="76" ht="15.75" customHeight="1">
      <c r="A76" s="209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</row>
    <row r="77" ht="15.75" customHeight="1">
      <c r="A77" s="210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</row>
    <row r="78" ht="15.7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78"/>
      <c r="Q78" s="78"/>
      <c r="R78" s="78"/>
      <c r="S78" s="78"/>
      <c r="T78" s="78"/>
      <c r="U78" s="78"/>
      <c r="V78" s="78"/>
      <c r="W78" s="78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</row>
    <row r="79" ht="15.75" customHeight="1">
      <c r="P79" s="78"/>
      <c r="Q79" s="78"/>
      <c r="R79" s="78"/>
      <c r="S79" s="78"/>
      <c r="T79" s="78"/>
      <c r="U79" s="78"/>
      <c r="V79" s="78"/>
      <c r="W79" s="78"/>
      <c r="AI79" s="25"/>
      <c r="AJ79" s="25"/>
    </row>
    <row r="80" ht="15.75" customHeight="1">
      <c r="P80" s="78"/>
      <c r="Q80" s="78"/>
      <c r="R80" s="78"/>
      <c r="S80" s="78"/>
      <c r="T80" s="78"/>
      <c r="U80" s="78"/>
      <c r="V80" s="78"/>
      <c r="W80" s="78"/>
      <c r="AI80" s="25"/>
      <c r="AJ80" s="25"/>
    </row>
    <row r="81" ht="15.75" customHeight="1">
      <c r="P81" s="78"/>
      <c r="Q81" s="78"/>
      <c r="R81" s="78"/>
      <c r="S81" s="78"/>
      <c r="T81" s="78"/>
      <c r="U81" s="78"/>
      <c r="V81" s="78"/>
      <c r="W81" s="78"/>
      <c r="AI81" s="25"/>
      <c r="AJ81" s="25"/>
    </row>
    <row r="82" ht="15.75" customHeight="1">
      <c r="P82" s="78"/>
      <c r="Q82" s="78"/>
      <c r="R82" s="78"/>
      <c r="S82" s="78"/>
      <c r="T82" s="78"/>
      <c r="U82" s="78"/>
      <c r="V82" s="78"/>
      <c r="W82" s="78"/>
      <c r="AI82" s="25"/>
      <c r="AJ82" s="25"/>
    </row>
    <row r="83" ht="15.75" customHeight="1">
      <c r="P83" s="78"/>
      <c r="Q83" s="78"/>
      <c r="R83" s="78"/>
      <c r="S83" s="78"/>
      <c r="T83" s="78"/>
      <c r="U83" s="78"/>
      <c r="V83" s="78"/>
      <c r="W83" s="78"/>
      <c r="AI83" s="25"/>
      <c r="AJ83" s="25"/>
    </row>
    <row r="84" ht="15.75" customHeight="1">
      <c r="P84" s="78"/>
      <c r="Q84" s="78"/>
      <c r="R84" s="78"/>
      <c r="S84" s="78"/>
      <c r="T84" s="78"/>
      <c r="U84" s="78"/>
      <c r="V84" s="78"/>
      <c r="W84" s="78"/>
      <c r="AI84" s="25"/>
      <c r="AJ84" s="25"/>
    </row>
    <row r="85" ht="15.75" customHeight="1">
      <c r="P85" s="78"/>
      <c r="Q85" s="78"/>
      <c r="R85" s="78"/>
      <c r="S85" s="78"/>
      <c r="T85" s="78"/>
      <c r="U85" s="78"/>
      <c r="V85" s="78"/>
      <c r="W85" s="78"/>
      <c r="AI85" s="25"/>
      <c r="AJ85" s="25"/>
    </row>
    <row r="86" ht="15.75" customHeight="1">
      <c r="P86" s="78"/>
      <c r="Q86" s="78"/>
      <c r="R86" s="78"/>
      <c r="S86" s="78"/>
      <c r="T86" s="78"/>
      <c r="U86" s="78"/>
      <c r="V86" s="78"/>
      <c r="W86" s="78"/>
      <c r="AI86" s="25"/>
      <c r="AJ86" s="25"/>
    </row>
    <row r="87" ht="15.75" customHeight="1">
      <c r="P87" s="78"/>
      <c r="Q87" s="78"/>
      <c r="R87" s="78"/>
      <c r="S87" s="78"/>
      <c r="T87" s="78"/>
      <c r="U87" s="78"/>
      <c r="V87" s="78"/>
      <c r="W87" s="78"/>
      <c r="AI87" s="25"/>
      <c r="AJ87" s="25"/>
    </row>
    <row r="88" ht="15.75" customHeight="1">
      <c r="P88" s="78"/>
      <c r="Q88" s="78"/>
      <c r="R88" s="78"/>
      <c r="S88" s="78"/>
      <c r="T88" s="78"/>
      <c r="U88" s="78"/>
      <c r="V88" s="78"/>
      <c r="W88" s="78"/>
      <c r="AI88" s="25"/>
      <c r="AJ88" s="25"/>
    </row>
    <row r="89" ht="15.75" customHeight="1">
      <c r="AI89" s="25"/>
      <c r="AJ89" s="25"/>
    </row>
    <row r="90" ht="15.75" customHeight="1">
      <c r="AI90" s="25"/>
      <c r="AJ90" s="25"/>
    </row>
    <row r="91" ht="15.75" customHeight="1">
      <c r="AI91" s="25"/>
      <c r="AJ91" s="25"/>
    </row>
    <row r="92" ht="15.75" customHeight="1">
      <c r="AI92" s="25"/>
      <c r="AJ92" s="25"/>
    </row>
    <row r="93" ht="15.75" customHeight="1">
      <c r="AI93" s="25"/>
      <c r="AJ93" s="25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120">
    <mergeCell ref="H17:H18"/>
    <mergeCell ref="I17:I18"/>
    <mergeCell ref="E10:F10"/>
    <mergeCell ref="G10:H10"/>
    <mergeCell ref="A14:M14"/>
    <mergeCell ref="A15:B15"/>
    <mergeCell ref="A16:B16"/>
    <mergeCell ref="A17:B18"/>
    <mergeCell ref="D17:E17"/>
    <mergeCell ref="A19:B19"/>
    <mergeCell ref="A20:B20"/>
    <mergeCell ref="A21:B21"/>
    <mergeCell ref="A22:B22"/>
    <mergeCell ref="A23:B23"/>
    <mergeCell ref="A24:B24"/>
    <mergeCell ref="A25:B25"/>
    <mergeCell ref="A29:B29"/>
    <mergeCell ref="A30:B30"/>
    <mergeCell ref="A31:B31"/>
    <mergeCell ref="A32:B32"/>
    <mergeCell ref="A33:B33"/>
    <mergeCell ref="A34:B34"/>
    <mergeCell ref="A37:B38"/>
    <mergeCell ref="A39:B39"/>
    <mergeCell ref="A40:B40"/>
    <mergeCell ref="A41:B41"/>
    <mergeCell ref="A42:B42"/>
    <mergeCell ref="A43:B43"/>
    <mergeCell ref="A44:B44"/>
    <mergeCell ref="A47:B48"/>
    <mergeCell ref="A59:B59"/>
    <mergeCell ref="A60:B60"/>
    <mergeCell ref="A61:B61"/>
    <mergeCell ref="A62:B62"/>
    <mergeCell ref="A65:B66"/>
    <mergeCell ref="A67:B67"/>
    <mergeCell ref="A71:B71"/>
    <mergeCell ref="A49:B49"/>
    <mergeCell ref="A50:B50"/>
    <mergeCell ref="A51:B51"/>
    <mergeCell ref="A52:B52"/>
    <mergeCell ref="A53:B53"/>
    <mergeCell ref="A54:B54"/>
    <mergeCell ref="A57:B58"/>
    <mergeCell ref="A26:B26"/>
    <mergeCell ref="A28:M28"/>
    <mergeCell ref="G29:H29"/>
    <mergeCell ref="L29:M29"/>
    <mergeCell ref="P29:W29"/>
    <mergeCell ref="L30:M30"/>
    <mergeCell ref="P30:W30"/>
    <mergeCell ref="G30:H30"/>
    <mergeCell ref="G31:H31"/>
    <mergeCell ref="L31:M31"/>
    <mergeCell ref="G32:H32"/>
    <mergeCell ref="L32:M32"/>
    <mergeCell ref="G33:H33"/>
    <mergeCell ref="L33:M33"/>
    <mergeCell ref="A36:M36"/>
    <mergeCell ref="D37:E37"/>
    <mergeCell ref="F37:F38"/>
    <mergeCell ref="G37:G38"/>
    <mergeCell ref="H37:H38"/>
    <mergeCell ref="I37:I38"/>
    <mergeCell ref="J37:K37"/>
    <mergeCell ref="L37:M37"/>
    <mergeCell ref="A46:M46"/>
    <mergeCell ref="D47:E47"/>
    <mergeCell ref="F47:F48"/>
    <mergeCell ref="G47:G48"/>
    <mergeCell ref="H47:H48"/>
    <mergeCell ref="I47:I48"/>
    <mergeCell ref="A56:M56"/>
    <mergeCell ref="D57:E57"/>
    <mergeCell ref="F57:F58"/>
    <mergeCell ref="H57:H58"/>
    <mergeCell ref="I57:I58"/>
    <mergeCell ref="J57:K57"/>
    <mergeCell ref="L57:M57"/>
    <mergeCell ref="A74:M74"/>
    <mergeCell ref="A75:M75"/>
    <mergeCell ref="A76:M76"/>
    <mergeCell ref="A77:M77"/>
    <mergeCell ref="G57:G58"/>
    <mergeCell ref="A64:G64"/>
    <mergeCell ref="D65:E65"/>
    <mergeCell ref="F65:G66"/>
    <mergeCell ref="F67:G67"/>
    <mergeCell ref="F71:G71"/>
    <mergeCell ref="B73:M73"/>
    <mergeCell ref="A1:M1"/>
    <mergeCell ref="B2:D2"/>
    <mergeCell ref="G2:M2"/>
    <mergeCell ref="P2:Y2"/>
    <mergeCell ref="P3:X3"/>
    <mergeCell ref="A4:B4"/>
    <mergeCell ref="J4:M4"/>
    <mergeCell ref="E4:H4"/>
    <mergeCell ref="E5:F5"/>
    <mergeCell ref="G5:H5"/>
    <mergeCell ref="K5:M5"/>
    <mergeCell ref="E6:F6"/>
    <mergeCell ref="G6:H6"/>
    <mergeCell ref="K6:M6"/>
    <mergeCell ref="K8:M8"/>
    <mergeCell ref="K9:M9"/>
    <mergeCell ref="E7:F7"/>
    <mergeCell ref="G7:H7"/>
    <mergeCell ref="K7:M7"/>
    <mergeCell ref="E8:F8"/>
    <mergeCell ref="G8:H8"/>
    <mergeCell ref="E9:F9"/>
    <mergeCell ref="G9:H9"/>
    <mergeCell ref="F17:F18"/>
    <mergeCell ref="G17:G18"/>
    <mergeCell ref="J17:K17"/>
    <mergeCell ref="L17:M17"/>
    <mergeCell ref="P17:W17"/>
    <mergeCell ref="J47:K47"/>
    <mergeCell ref="L47:M47"/>
  </mergeCells>
  <conditionalFormatting sqref="G30:G33">
    <cfRule type="cellIs" dxfId="0" priority="1" operator="equal">
      <formula>"Mash Thickness"</formula>
    </cfRule>
  </conditionalFormatting>
  <conditionalFormatting sqref="C30:D33 F30 I30 G31:G33 A39:D43 A49:D53">
    <cfRule type="containsBlanks" dxfId="1" priority="2">
      <formula>LEN(TRIM(C30))=0</formula>
    </cfRule>
  </conditionalFormatting>
  <conditionalFormatting sqref="A30:G33 I30:M33">
    <cfRule type="expression" dxfId="2" priority="3">
      <formula>MOD(ROW(),2)=0</formula>
    </cfRule>
  </conditionalFormatting>
  <conditionalFormatting sqref="C19:C25 C39:C43 C49:C53 C59:C61">
    <cfRule type="containsBlanks" dxfId="3" priority="4">
      <formula>LEN(TRIM(C19))=0</formula>
    </cfRule>
  </conditionalFormatting>
  <conditionalFormatting sqref="C19:C25 C39:C43 C49:C53 C59:C61">
    <cfRule type="cellIs" dxfId="4" priority="5" operator="greaterThanOrEqual">
      <formula>D19:D61</formula>
    </cfRule>
  </conditionalFormatting>
  <conditionalFormatting sqref="C19:C25 C39:C43 C49:C53 C59:C61">
    <cfRule type="cellIs" dxfId="5" priority="6" operator="lessThan">
      <formula>D19:D61</formula>
    </cfRule>
  </conditionalFormatting>
  <conditionalFormatting sqref="A19:D25 F19:H25">
    <cfRule type="containsBlanks" dxfId="1" priority="7">
      <formula>LEN(TRIM(A19))=0</formula>
    </cfRule>
  </conditionalFormatting>
  <conditionalFormatting sqref="A19:M26">
    <cfRule type="expression" dxfId="2" priority="8">
      <formula>MOD(ROW(),2)=0</formula>
    </cfRule>
  </conditionalFormatting>
  <conditionalFormatting sqref="J19:K26 L19:L25">
    <cfRule type="expression" dxfId="6" priority="9">
      <formula>AND(OR($G$3="",$E$18&lt;&gt;$M$18),MOD(ROW(),2)=1)</formula>
    </cfRule>
  </conditionalFormatting>
  <conditionalFormatting sqref="J19:K26 L19:L25">
    <cfRule type="expression" dxfId="7" priority="10">
      <formula>AND(OR($G$3="",$E$18&lt;&gt;$M$18),MOD(ROW(),2)=0)</formula>
    </cfRule>
  </conditionalFormatting>
  <conditionalFormatting sqref="J19:K26 L19:L25">
    <cfRule type="expression" dxfId="0" priority="11">
      <formula>AND($G$3&lt;&gt;"",MOD(ROW(),2)=0)</formula>
    </cfRule>
  </conditionalFormatting>
  <conditionalFormatting sqref="J19:K26 L19:L25">
    <cfRule type="expression" dxfId="8" priority="12">
      <formula>AND($G$3&lt;&gt;"",MOD(ROW(),2)=1)</formula>
    </cfRule>
  </conditionalFormatting>
  <conditionalFormatting sqref="L19:M26">
    <cfRule type="expression" dxfId="6" priority="13">
      <formula>AND($E$18=$M$18,MOD(ROW(),2)=1)</formula>
    </cfRule>
  </conditionalFormatting>
  <conditionalFormatting sqref="L19:M26">
    <cfRule type="expression" dxfId="7" priority="14">
      <formula>AND($E$18=$M$18,MOD(ROW(),2)=0)</formula>
    </cfRule>
  </conditionalFormatting>
  <conditionalFormatting sqref="L19:M26">
    <cfRule type="expression" dxfId="0" priority="15">
      <formula>AND($E$18&lt;&gt;$M$18,MOD(ROW(),2)=0)</formula>
    </cfRule>
  </conditionalFormatting>
  <conditionalFormatting sqref="L19:M26">
    <cfRule type="expression" dxfId="8" priority="16">
      <formula>AND($E$18&lt;&gt;$M$18,MOD(ROW(),2)=1)</formula>
    </cfRule>
  </conditionalFormatting>
  <conditionalFormatting sqref="C19:D26">
    <cfRule type="expression" dxfId="6" priority="17">
      <formula>AND(OR($G$3&lt;&gt;"",$E$18&lt;&gt;$M$18),MOD(ROW(),2)=1)</formula>
    </cfRule>
  </conditionalFormatting>
  <conditionalFormatting sqref="C19:D26">
    <cfRule type="expression" dxfId="7" priority="18">
      <formula>AND(OR($G$3&lt;&gt;"",$E$18&lt;&gt;$M$18),MOD(ROW(),2)=0)</formula>
    </cfRule>
  </conditionalFormatting>
  <conditionalFormatting sqref="D19:E26">
    <cfRule type="expression" dxfId="0" priority="19">
      <formula>AND(F3="",MOD(ROW(),2)=0)</formula>
    </cfRule>
  </conditionalFormatting>
  <conditionalFormatting sqref="D19:E26">
    <cfRule type="expression" dxfId="8" priority="20">
      <formula>AND(F1048592="",MOD(ROW(),2)=1)</formula>
    </cfRule>
  </conditionalFormatting>
  <conditionalFormatting sqref="E19:E26">
    <cfRule type="expression" dxfId="6" priority="21">
      <formula>AND(OR($G$3&lt;&gt;"",$E$18&lt;&gt;$M$18),MOD(ROW(),2)=1)</formula>
    </cfRule>
  </conditionalFormatting>
  <conditionalFormatting sqref="E19:E26">
    <cfRule type="expression" dxfId="9" priority="22">
      <formula>AND(OR($G$3&lt;&gt;"",$E$18&lt;&gt;$M$18),MOD(ROW(),2)=0)</formula>
    </cfRule>
  </conditionalFormatting>
  <conditionalFormatting sqref="E19:E26">
    <cfRule type="expression" dxfId="0" priority="23">
      <formula>AND(I3="",MOD(ROW(),2)=0)</formula>
    </cfRule>
  </conditionalFormatting>
  <conditionalFormatting sqref="E19:E26">
    <cfRule type="expression" dxfId="8" priority="24">
      <formula>AND(I3="",MOD(ROW(),2)=1)</formula>
    </cfRule>
  </conditionalFormatting>
  <conditionalFormatting sqref="A67:G72">
    <cfRule type="containsBlanks" dxfId="1" priority="25">
      <formula>LEN(TRIM(A67))=0</formula>
    </cfRule>
  </conditionalFormatting>
  <conditionalFormatting sqref="A39:M44 A49:M54 G59:M62 A62:F62">
    <cfRule type="expression" dxfId="2" priority="26">
      <formula>MOD(ROW(),2)=0</formula>
    </cfRule>
  </conditionalFormatting>
  <conditionalFormatting sqref="C39:E44 C49:E54 C62:E62">
    <cfRule type="expression" dxfId="6" priority="27">
      <formula>AND(OR($G$3&lt;&gt;"",$E$38&lt;&gt;$M$38),MOD(ROW(),2)=1)</formula>
    </cfRule>
  </conditionalFormatting>
  <conditionalFormatting sqref="C39:E44 C49:E54 C59:E62">
    <cfRule type="expression" dxfId="7" priority="28">
      <formula>AND(OR($G$3&lt;&gt;"",$E$38&lt;&gt;$M$38),MOD(ROW(),2)=0)</formula>
    </cfRule>
  </conditionalFormatting>
  <conditionalFormatting sqref="D39:E44 D49:E54 D62:E62 D59:E61">
    <cfRule type="expression" dxfId="10" priority="29">
      <formula>AND($G$3="",MOD(ROW(),2)=1)</formula>
    </cfRule>
  </conditionalFormatting>
  <conditionalFormatting sqref="J39:K44 L39:L43 J49:K54 L49:L53 J59:K62 L59:L61">
    <cfRule type="expression" dxfId="6" priority="30">
      <formula>AND(OR($G$3="",$E$38&lt;&gt;$M$38),MOD(ROW(),2)=1)</formula>
    </cfRule>
  </conditionalFormatting>
  <conditionalFormatting sqref="J39:K44 L39:L43 J49:K54 L49:L53 J59:K62 L59:L61">
    <cfRule type="expression" dxfId="7" priority="31">
      <formula>AND(OR($G$3="",$E$38&lt;&gt;$M$38),MOD(ROW(),2)=0)</formula>
    </cfRule>
  </conditionalFormatting>
  <conditionalFormatting sqref="J39:K44 L39:L43 J49:K54 L49:L53 J59:K62 L59:L61">
    <cfRule type="expression" dxfId="0" priority="32">
      <formula>AND($G$3&lt;&gt;"",MOD(ROW(),2)=0)</formula>
    </cfRule>
  </conditionalFormatting>
  <conditionalFormatting sqref="J39:K44 L39:L43 J49:K54 L49:L53 J59:K62 L59:L61">
    <cfRule type="expression" dxfId="8" priority="33">
      <formula>AND($G$3&lt;&gt;"",MOD(ROW(),2)=1)</formula>
    </cfRule>
  </conditionalFormatting>
  <conditionalFormatting sqref="L39:M44 L49:M54 L59:M62">
    <cfRule type="expression" dxfId="11" priority="34">
      <formula>AND($E$38=$M$38,MOD(ROW(),2)=1)</formula>
    </cfRule>
  </conditionalFormatting>
  <conditionalFormatting sqref="L39:M44 L49:M54 L59:M62">
    <cfRule type="expression" dxfId="7" priority="35">
      <formula>AND($E$38=$M$38,MOD(ROW(),2)=0)</formula>
    </cfRule>
  </conditionalFormatting>
  <conditionalFormatting sqref="L39:M44 L49:M54 L59:M62">
    <cfRule type="expression" dxfId="0" priority="36">
      <formula>AND($E$38&lt;&gt;$M$38,MOD(ROW(),2)=0)</formula>
    </cfRule>
  </conditionalFormatting>
  <conditionalFormatting sqref="L39:M44 L49:M54 L59:M62">
    <cfRule type="expression" dxfId="8" priority="37">
      <formula>AND($E$38&lt;&gt;$M$38,MOD(ROW(),2)=1)</formula>
    </cfRule>
  </conditionalFormatting>
  <conditionalFormatting sqref="A59:F61 A67:G72">
    <cfRule type="expression" dxfId="2" priority="38">
      <formula>MOD(ROW(),2)=1</formula>
    </cfRule>
  </conditionalFormatting>
  <dataValidations>
    <dataValidation type="list" allowBlank="1" sqref="F39:F43">
      <formula1>"Pellet,Bloem"</formula1>
    </dataValidation>
    <dataValidation type="list" allowBlank="1" sqref="A39:A43">
      <formula1>'Voorraadfiche Grondstoffen'!$F$2:$F$100</formula1>
    </dataValidation>
    <dataValidation type="list" allowBlank="1" sqref="A30:A33">
      <formula1>Data!$A$2:$A$12</formula1>
    </dataValidation>
    <dataValidation type="list" allowBlank="1" sqref="F49:F53">
      <formula1>"Maisch,Kook,Whirlpool,Primaire fermentatie,Secundaire fermentatie"</formula1>
    </dataValidation>
    <dataValidation type="list" allowBlank="1" sqref="A59:A61">
      <formula1>'Voorraadfiche Grondstoffen'!$P$2:$P$100</formula1>
    </dataValidation>
    <dataValidation type="list" allowBlank="1" sqref="A19:A25">
      <formula1>'Voorraadfiche Grondstoffen'!$A$2:$A$100</formula1>
    </dataValidation>
    <dataValidation type="list" allowBlank="1" sqref="A49:A53">
      <formula1>'Voorraadfiche Grondstoffen'!$K$2:$K$100</formula1>
    </dataValidation>
  </dataValidations>
  <printOptions/>
  <pageMargins bottom="0.31" footer="0.0" header="0.0" left="0.25" right="0.25" top="0.31"/>
  <pageSetup fitToHeight="0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29" t="str">
        <f>IFERROR(__xludf.DUMMYFUNCTION("IMPORTRANGE(""https://docs.google.com/spreadsheets/d/1driqoo4FMOWFYbMYh5Hc7HoHXnF6adI3KL62OcDV3fY/edit#gid=1872107475"",""Overzicht!A7:X100"")"),"Granen")</f>
        <v>Granen</v>
      </c>
      <c r="B1" s="229" t="str">
        <f>IFERROR(__xludf.DUMMYFUNCTION("""COMPUTED_VALUE"""),"aangekocht [kg]")</f>
        <v>aangekocht [kg]</v>
      </c>
      <c r="C1" s="229" t="str">
        <f>IFERROR(__xludf.DUMMYFUNCTION("""COMPUTED_VALUE"""),"gebruikt [kg]")</f>
        <v>gebruikt [kg]</v>
      </c>
      <c r="D1" s="229" t="str">
        <f>IFERROR(__xludf.DUMMYFUNCTION("""COMPUTED_VALUE"""),"voorraad [kg]")</f>
        <v>voorraad [kg]</v>
      </c>
      <c r="E1" s="229"/>
      <c r="F1" s="229" t="str">
        <f>IFERROR(__xludf.DUMMYFUNCTION("""COMPUTED_VALUE"""),"Hop")</f>
        <v>Hop</v>
      </c>
      <c r="G1" s="229" t="str">
        <f>IFERROR(__xludf.DUMMYFUNCTION("""COMPUTED_VALUE"""),"aangekocht [kg]")</f>
        <v>aangekocht [kg]</v>
      </c>
      <c r="H1" s="229" t="str">
        <f>IFERROR(__xludf.DUMMYFUNCTION("""COMPUTED_VALUE"""),"gebruikt [kg]")</f>
        <v>gebruikt [kg]</v>
      </c>
      <c r="I1" s="229" t="str">
        <f>IFERROR(__xludf.DUMMYFUNCTION("""COMPUTED_VALUE"""),"voorraad [kg]")</f>
        <v>voorraad [kg]</v>
      </c>
      <c r="J1" s="229"/>
      <c r="K1" s="229" t="str">
        <f>IFERROR(__xludf.DUMMYFUNCTION("""COMPUTED_VALUE"""),"Toevoegingen")</f>
        <v>Toevoegingen</v>
      </c>
      <c r="L1" s="229" t="str">
        <f>IFERROR(__xludf.DUMMYFUNCTION("""COMPUTED_VALUE"""),"aangekocht [kg]")</f>
        <v>aangekocht [kg]</v>
      </c>
      <c r="M1" s="229" t="str">
        <f>IFERROR(__xludf.DUMMYFUNCTION("""COMPUTED_VALUE"""),"gebruikt [kg]")</f>
        <v>gebruikt [kg]</v>
      </c>
      <c r="N1" s="229" t="str">
        <f>IFERROR(__xludf.DUMMYFUNCTION("""COMPUTED_VALUE"""),"voorraad")</f>
        <v>voorraad</v>
      </c>
      <c r="O1" s="229"/>
      <c r="P1" s="229" t="str">
        <f>IFERROR(__xludf.DUMMYFUNCTION("""COMPUTED_VALUE"""),"Gist")</f>
        <v>Gist</v>
      </c>
      <c r="Q1" s="229" t="str">
        <f>IFERROR(__xludf.DUMMYFUNCTION("""COMPUTED_VALUE"""),"aangekocht [kg]")</f>
        <v>aangekocht [kg]</v>
      </c>
      <c r="R1" s="229" t="str">
        <f>IFERROR(__xludf.DUMMYFUNCTION("""COMPUTED_VALUE"""),"gebruikt [kg]")</f>
        <v>gebruikt [kg]</v>
      </c>
      <c r="S1" s="229" t="str">
        <f>IFERROR(__xludf.DUMMYFUNCTION("""COMPUTED_VALUE"""),"voorraad")</f>
        <v>voorraad</v>
      </c>
      <c r="T1" s="229"/>
      <c r="U1" s="229" t="str">
        <f>IFERROR(__xludf.DUMMYFUNCTION("""COMPUTED_VALUE"""),"Verpakkingen")</f>
        <v>Verpakkingen</v>
      </c>
      <c r="V1" s="229" t="str">
        <f>IFERROR(__xludf.DUMMYFUNCTION("""COMPUTED_VALUE"""),"aangekocht ")</f>
        <v>aangekocht </v>
      </c>
      <c r="W1" s="229" t="str">
        <f>IFERROR(__xludf.DUMMYFUNCTION("""COMPUTED_VALUE"""),"gebruikt ")</f>
        <v>gebruikt </v>
      </c>
      <c r="X1" s="229" t="str">
        <f>IFERROR(__xludf.DUMMYFUNCTION("""COMPUTED_VALUE"""),"voorraad")</f>
        <v>voorraad</v>
      </c>
      <c r="Y1" s="229"/>
      <c r="Z1" s="229"/>
    </row>
    <row r="2">
      <c r="A2" t="str">
        <f>IFERROR(__xludf.DUMMYFUNCTION("""COMPUTED_VALUE"""),"Pilsmout")</f>
        <v>Pilsmout</v>
      </c>
      <c r="B2">
        <f>IFERROR(__xludf.DUMMYFUNCTION("""COMPUTED_VALUE"""),1550.0)</f>
        <v>1550</v>
      </c>
      <c r="C2">
        <f>IFERROR(__xludf.DUMMYFUNCTION("""COMPUTED_VALUE"""),1500.0)</f>
        <v>1500</v>
      </c>
      <c r="D2">
        <f>IFERROR(__xludf.DUMMYFUNCTION("""COMPUTED_VALUE"""),50.0)</f>
        <v>50</v>
      </c>
      <c r="F2" t="str">
        <f>IFERROR(__xludf.DUMMYFUNCTION("""COMPUTED_VALUE"""),"Mandarina Bavaria")</f>
        <v>Mandarina Bavaria</v>
      </c>
      <c r="G2">
        <f>IFERROR(__xludf.DUMMYFUNCTION("""COMPUTED_VALUE"""),3.5999999999999996)</f>
        <v>3.6</v>
      </c>
      <c r="H2">
        <f>IFERROR(__xludf.DUMMYFUNCTION("""COMPUTED_VALUE"""),2.4000000000000004)</f>
        <v>2.4</v>
      </c>
      <c r="I2">
        <f>IFERROR(__xludf.DUMMYFUNCTION("""COMPUTED_VALUE"""),1.1999999999999993)</f>
        <v>1.2</v>
      </c>
      <c r="K2" t="str">
        <f>IFERROR(__xludf.DUMMYFUNCTION("""COMPUTED_VALUE"""),"Bruine suiker")</f>
        <v>Bruine suiker</v>
      </c>
      <c r="L2">
        <f>IFERROR(__xludf.DUMMYFUNCTION("""COMPUTED_VALUE"""),20.0)</f>
        <v>20</v>
      </c>
      <c r="M2">
        <f>IFERROR(__xludf.DUMMYFUNCTION("""COMPUTED_VALUE"""),20.0)</f>
        <v>20</v>
      </c>
      <c r="N2">
        <f>IFERROR(__xludf.DUMMYFUNCTION("""COMPUTED_VALUE"""),0.0)</f>
        <v>0</v>
      </c>
      <c r="P2" t="str">
        <f>IFERROR(__xludf.DUMMYFUNCTION("""COMPUTED_VALUE"""),"S-04")</f>
        <v>S-04</v>
      </c>
      <c r="Q2">
        <f>IFERROR(__xludf.DUMMYFUNCTION("""COMPUTED_VALUE"""),1.2)</f>
        <v>1.2</v>
      </c>
      <c r="R2">
        <f>IFERROR(__xludf.DUMMYFUNCTION("""COMPUTED_VALUE"""),0.575)</f>
        <v>0.575</v>
      </c>
      <c r="S2">
        <f>IFERROR(__xludf.DUMMYFUNCTION("""COMPUTED_VALUE"""),0.625)</f>
        <v>0.625</v>
      </c>
      <c r="U2" t="str">
        <f>IFERROR(__xludf.DUMMYFUNCTION("""COMPUTED_VALUE"""),"Fles vichy 33cl")</f>
        <v>Fles vichy 33cl</v>
      </c>
      <c r="V2">
        <f>IFERROR(__xludf.DUMMYFUNCTION("""COMPUTED_VALUE"""),11648.0)</f>
        <v>11648</v>
      </c>
      <c r="W2">
        <f>IFERROR(__xludf.DUMMYFUNCTION("""COMPUTED_VALUE"""),10062.0)</f>
        <v>10062</v>
      </c>
      <c r="X2">
        <f>IFERROR(__xludf.DUMMYFUNCTION("""COMPUTED_VALUE"""),1586.0)</f>
        <v>1586</v>
      </c>
    </row>
    <row r="3">
      <c r="A3" t="str">
        <f>IFERROR(__xludf.DUMMYFUNCTION("""COMPUTED_VALUE"""),"Tarwemout")</f>
        <v>Tarwemout</v>
      </c>
      <c r="B3">
        <f>IFERROR(__xludf.DUMMYFUNCTION("""COMPUTED_VALUE"""),450.0)</f>
        <v>450</v>
      </c>
      <c r="C3">
        <f>IFERROR(__xludf.DUMMYFUNCTION("""COMPUTED_VALUE"""),370.0)</f>
        <v>370</v>
      </c>
      <c r="D3">
        <f>IFERROR(__xludf.DUMMYFUNCTION("""COMPUTED_VALUE"""),80.0)</f>
        <v>80</v>
      </c>
      <c r="F3" t="str">
        <f>IFERROR(__xludf.DUMMYFUNCTION("""COMPUTED_VALUE"""),"Idaho7")</f>
        <v>Idaho7</v>
      </c>
      <c r="G3">
        <f>IFERROR(__xludf.DUMMYFUNCTION("""COMPUTED_VALUE"""),1.1)</f>
        <v>1.1</v>
      </c>
      <c r="H3">
        <f>IFERROR(__xludf.DUMMYFUNCTION("""COMPUTED_VALUE"""),1.1)</f>
        <v>1.1</v>
      </c>
      <c r="I3">
        <f>IFERROR(__xludf.DUMMYFUNCTION("""COMPUTED_VALUE"""),0.0)</f>
        <v>0</v>
      </c>
      <c r="K3" t="str">
        <f>IFERROR(__xludf.DUMMYFUNCTION("""COMPUTED_VALUE"""),"Witte suiker")</f>
        <v>Witte suiker</v>
      </c>
      <c r="L3">
        <f>IFERROR(__xludf.DUMMYFUNCTION("""COMPUTED_VALUE"""),51.0)</f>
        <v>51</v>
      </c>
      <c r="M3">
        <f>IFERROR(__xludf.DUMMYFUNCTION("""COMPUTED_VALUE"""),43.0)</f>
        <v>43</v>
      </c>
      <c r="N3">
        <f>IFERROR(__xludf.DUMMYFUNCTION("""COMPUTED_VALUE"""),8.0)</f>
        <v>8</v>
      </c>
      <c r="P3" t="str">
        <f>IFERROR(__xludf.DUMMYFUNCTION("""COMPUTED_VALUE"""),"Voss Kveik")</f>
        <v>Voss Kveik</v>
      </c>
      <c r="Q3">
        <f>IFERROR(__xludf.DUMMYFUNCTION("""COMPUTED_VALUE"""),0.5)</f>
        <v>0.5</v>
      </c>
      <c r="R3">
        <f>IFERROR(__xludf.DUMMYFUNCTION("""COMPUTED_VALUE"""),0.5)</f>
        <v>0.5</v>
      </c>
      <c r="S3">
        <f>IFERROR(__xludf.DUMMYFUNCTION("""COMPUTED_VALUE"""),0.0)</f>
        <v>0</v>
      </c>
      <c r="U3" t="str">
        <f>IFERROR(__xludf.DUMMYFUNCTION("""COMPUTED_VALUE"""),"keykeg 20l")</f>
        <v>keykeg 20l</v>
      </c>
      <c r="V3">
        <f>IFERROR(__xludf.DUMMYFUNCTION("""COMPUTED_VALUE"""),166.0)</f>
        <v>166</v>
      </c>
      <c r="W3">
        <f>IFERROR(__xludf.DUMMYFUNCTION("""COMPUTED_VALUE"""),162.0)</f>
        <v>162</v>
      </c>
      <c r="X3">
        <f>IFERROR(__xludf.DUMMYFUNCTION("""COMPUTED_VALUE"""),4.0)</f>
        <v>4</v>
      </c>
    </row>
    <row r="4">
      <c r="A4" t="str">
        <f>IFERROR(__xludf.DUMMYFUNCTION("""COMPUTED_VALUE"""),"Munich")</f>
        <v>Munich</v>
      </c>
      <c r="B4">
        <f>IFERROR(__xludf.DUMMYFUNCTION("""COMPUTED_VALUE"""),75.0)</f>
        <v>75</v>
      </c>
      <c r="C4">
        <f>IFERROR(__xludf.DUMMYFUNCTION("""COMPUTED_VALUE"""),75.0)</f>
        <v>75</v>
      </c>
      <c r="D4">
        <f>IFERROR(__xludf.DUMMYFUNCTION("""COMPUTED_VALUE"""),0.0)</f>
        <v>0</v>
      </c>
      <c r="F4" t="str">
        <f>IFERROR(__xludf.DUMMYFUNCTION("""COMPUTED_VALUE"""),"Citra")</f>
        <v>Citra</v>
      </c>
      <c r="G4">
        <f>IFERROR(__xludf.DUMMYFUNCTION("""COMPUTED_VALUE"""),1.1)</f>
        <v>1.1</v>
      </c>
      <c r="H4">
        <f>IFERROR(__xludf.DUMMYFUNCTION("""COMPUTED_VALUE"""),1.1)</f>
        <v>1.1</v>
      </c>
      <c r="I4">
        <f>IFERROR(__xludf.DUMMYFUNCTION("""COMPUTED_VALUE"""),0.0)</f>
        <v>0</v>
      </c>
      <c r="K4" t="str">
        <f>IFERROR(__xludf.DUMMYFUNCTION("""COMPUTED_VALUE"""),"Appelsienen")</f>
        <v>Appelsienen</v>
      </c>
      <c r="L4">
        <f>IFERROR(__xludf.DUMMYFUNCTION("""COMPUTED_VALUE"""),8.0)</f>
        <v>8</v>
      </c>
      <c r="M4">
        <f>IFERROR(__xludf.DUMMYFUNCTION("""COMPUTED_VALUE"""),8.0)</f>
        <v>8</v>
      </c>
      <c r="N4">
        <f>IFERROR(__xludf.DUMMYFUNCTION("""COMPUTED_VALUE"""),0.0)</f>
        <v>0</v>
      </c>
      <c r="P4" t="str">
        <f>IFERROR(__xludf.DUMMYFUNCTION("""COMPUTED_VALUE"""),"Verdant IPA")</f>
        <v>Verdant IPA</v>
      </c>
      <c r="Q4">
        <f>IFERROR(__xludf.DUMMYFUNCTION("""COMPUTED_VALUE"""),0.055)</f>
        <v>0.055</v>
      </c>
      <c r="R4">
        <f>IFERROR(__xludf.DUMMYFUNCTION("""COMPUTED_VALUE"""),0.055)</f>
        <v>0.055</v>
      </c>
      <c r="S4">
        <f>IFERROR(__xludf.DUMMYFUNCTION("""COMPUTED_VALUE"""),0.0)</f>
        <v>0</v>
      </c>
      <c r="U4" t="str">
        <f>IFERROR(__xludf.DUMMYFUNCTION("""COMPUTED_VALUE"""),"kroonkurk wit")</f>
        <v>kroonkurk wit</v>
      </c>
      <c r="V4">
        <f>IFERROR(__xludf.DUMMYFUNCTION("""COMPUTED_VALUE"""),12500.0)</f>
        <v>12500</v>
      </c>
      <c r="W4">
        <f>IFERROR(__xludf.DUMMYFUNCTION("""COMPUTED_VALUE"""),11316.0)</f>
        <v>11316</v>
      </c>
      <c r="X4">
        <f>IFERROR(__xludf.DUMMYFUNCTION("""COMPUTED_VALUE"""),1184.0)</f>
        <v>1184</v>
      </c>
    </row>
    <row r="5">
      <c r="A5" t="str">
        <f>IFERROR(__xludf.DUMMYFUNCTION("""COMPUTED_VALUE"""),"Chocolate Dark")</f>
        <v>Chocolate Dark</v>
      </c>
      <c r="B5">
        <f>IFERROR(__xludf.DUMMYFUNCTION("""COMPUTED_VALUE"""),9.0)</f>
        <v>9</v>
      </c>
      <c r="C5">
        <f>IFERROR(__xludf.DUMMYFUNCTION("""COMPUTED_VALUE"""),9.0)</f>
        <v>9</v>
      </c>
      <c r="D5">
        <f>IFERROR(__xludf.DUMMYFUNCTION("""COMPUTED_VALUE"""),0.0)</f>
        <v>0</v>
      </c>
      <c r="F5" t="str">
        <f>IFERROR(__xludf.DUMMYFUNCTION("""COMPUTED_VALUE"""),"Galaxy")</f>
        <v>Galaxy</v>
      </c>
      <c r="G5">
        <f>IFERROR(__xludf.DUMMYFUNCTION("""COMPUTED_VALUE"""),0.2)</f>
        <v>0.2</v>
      </c>
      <c r="H5">
        <f>IFERROR(__xludf.DUMMYFUNCTION("""COMPUTED_VALUE"""),0.2)</f>
        <v>0.2</v>
      </c>
      <c r="I5">
        <f>IFERROR(__xludf.DUMMYFUNCTION("""COMPUTED_VALUE"""),0.0)</f>
        <v>0</v>
      </c>
      <c r="K5" t="str">
        <f>IFERROR(__xludf.DUMMYFUNCTION("""COMPUTED_VALUE"""),"Limoen")</f>
        <v>Limoen</v>
      </c>
      <c r="L5">
        <f>IFERROR(__xludf.DUMMYFUNCTION("""COMPUTED_VALUE"""),167.0)</f>
        <v>167</v>
      </c>
      <c r="M5">
        <f>IFERROR(__xludf.DUMMYFUNCTION("""COMPUTED_VALUE"""),167.0)</f>
        <v>167</v>
      </c>
      <c r="N5">
        <f>IFERROR(__xludf.DUMMYFUNCTION("""COMPUTED_VALUE"""),0.0)</f>
        <v>0</v>
      </c>
      <c r="P5" t="str">
        <f>IFERROR(__xludf.DUMMYFUNCTION("""COMPUTED_VALUE"""),"LP652")</f>
        <v>LP652</v>
      </c>
      <c r="Q5">
        <f>IFERROR(__xludf.DUMMYFUNCTION("""COMPUTED_VALUE"""),0.30000000000000004)</f>
        <v>0.3</v>
      </c>
      <c r="R5">
        <f>IFERROR(__xludf.DUMMYFUNCTION("""COMPUTED_VALUE"""),0.3)</f>
        <v>0.3</v>
      </c>
      <c r="S5">
        <f>IFERROR(__xludf.DUMMYFUNCTION("""COMPUTED_VALUE"""),5.551115123125783E-17)</f>
        <v>0</v>
      </c>
      <c r="U5" t="str">
        <f>IFERROR(__xludf.DUMMYFUNCTION("""COMPUTED_VALUE"""),"Fles Longneck 33cl")</f>
        <v>Fles Longneck 33cl</v>
      </c>
      <c r="V5">
        <f>IFERROR(__xludf.DUMMYFUNCTION("""COMPUTED_VALUE"""),816.0)</f>
        <v>816</v>
      </c>
      <c r="W5">
        <f>IFERROR(__xludf.DUMMYFUNCTION("""COMPUTED_VALUE"""),816.0)</f>
        <v>816</v>
      </c>
      <c r="X5">
        <f>IFERROR(__xludf.DUMMYFUNCTION("""COMPUTED_VALUE"""),0.0)</f>
        <v>0</v>
      </c>
    </row>
    <row r="6">
      <c r="A6" t="str">
        <f>IFERROR(__xludf.DUMMYFUNCTION("""COMPUTED_VALUE"""),"CaraAroma")</f>
        <v>CaraAroma</v>
      </c>
      <c r="B6">
        <f>IFERROR(__xludf.DUMMYFUNCTION("""COMPUTED_VALUE"""),35.0)</f>
        <v>35</v>
      </c>
      <c r="C6">
        <f>IFERROR(__xludf.DUMMYFUNCTION("""COMPUTED_VALUE"""),35.0)</f>
        <v>35</v>
      </c>
      <c r="D6">
        <f>IFERROR(__xludf.DUMMYFUNCTION("""COMPUTED_VALUE"""),0.0)</f>
        <v>0</v>
      </c>
      <c r="F6" t="str">
        <f>IFERROR(__xludf.DUMMYFUNCTION("""COMPUTED_VALUE"""),"Styrian Dana")</f>
        <v>Styrian Dana</v>
      </c>
      <c r="G6">
        <f>IFERROR(__xludf.DUMMYFUNCTION("""COMPUTED_VALUE"""),0.4)</f>
        <v>0.4</v>
      </c>
      <c r="H6">
        <f>IFERROR(__xludf.DUMMYFUNCTION("""COMPUTED_VALUE"""),0.4)</f>
        <v>0.4</v>
      </c>
      <c r="I6">
        <f>IFERROR(__xludf.DUMMYFUNCTION("""COMPUTED_VALUE"""),0.0)</f>
        <v>0</v>
      </c>
      <c r="K6" t="str">
        <f>IFERROR(__xludf.DUMMYFUNCTION("""COMPUTED_VALUE"""),"Grof zeezout")</f>
        <v>Grof zeezout</v>
      </c>
      <c r="L6">
        <f>IFERROR(__xludf.DUMMYFUNCTION("""COMPUTED_VALUE"""),2.0)</f>
        <v>2</v>
      </c>
      <c r="M6">
        <f>IFERROR(__xludf.DUMMYFUNCTION("""COMPUTED_VALUE"""),1.315)</f>
        <v>1.315</v>
      </c>
      <c r="N6">
        <f>IFERROR(__xludf.DUMMYFUNCTION("""COMPUTED_VALUE"""),0.685)</f>
        <v>0.685</v>
      </c>
      <c r="P6" t="str">
        <f>IFERROR(__xludf.DUMMYFUNCTION("""COMPUTED_VALUE"""),"WB-06")</f>
        <v>WB-06</v>
      </c>
      <c r="Q6">
        <f>IFERROR(__xludf.DUMMYFUNCTION("""COMPUTED_VALUE"""),0.5)</f>
        <v>0.5</v>
      </c>
      <c r="R6">
        <f>IFERROR(__xludf.DUMMYFUNCTION("""COMPUTED_VALUE"""),0.5)</f>
        <v>0.5</v>
      </c>
      <c r="S6">
        <f>IFERROR(__xludf.DUMMYFUNCTION("""COMPUTED_VALUE"""),0.0)</f>
        <v>0</v>
      </c>
      <c r="U6" t="str">
        <f>IFERROR(__xludf.DUMMYFUNCTION("""COMPUTED_VALUE"""),"Dozen 24st APO")</f>
        <v>Dozen 24st APO</v>
      </c>
      <c r="V6">
        <f>IFERROR(__xludf.DUMMYFUNCTION("""COMPUTED_VALUE"""),140.0)</f>
        <v>140</v>
      </c>
      <c r="W6">
        <f>IFERROR(__xludf.DUMMYFUNCTION("""COMPUTED_VALUE"""),47.0)</f>
        <v>47</v>
      </c>
      <c r="X6">
        <f>IFERROR(__xludf.DUMMYFUNCTION("""COMPUTED_VALUE"""),93.0)</f>
        <v>93</v>
      </c>
    </row>
    <row r="7">
      <c r="A7" t="str">
        <f>IFERROR(__xludf.DUMMYFUNCTION("""COMPUTED_VALUE"""),"Witte Haver")</f>
        <v>Witte Haver</v>
      </c>
      <c r="B7">
        <f>IFERROR(__xludf.DUMMYFUNCTION("""COMPUTED_VALUE"""),40.0)</f>
        <v>40</v>
      </c>
      <c r="C7">
        <f>IFERROR(__xludf.DUMMYFUNCTION("""COMPUTED_VALUE"""),40.0)</f>
        <v>40</v>
      </c>
      <c r="D7">
        <f>IFERROR(__xludf.DUMMYFUNCTION("""COMPUTED_VALUE"""),0.0)</f>
        <v>0</v>
      </c>
      <c r="F7" t="str">
        <f>IFERROR(__xludf.DUMMYFUNCTION("""COMPUTED_VALUE"""),"Magnum")</f>
        <v>Magnum</v>
      </c>
      <c r="G7">
        <f>IFERROR(__xludf.DUMMYFUNCTION("""COMPUTED_VALUE"""),1.0)</f>
        <v>1</v>
      </c>
      <c r="H7">
        <f>IFERROR(__xludf.DUMMYFUNCTION("""COMPUTED_VALUE"""),1.0)</f>
        <v>1</v>
      </c>
      <c r="I7">
        <f>IFERROR(__xludf.DUMMYFUNCTION("""COMPUTED_VALUE"""),0.0)</f>
        <v>0</v>
      </c>
      <c r="K7" t="str">
        <f>IFERROR(__xludf.DUMMYFUNCTION("""COMPUTED_VALUE"""),"cacaobonen")</f>
        <v>cacaobonen</v>
      </c>
      <c r="L7">
        <f>IFERROR(__xludf.DUMMYFUNCTION("""COMPUTED_VALUE"""),4.05)</f>
        <v>4.05</v>
      </c>
      <c r="M7">
        <f>IFERROR(__xludf.DUMMYFUNCTION("""COMPUTED_VALUE"""),4.05)</f>
        <v>4.05</v>
      </c>
      <c r="N7">
        <f>IFERROR(__xludf.DUMMYFUNCTION("""COMPUTED_VALUE"""),0.0)</f>
        <v>0</v>
      </c>
      <c r="P7" t="str">
        <f>IFERROR(__xludf.DUMMYFUNCTION("""COMPUTED_VALUE"""),"BE-256")</f>
        <v>BE-256</v>
      </c>
      <c r="Q7">
        <f>IFERROR(__xludf.DUMMYFUNCTION("""COMPUTED_VALUE"""),0.5)</f>
        <v>0.5</v>
      </c>
      <c r="R7">
        <f>IFERROR(__xludf.DUMMYFUNCTION("""COMPUTED_VALUE"""),0.5)</f>
        <v>0.5</v>
      </c>
      <c r="S7">
        <f>IFERROR(__xludf.DUMMYFUNCTION("""COMPUTED_VALUE"""),0.0)</f>
        <v>0</v>
      </c>
      <c r="U7" t="str">
        <f>IFERROR(__xludf.DUMMYFUNCTION("""COMPUTED_VALUE"""),"Fles belge 75cl")</f>
        <v>Fles belge 75cl</v>
      </c>
      <c r="V7">
        <f>IFERROR(__xludf.DUMMYFUNCTION("""COMPUTED_VALUE"""),264.0)</f>
        <v>264</v>
      </c>
      <c r="W7">
        <f>IFERROR(__xludf.DUMMYFUNCTION("""COMPUTED_VALUE"""),264.0)</f>
        <v>264</v>
      </c>
      <c r="X7">
        <f>IFERROR(__xludf.DUMMYFUNCTION("""COMPUTED_VALUE"""),0.0)</f>
        <v>0</v>
      </c>
    </row>
    <row r="8">
      <c r="A8" t="str">
        <f>IFERROR(__xludf.DUMMYFUNCTION("""COMPUTED_VALUE"""),"CaraGold")</f>
        <v>CaraGold</v>
      </c>
      <c r="B8">
        <f>IFERROR(__xludf.DUMMYFUNCTION("""COMPUTED_VALUE"""),30.0)</f>
        <v>30</v>
      </c>
      <c r="C8">
        <f>IFERROR(__xludf.DUMMYFUNCTION("""COMPUTED_VALUE"""),30.0)</f>
        <v>30</v>
      </c>
      <c r="D8">
        <f>IFERROR(__xludf.DUMMYFUNCTION("""COMPUTED_VALUE"""),0.0)</f>
        <v>0</v>
      </c>
      <c r="F8" t="str">
        <f>IFERROR(__xludf.DUMMYFUNCTION("""COMPUTED_VALUE"""),"Hallertau Blanc")</f>
        <v>Hallertau Blanc</v>
      </c>
      <c r="G8">
        <f>IFERROR(__xludf.DUMMYFUNCTION("""COMPUTED_VALUE"""),7.9)</f>
        <v>7.9</v>
      </c>
      <c r="H8">
        <f>IFERROR(__xludf.DUMMYFUNCTION("""COMPUTED_VALUE"""),3.5000000000000004)</f>
        <v>3.5</v>
      </c>
      <c r="I8">
        <f>IFERROR(__xludf.DUMMYFUNCTION("""COMPUTED_VALUE"""),4.4)</f>
        <v>4.4</v>
      </c>
      <c r="K8" t="str">
        <f>IFERROR(__xludf.DUMMYFUNCTION("""COMPUTED_VALUE"""),"Speculaaskruiden")</f>
        <v>Speculaaskruiden</v>
      </c>
      <c r="L8">
        <f>IFERROR(__xludf.DUMMYFUNCTION("""COMPUTED_VALUE"""),0.4)</f>
        <v>0.4</v>
      </c>
      <c r="M8">
        <f>IFERROR(__xludf.DUMMYFUNCTION("""COMPUTED_VALUE"""),0.28)</f>
        <v>0.28</v>
      </c>
      <c r="N8">
        <f>IFERROR(__xludf.DUMMYFUNCTION("""COMPUTED_VALUE"""),0.12)</f>
        <v>0.12</v>
      </c>
      <c r="P8" t="str">
        <f>IFERROR(__xludf.DUMMYFUNCTION("""COMPUTED_VALUE"""),"S-33")</f>
        <v>S-33</v>
      </c>
      <c r="Q8">
        <f>IFERROR(__xludf.DUMMYFUNCTION("""COMPUTED_VALUE"""),0.9)</f>
        <v>0.9</v>
      </c>
      <c r="R8">
        <f>IFERROR(__xludf.DUMMYFUNCTION("""COMPUTED_VALUE"""),0.525)</f>
        <v>0.525</v>
      </c>
      <c r="S8">
        <f>IFERROR(__xludf.DUMMYFUNCTION("""COMPUTED_VALUE"""),0.375)</f>
        <v>0.375</v>
      </c>
      <c r="U8" t="str">
        <f>IFERROR(__xludf.DUMMYFUNCTION("""COMPUTED_VALUE"""),"Doos trio 75cl")</f>
        <v>Doos trio 75cl</v>
      </c>
      <c r="V8">
        <f>IFERROR(__xludf.DUMMYFUNCTION("""COMPUTED_VALUE"""),60.0)</f>
        <v>60</v>
      </c>
      <c r="W8">
        <f>IFERROR(__xludf.DUMMYFUNCTION("""COMPUTED_VALUE"""),60.0)</f>
        <v>60</v>
      </c>
      <c r="X8">
        <f>IFERROR(__xludf.DUMMYFUNCTION("""COMPUTED_VALUE"""),0.0)</f>
        <v>0</v>
      </c>
    </row>
    <row r="9">
      <c r="A9" t="str">
        <f>IFERROR(__xludf.DUMMYFUNCTION("""COMPUTED_VALUE"""),"CaraBody")</f>
        <v>CaraBody</v>
      </c>
      <c r="B9">
        <f>IFERROR(__xludf.DUMMYFUNCTION("""COMPUTED_VALUE"""),5.0)</f>
        <v>5</v>
      </c>
      <c r="C9">
        <f>IFERROR(__xludf.DUMMYFUNCTION("""COMPUTED_VALUE"""),5.0)</f>
        <v>5</v>
      </c>
      <c r="D9">
        <f>IFERROR(__xludf.DUMMYFUNCTION("""COMPUTED_VALUE"""),0.0)</f>
        <v>0</v>
      </c>
      <c r="F9" t="str">
        <f>IFERROR(__xludf.DUMMYFUNCTION("""COMPUTED_VALUE"""),"Styrian Dragon")</f>
        <v>Styrian Dragon</v>
      </c>
      <c r="G9">
        <f>IFERROR(__xludf.DUMMYFUNCTION("""COMPUTED_VALUE"""),0.1)</f>
        <v>0.1</v>
      </c>
      <c r="H9">
        <f>IFERROR(__xludf.DUMMYFUNCTION("""COMPUTED_VALUE"""),0.0)</f>
        <v>0</v>
      </c>
      <c r="I9">
        <f>IFERROR(__xludf.DUMMYFUNCTION("""COMPUTED_VALUE"""),0.1)</f>
        <v>0.1</v>
      </c>
      <c r="K9" t="str">
        <f>IFERROR(__xludf.DUMMYFUNCTION("""COMPUTED_VALUE"""),"Rabarber")</f>
        <v>Rabarber</v>
      </c>
      <c r="L9">
        <f>IFERROR(__xludf.DUMMYFUNCTION("""COMPUTED_VALUE"""),25.0)</f>
        <v>25</v>
      </c>
      <c r="M9">
        <f>IFERROR(__xludf.DUMMYFUNCTION("""COMPUTED_VALUE"""),25.0)</f>
        <v>25</v>
      </c>
      <c r="N9">
        <f>IFERROR(__xludf.DUMMYFUNCTION("""COMPUTED_VALUE"""),0.0)</f>
        <v>0</v>
      </c>
      <c r="P9" t="str">
        <f>IFERROR(__xludf.DUMMYFUNCTION("""COMPUTED_VALUE"""),"US-05")</f>
        <v>US-05</v>
      </c>
      <c r="Q9">
        <f>IFERROR(__xludf.DUMMYFUNCTION("""COMPUTED_VALUE"""),0.7)</f>
        <v>0.7</v>
      </c>
      <c r="R9">
        <f>IFERROR(__xludf.DUMMYFUNCTION("""COMPUTED_VALUE"""),0.325)</f>
        <v>0.325</v>
      </c>
      <c r="S9">
        <f>IFERROR(__xludf.DUMMYFUNCTION("""COMPUTED_VALUE"""),0.37499999999999994)</f>
        <v>0.375</v>
      </c>
      <c r="U9" t="str">
        <f>IFERROR(__xludf.DUMMYFUNCTION("""COMPUTED_VALUE"""),"Corny keg 19l")</f>
        <v>Corny keg 19l</v>
      </c>
      <c r="V9">
        <f>IFERROR(__xludf.DUMMYFUNCTION("""COMPUTED_VALUE"""),6.0)</f>
        <v>6</v>
      </c>
      <c r="W9">
        <f>IFERROR(__xludf.DUMMYFUNCTION("""COMPUTED_VALUE"""),7.0)</f>
        <v>7</v>
      </c>
      <c r="X9">
        <f>IFERROR(__xludf.DUMMYFUNCTION("""COMPUTED_VALUE"""),-1.0)</f>
        <v>-1</v>
      </c>
    </row>
    <row r="10">
      <c r="A10" t="str">
        <f>IFERROR(__xludf.DUMMYFUNCTION("""COMPUTED_VALUE"""),"Biscuit")</f>
        <v>Biscuit</v>
      </c>
      <c r="B10">
        <f>IFERROR(__xludf.DUMMYFUNCTION("""COMPUTED_VALUE"""),51.0)</f>
        <v>51</v>
      </c>
      <c r="C10">
        <f>IFERROR(__xludf.DUMMYFUNCTION("""COMPUTED_VALUE"""),51.0)</f>
        <v>51</v>
      </c>
      <c r="D10">
        <f>IFERROR(__xludf.DUMMYFUNCTION("""COMPUTED_VALUE"""),0.0)</f>
        <v>0</v>
      </c>
      <c r="F10" t="str">
        <f>IFERROR(__xludf.DUMMYFUNCTION("""COMPUTED_VALUE"""),"Calista")</f>
        <v>Calista</v>
      </c>
      <c r="G10">
        <f>IFERROR(__xludf.DUMMYFUNCTION("""COMPUTED_VALUE"""),5.2)</f>
        <v>5.2</v>
      </c>
      <c r="H10">
        <f>IFERROR(__xludf.DUMMYFUNCTION("""COMPUTED_VALUE"""),3.4000000000000004)</f>
        <v>3.4</v>
      </c>
      <c r="I10">
        <f>IFERROR(__xludf.DUMMYFUNCTION("""COMPUTED_VALUE"""),1.7999999999999998)</f>
        <v>1.8</v>
      </c>
      <c r="K10" t="str">
        <f>IFERROR(__xludf.DUMMYFUNCTION("""COMPUTED_VALUE"""),"Frambozen diepvries")</f>
        <v>Frambozen diepvries</v>
      </c>
      <c r="L10">
        <f>IFERROR(__xludf.DUMMYFUNCTION("""COMPUTED_VALUE"""),32.0)</f>
        <v>32</v>
      </c>
      <c r="M10">
        <f>IFERROR(__xludf.DUMMYFUNCTION("""COMPUTED_VALUE"""),32.0)</f>
        <v>32</v>
      </c>
      <c r="N10">
        <f>IFERROR(__xludf.DUMMYFUNCTION("""COMPUTED_VALUE"""),0.0)</f>
        <v>0</v>
      </c>
      <c r="P10" t="str">
        <f>IFERROR(__xludf.DUMMYFUNCTION("""COMPUTED_VALUE"""),"Aspergillus Luchuensis")</f>
        <v>Aspergillus Luchuensis</v>
      </c>
      <c r="Q10">
        <f>IFERROR(__xludf.DUMMYFUNCTION("""COMPUTED_VALUE"""),0.003)</f>
        <v>0.003</v>
      </c>
      <c r="R10">
        <f>IFERROR(__xludf.DUMMYFUNCTION("""COMPUTED_VALUE"""),0.003)</f>
        <v>0.003</v>
      </c>
      <c r="S10">
        <f>IFERROR(__xludf.DUMMYFUNCTION("""COMPUTED_VALUE"""),0.0)</f>
        <v>0</v>
      </c>
      <c r="V10">
        <f>IFERROR(__xludf.DUMMYFUNCTION("""COMPUTED_VALUE"""),0.0)</f>
        <v>0</v>
      </c>
      <c r="W10">
        <f>IFERROR(__xludf.DUMMYFUNCTION("""COMPUTED_VALUE"""),0.0)</f>
        <v>0</v>
      </c>
      <c r="X10">
        <f>IFERROR(__xludf.DUMMYFUNCTION("""COMPUTED_VALUE"""),0.0)</f>
        <v>0</v>
      </c>
    </row>
    <row r="11">
      <c r="A11" t="str">
        <f>IFERROR(__xludf.DUMMYFUNCTION("""COMPUTED_VALUE"""),"Tarwe ")</f>
        <v>Tarwe </v>
      </c>
      <c r="B11">
        <f>IFERROR(__xludf.DUMMYFUNCTION("""COMPUTED_VALUE"""),300.0)</f>
        <v>300</v>
      </c>
      <c r="C11">
        <f>IFERROR(__xludf.DUMMYFUNCTION("""COMPUTED_VALUE"""),286.0)</f>
        <v>286</v>
      </c>
      <c r="D11">
        <f>IFERROR(__xludf.DUMMYFUNCTION("""COMPUTED_VALUE"""),14.0)</f>
        <v>14</v>
      </c>
      <c r="F11" t="str">
        <f>IFERROR(__xludf.DUMMYFUNCTION("""COMPUTED_VALUE"""),"Solero")</f>
        <v>Solero</v>
      </c>
      <c r="G11">
        <f>IFERROR(__xludf.DUMMYFUNCTION("""COMPUTED_VALUE"""),0.1)</f>
        <v>0.1</v>
      </c>
      <c r="H11">
        <f>IFERROR(__xludf.DUMMYFUNCTION("""COMPUTED_VALUE"""),0.0)</f>
        <v>0</v>
      </c>
      <c r="I11">
        <f>IFERROR(__xludf.DUMMYFUNCTION("""COMPUTED_VALUE"""),0.1)</f>
        <v>0.1</v>
      </c>
      <c r="K11" t="str">
        <f>IFERROR(__xludf.DUMMYFUNCTION("""COMPUTED_VALUE"""),"yuzu aroma")</f>
        <v>yuzu aroma</v>
      </c>
      <c r="L11">
        <f>IFERROR(__xludf.DUMMYFUNCTION("""COMPUTED_VALUE"""),0.05)</f>
        <v>0.05</v>
      </c>
      <c r="M11">
        <f>IFERROR(__xludf.DUMMYFUNCTION("""COMPUTED_VALUE"""),0.05)</f>
        <v>0.05</v>
      </c>
      <c r="N11">
        <f>IFERROR(__xludf.DUMMYFUNCTION("""COMPUTED_VALUE"""),0.0)</f>
        <v>0</v>
      </c>
      <c r="P11" t="str">
        <f>IFERROR(__xludf.DUMMYFUNCTION("""COMPUTED_VALUE"""),"BE-134")</f>
        <v>BE-134</v>
      </c>
      <c r="Q11">
        <f>IFERROR(__xludf.DUMMYFUNCTION("""COMPUTED_VALUE"""),1.0)</f>
        <v>1</v>
      </c>
      <c r="R11">
        <f>IFERROR(__xludf.DUMMYFUNCTION("""COMPUTED_VALUE"""),0.5)</f>
        <v>0.5</v>
      </c>
      <c r="S11">
        <f>IFERROR(__xludf.DUMMYFUNCTION("""COMPUTED_VALUE"""),0.5)</f>
        <v>0.5</v>
      </c>
      <c r="U11" t="str">
        <f>IFERROR(__xludf.DUMMYFUNCTION("""COMPUTED_VALUE"""),"Zwarte Peper Lampong")</f>
        <v>Zwarte Peper Lampong</v>
      </c>
      <c r="V11">
        <f>IFERROR(__xludf.DUMMYFUNCTION("""COMPUTED_VALUE"""),0.0)</f>
        <v>0</v>
      </c>
      <c r="W11">
        <f>IFERROR(__xludf.DUMMYFUNCTION("""COMPUTED_VALUE"""),0.0)</f>
        <v>0</v>
      </c>
      <c r="X11">
        <f>IFERROR(__xludf.DUMMYFUNCTION("""COMPUTED_VALUE"""),0.0)</f>
        <v>0</v>
      </c>
    </row>
    <row r="12">
      <c r="A12" t="str">
        <f>IFERROR(__xludf.DUMMYFUNCTION("""COMPUTED_VALUE"""),"Oud brood")</f>
        <v>Oud brood</v>
      </c>
      <c r="B12">
        <f>IFERROR(__xludf.DUMMYFUNCTION("""COMPUTED_VALUE"""),10.0)</f>
        <v>10</v>
      </c>
      <c r="C12">
        <f>IFERROR(__xludf.DUMMYFUNCTION("""COMPUTED_VALUE"""),10.0)</f>
        <v>10</v>
      </c>
      <c r="D12">
        <f>IFERROR(__xludf.DUMMYFUNCTION("""COMPUTED_VALUE"""),0.0)</f>
        <v>0</v>
      </c>
      <c r="F12" t="str">
        <f>IFERROR(__xludf.DUMMYFUNCTION("""COMPUTED_VALUE"""),"Barbe Rouge")</f>
        <v>Barbe Rouge</v>
      </c>
      <c r="G12">
        <f>IFERROR(__xludf.DUMMYFUNCTION("""COMPUTED_VALUE"""),2.6)</f>
        <v>2.6</v>
      </c>
      <c r="H12">
        <f>IFERROR(__xludf.DUMMYFUNCTION("""COMPUTED_VALUE"""),2.6)</f>
        <v>2.6</v>
      </c>
      <c r="I12">
        <f>IFERROR(__xludf.DUMMYFUNCTION("""COMPUTED_VALUE"""),0.0)</f>
        <v>0</v>
      </c>
      <c r="K12" t="str">
        <f>IFERROR(__xludf.DUMMYFUNCTION("""COMPUTED_VALUE"""),"oranjebloesem")</f>
        <v>oranjebloesem</v>
      </c>
      <c r="L12">
        <f>IFERROR(__xludf.DUMMYFUNCTION("""COMPUTED_VALUE"""),0.4)</f>
        <v>0.4</v>
      </c>
      <c r="M12">
        <f>IFERROR(__xludf.DUMMYFUNCTION("""COMPUTED_VALUE"""),0.4)</f>
        <v>0.4</v>
      </c>
      <c r="N12">
        <f>IFERROR(__xludf.DUMMYFUNCTION("""COMPUTED_VALUE"""),0.0)</f>
        <v>0</v>
      </c>
      <c r="P12" t="str">
        <f>IFERROR(__xludf.DUMMYFUNCTION("""COMPUTED_VALUE"""),"cider M02")</f>
        <v>cider M02</v>
      </c>
      <c r="Q12">
        <f>IFERROR(__xludf.DUMMYFUNCTION("""COMPUTED_VALUE"""),0.25)</f>
        <v>0.25</v>
      </c>
      <c r="R12">
        <f>IFERROR(__xludf.DUMMYFUNCTION("""COMPUTED_VALUE"""),0.25)</f>
        <v>0.25</v>
      </c>
      <c r="S12">
        <f>IFERROR(__xludf.DUMMYFUNCTION("""COMPUTED_VALUE"""),0.0)</f>
        <v>0</v>
      </c>
      <c r="U12" t="str">
        <f>IFERROR(__xludf.DUMMYFUNCTION("""COMPUTED_VALUE"""),"Zwarte Peper Tellicherry")</f>
        <v>Zwarte Peper Tellicherry</v>
      </c>
      <c r="V12">
        <f>IFERROR(__xludf.DUMMYFUNCTION("""COMPUTED_VALUE"""),0.0)</f>
        <v>0</v>
      </c>
      <c r="W12">
        <f>IFERROR(__xludf.DUMMYFUNCTION("""COMPUTED_VALUE"""),0.0)</f>
        <v>0</v>
      </c>
      <c r="X12">
        <f>IFERROR(__xludf.DUMMYFUNCTION("""COMPUTED_VALUE"""),0.0)</f>
        <v>0</v>
      </c>
    </row>
    <row r="13">
      <c r="A13" t="str">
        <f>IFERROR(__xludf.DUMMYFUNCTION("""COMPUTED_VALUE"""),"Havervlokken")</f>
        <v>Havervlokken</v>
      </c>
      <c r="B13">
        <f>IFERROR(__xludf.DUMMYFUNCTION("""COMPUTED_VALUE"""),110.8)</f>
        <v>110.8</v>
      </c>
      <c r="C13">
        <f>IFERROR(__xludf.DUMMYFUNCTION("""COMPUTED_VALUE"""),105.3)</f>
        <v>105.3</v>
      </c>
      <c r="D13">
        <f>IFERROR(__xludf.DUMMYFUNCTION("""COMPUTED_VALUE"""),5.5)</f>
        <v>5.5</v>
      </c>
      <c r="G13">
        <f>IFERROR(__xludf.DUMMYFUNCTION("""COMPUTED_VALUE"""),0.0)</f>
        <v>0</v>
      </c>
      <c r="H13">
        <f>IFERROR(__xludf.DUMMYFUNCTION("""COMPUTED_VALUE"""),0.0)</f>
        <v>0</v>
      </c>
      <c r="I13">
        <f>IFERROR(__xludf.DUMMYFUNCTION("""COMPUTED_VALUE"""),0.0)</f>
        <v>0</v>
      </c>
      <c r="K13" t="str">
        <f>IFERROR(__xludf.DUMMYFUNCTION("""COMPUTED_VALUE"""),"Bhut Jolokia")</f>
        <v>Bhut Jolokia</v>
      </c>
      <c r="L13">
        <f>IFERROR(__xludf.DUMMYFUNCTION("""COMPUTED_VALUE"""),0.01)</f>
        <v>0.01</v>
      </c>
      <c r="M13">
        <f>IFERROR(__xludf.DUMMYFUNCTION("""COMPUTED_VALUE"""),0.01)</f>
        <v>0.01</v>
      </c>
      <c r="N13">
        <f>IFERROR(__xludf.DUMMYFUNCTION("""COMPUTED_VALUE"""),0.0)</f>
        <v>0</v>
      </c>
      <c r="P13" t="str">
        <f>IFERROR(__xludf.DUMMYFUNCTION("""COMPUTED_VALUE"""),"Apres-Ski")</f>
        <v>Apres-Ski</v>
      </c>
      <c r="Q13">
        <f>IFERROR(__xludf.DUMMYFUNCTION("""COMPUTED_VALUE"""),0.5)</f>
        <v>0.5</v>
      </c>
      <c r="R13">
        <f>IFERROR(__xludf.DUMMYFUNCTION("""COMPUTED_VALUE"""),0.5)</f>
        <v>0.5</v>
      </c>
      <c r="S13">
        <f>IFERROR(__xludf.DUMMYFUNCTION("""COMPUTED_VALUE"""),0.0)</f>
        <v>0</v>
      </c>
      <c r="U13" t="str">
        <f>IFERROR(__xludf.DUMMYFUNCTION("""COMPUTED_VALUE"""),"Tasmaanse Bergpeper")</f>
        <v>Tasmaanse Bergpeper</v>
      </c>
      <c r="V13">
        <f>IFERROR(__xludf.DUMMYFUNCTION("""COMPUTED_VALUE"""),0.0)</f>
        <v>0</v>
      </c>
      <c r="W13">
        <f>IFERROR(__xludf.DUMMYFUNCTION("""COMPUTED_VALUE"""),0.0)</f>
        <v>0</v>
      </c>
      <c r="X13">
        <f>IFERROR(__xludf.DUMMYFUNCTION("""COMPUTED_VALUE"""),0.0)</f>
        <v>0</v>
      </c>
    </row>
    <row r="14">
      <c r="A14" t="str">
        <f>IFERROR(__xludf.DUMMYFUNCTION("""COMPUTED_VALUE"""),"CaraAmber")</f>
        <v>CaraAmber</v>
      </c>
      <c r="B14">
        <f>IFERROR(__xludf.DUMMYFUNCTION("""COMPUTED_VALUE"""),25.0)</f>
        <v>25</v>
      </c>
      <c r="C14">
        <f>IFERROR(__xludf.DUMMYFUNCTION("""COMPUTED_VALUE"""),25.0)</f>
        <v>25</v>
      </c>
      <c r="D14">
        <f>IFERROR(__xludf.DUMMYFUNCTION("""COMPUTED_VALUE"""),0.0)</f>
        <v>0</v>
      </c>
      <c r="F14" t="str">
        <f>IFERROR(__xludf.DUMMYFUNCTION("""COMPUTED_VALUE"""),"Nelson Sauvin")</f>
        <v>Nelson Sauvin</v>
      </c>
      <c r="G14">
        <f>IFERROR(__xludf.DUMMYFUNCTION("""COMPUTED_VALUE"""),2.0)</f>
        <v>2</v>
      </c>
      <c r="H14">
        <f>IFERROR(__xludf.DUMMYFUNCTION("""COMPUTED_VALUE"""),2.0)</f>
        <v>2</v>
      </c>
      <c r="I14">
        <f>IFERROR(__xludf.DUMMYFUNCTION("""COMPUTED_VALUE"""),0.0)</f>
        <v>0</v>
      </c>
      <c r="K14" t="str">
        <f>IFERROR(__xludf.DUMMYFUNCTION("""COMPUTED_VALUE"""),"mandarijnen")</f>
        <v>mandarijnen</v>
      </c>
      <c r="L14">
        <f>IFERROR(__xludf.DUMMYFUNCTION("""COMPUTED_VALUE"""),4.6)</f>
        <v>4.6</v>
      </c>
      <c r="M14">
        <f>IFERROR(__xludf.DUMMYFUNCTION("""COMPUTED_VALUE"""),4.6)</f>
        <v>4.6</v>
      </c>
      <c r="N14">
        <f>IFERROR(__xludf.DUMMYFUNCTION("""COMPUTED_VALUE"""),0.0)</f>
        <v>0</v>
      </c>
      <c r="Q14">
        <f>IFERROR(__xludf.DUMMYFUNCTION("""COMPUTED_VALUE"""),0.0)</f>
        <v>0</v>
      </c>
      <c r="R14">
        <f>IFERROR(__xludf.DUMMYFUNCTION("""COMPUTED_VALUE"""),0.0)</f>
        <v>0</v>
      </c>
      <c r="S14">
        <f>IFERROR(__xludf.DUMMYFUNCTION("""COMPUTED_VALUE"""),0.0)</f>
        <v>0</v>
      </c>
      <c r="V14">
        <f>IFERROR(__xludf.DUMMYFUNCTION("""COMPUTED_VALUE"""),0.0)</f>
        <v>0</v>
      </c>
      <c r="W14">
        <f>IFERROR(__xludf.DUMMYFUNCTION("""COMPUTED_VALUE"""),0.0)</f>
        <v>0</v>
      </c>
      <c r="X14">
        <f>IFERROR(__xludf.DUMMYFUNCTION("""COMPUTED_VALUE"""),0.0)</f>
        <v>0</v>
      </c>
    </row>
    <row r="15">
      <c r="A15" t="str">
        <f>IFERROR(__xludf.DUMMYFUNCTION("""COMPUTED_VALUE"""),"Caramel 30")</f>
        <v>Caramel 30</v>
      </c>
      <c r="B15">
        <f>IFERROR(__xludf.DUMMYFUNCTION("""COMPUTED_VALUE"""),5.0)</f>
        <v>5</v>
      </c>
      <c r="C15">
        <f>IFERROR(__xludf.DUMMYFUNCTION("""COMPUTED_VALUE"""),5.0)</f>
        <v>5</v>
      </c>
      <c r="D15">
        <f>IFERROR(__xludf.DUMMYFUNCTION("""COMPUTED_VALUE"""),0.0)</f>
        <v>0</v>
      </c>
      <c r="F15" t="str">
        <f>IFERROR(__xludf.DUMMYFUNCTION("""COMPUTED_VALUE"""),"Cashmere")</f>
        <v>Cashmere</v>
      </c>
      <c r="G15">
        <f>IFERROR(__xludf.DUMMYFUNCTION("""COMPUTED_VALUE"""),1.0)</f>
        <v>1</v>
      </c>
      <c r="H15">
        <f>IFERROR(__xludf.DUMMYFUNCTION("""COMPUTED_VALUE"""),1.0)</f>
        <v>1</v>
      </c>
      <c r="I15">
        <f>IFERROR(__xludf.DUMMYFUNCTION("""COMPUTED_VALUE"""),0.0)</f>
        <v>0</v>
      </c>
      <c r="K15" t="str">
        <f>IFERROR(__xludf.DUMMYFUNCTION("""COMPUTED_VALUE"""),"mandarijn aroma")</f>
        <v>mandarijn aroma</v>
      </c>
      <c r="L15">
        <f>IFERROR(__xludf.DUMMYFUNCTION("""COMPUTED_VALUE"""),0.05)</f>
        <v>0.05</v>
      </c>
      <c r="M15">
        <f>IFERROR(__xludf.DUMMYFUNCTION("""COMPUTED_VALUE"""),0.05)</f>
        <v>0.05</v>
      </c>
      <c r="N15">
        <f>IFERROR(__xludf.DUMMYFUNCTION("""COMPUTED_VALUE"""),0.0)</f>
        <v>0</v>
      </c>
      <c r="Q15">
        <f>IFERROR(__xludf.DUMMYFUNCTION("""COMPUTED_VALUE"""),0.0)</f>
        <v>0</v>
      </c>
      <c r="R15">
        <f>IFERROR(__xludf.DUMMYFUNCTION("""COMPUTED_VALUE"""),0.0)</f>
        <v>0</v>
      </c>
      <c r="S15">
        <f>IFERROR(__xludf.DUMMYFUNCTION("""COMPUTED_VALUE"""),0.0)</f>
        <v>0</v>
      </c>
      <c r="V15">
        <f>IFERROR(__xludf.DUMMYFUNCTION("""COMPUTED_VALUE"""),0.0)</f>
        <v>0</v>
      </c>
      <c r="W15">
        <f>IFERROR(__xludf.DUMMYFUNCTION("""COMPUTED_VALUE"""),0.0)</f>
        <v>0</v>
      </c>
      <c r="X15">
        <f>IFERROR(__xludf.DUMMYFUNCTION("""COMPUTED_VALUE"""),0.0)</f>
        <v>0</v>
      </c>
    </row>
    <row r="16">
      <c r="A16" t="str">
        <f>IFERROR(__xludf.DUMMYFUNCTION("""COMPUTED_VALUE"""),"parelgerst")</f>
        <v>parelgerst</v>
      </c>
      <c r="B16">
        <f>IFERROR(__xludf.DUMMYFUNCTION("""COMPUTED_VALUE"""),2.0)</f>
        <v>2</v>
      </c>
      <c r="C16">
        <f>IFERROR(__xludf.DUMMYFUNCTION("""COMPUTED_VALUE"""),1.0)</f>
        <v>1</v>
      </c>
      <c r="D16">
        <f>IFERROR(__xludf.DUMMYFUNCTION("""COMPUTED_VALUE"""),1.0)</f>
        <v>1</v>
      </c>
      <c r="F16" t="str">
        <f>IFERROR(__xludf.DUMMYFUNCTION("""COMPUTED_VALUE"""),"Sabro")</f>
        <v>Sabro</v>
      </c>
      <c r="G16">
        <f>IFERROR(__xludf.DUMMYFUNCTION("""COMPUTED_VALUE"""),1.0)</f>
        <v>1</v>
      </c>
      <c r="H16">
        <f>IFERROR(__xludf.DUMMYFUNCTION("""COMPUTED_VALUE"""),1.0)</f>
        <v>1</v>
      </c>
      <c r="I16">
        <f>IFERROR(__xludf.DUMMYFUNCTION("""COMPUTED_VALUE"""),0.0)</f>
        <v>0</v>
      </c>
      <c r="K16" t="str">
        <f>IFERROR(__xludf.DUMMYFUNCTION("""COMPUTED_VALUE"""),"Japanse duizendknoop")</f>
        <v>Japanse duizendknoop</v>
      </c>
      <c r="L16">
        <f>IFERROR(__xludf.DUMMYFUNCTION("""COMPUTED_VALUE"""),20.0)</f>
        <v>20</v>
      </c>
      <c r="M16">
        <f>IFERROR(__xludf.DUMMYFUNCTION("""COMPUTED_VALUE"""),20.0)</f>
        <v>20</v>
      </c>
      <c r="N16">
        <f>IFERROR(__xludf.DUMMYFUNCTION("""COMPUTED_VALUE"""),0.0)</f>
        <v>0</v>
      </c>
      <c r="Q16">
        <f>IFERROR(__xludf.DUMMYFUNCTION("""COMPUTED_VALUE"""),0.0)</f>
        <v>0</v>
      </c>
      <c r="R16">
        <f>IFERROR(__xludf.DUMMYFUNCTION("""COMPUTED_VALUE"""),0.0)</f>
        <v>0</v>
      </c>
      <c r="S16">
        <f>IFERROR(__xludf.DUMMYFUNCTION("""COMPUTED_VALUE"""),0.0)</f>
        <v>0</v>
      </c>
      <c r="V16">
        <f>IFERROR(__xludf.DUMMYFUNCTION("""COMPUTED_VALUE"""),0.0)</f>
        <v>0</v>
      </c>
      <c r="W16">
        <f>IFERROR(__xludf.DUMMYFUNCTION("""COMPUTED_VALUE"""),0.0)</f>
        <v>0</v>
      </c>
      <c r="X16">
        <f>IFERROR(__xludf.DUMMYFUNCTION("""COMPUTED_VALUE"""),0.0)</f>
        <v>0</v>
      </c>
    </row>
    <row r="17">
      <c r="A17" t="str">
        <f>IFERROR(__xludf.DUMMYFUNCTION("""COMPUTED_VALUE"""),"Cara 50 MD")</f>
        <v>Cara 50 MD</v>
      </c>
      <c r="B17">
        <f>IFERROR(__xludf.DUMMYFUNCTION("""COMPUTED_VALUE"""),25.0)</f>
        <v>25</v>
      </c>
      <c r="C17">
        <f>IFERROR(__xludf.DUMMYFUNCTION("""COMPUTED_VALUE"""),25.0)</f>
        <v>25</v>
      </c>
      <c r="D17">
        <f>IFERROR(__xludf.DUMMYFUNCTION("""COMPUTED_VALUE"""),0.0)</f>
        <v>0</v>
      </c>
      <c r="F17" t="str">
        <f>IFERROR(__xludf.DUMMYFUNCTION("""COMPUTED_VALUE"""),"Crystal")</f>
        <v>Crystal</v>
      </c>
      <c r="G17">
        <f>IFERROR(__xludf.DUMMYFUNCTION("""COMPUTED_VALUE"""),0.2)</f>
        <v>0.2</v>
      </c>
      <c r="H17">
        <f>IFERROR(__xludf.DUMMYFUNCTION("""COMPUTED_VALUE"""),0.2)</f>
        <v>0.2</v>
      </c>
      <c r="I17">
        <f>IFERROR(__xludf.DUMMYFUNCTION("""COMPUTED_VALUE"""),0.0)</f>
        <v>0</v>
      </c>
      <c r="K17" t="str">
        <f>IFERROR(__xludf.DUMMYFUNCTION("""COMPUTED_VALUE"""),"pompelmoes")</f>
        <v>pompelmoes</v>
      </c>
      <c r="L17">
        <f>IFERROR(__xludf.DUMMYFUNCTION("""COMPUTED_VALUE"""),7.529999999999999)</f>
        <v>7.53</v>
      </c>
      <c r="M17">
        <f>IFERROR(__xludf.DUMMYFUNCTION("""COMPUTED_VALUE"""),7.529999999999999)</f>
        <v>7.53</v>
      </c>
      <c r="N17">
        <f>IFERROR(__xludf.DUMMYFUNCTION("""COMPUTED_VALUE"""),0.0)</f>
        <v>0</v>
      </c>
      <c r="Q17">
        <f>IFERROR(__xludf.DUMMYFUNCTION("""COMPUTED_VALUE"""),0.0)</f>
        <v>0</v>
      </c>
      <c r="R17">
        <f>IFERROR(__xludf.DUMMYFUNCTION("""COMPUTED_VALUE"""),0.0)</f>
        <v>0</v>
      </c>
      <c r="S17">
        <f>IFERROR(__xludf.DUMMYFUNCTION("""COMPUTED_VALUE"""),0.0)</f>
        <v>0</v>
      </c>
      <c r="V17">
        <f>IFERROR(__xludf.DUMMYFUNCTION("""COMPUTED_VALUE"""),0.0)</f>
        <v>0</v>
      </c>
      <c r="W17">
        <f>IFERROR(__xludf.DUMMYFUNCTION("""COMPUTED_VALUE"""),0.0)</f>
        <v>0</v>
      </c>
      <c r="X17">
        <f>IFERROR(__xludf.DUMMYFUNCTION("""COMPUTED_VALUE"""),0.0)</f>
        <v>0</v>
      </c>
    </row>
    <row r="18">
      <c r="A18" t="str">
        <f>IFERROR(__xludf.DUMMYFUNCTION("""COMPUTED_VALUE"""),"Sushi rijst")</f>
        <v>Sushi rijst</v>
      </c>
      <c r="B18">
        <f>IFERROR(__xludf.DUMMYFUNCTION("""COMPUTED_VALUE"""),15.0)</f>
        <v>15</v>
      </c>
      <c r="C18">
        <f>IFERROR(__xludf.DUMMYFUNCTION("""COMPUTED_VALUE"""),15.0)</f>
        <v>15</v>
      </c>
      <c r="D18">
        <f>IFERROR(__xludf.DUMMYFUNCTION("""COMPUTED_VALUE"""),0.0)</f>
        <v>0</v>
      </c>
      <c r="F18" t="str">
        <f>IFERROR(__xludf.DUMMYFUNCTION("""COMPUTED_VALUE"""),"Motueka")</f>
        <v>Motueka</v>
      </c>
      <c r="G18">
        <f>IFERROR(__xludf.DUMMYFUNCTION("""COMPUTED_VALUE"""),2.0)</f>
        <v>2</v>
      </c>
      <c r="H18">
        <f>IFERROR(__xludf.DUMMYFUNCTION("""COMPUTED_VALUE"""),2.0)</f>
        <v>2</v>
      </c>
      <c r="I18">
        <f>IFERROR(__xludf.DUMMYFUNCTION("""COMPUTED_VALUE"""),0.0)</f>
        <v>0</v>
      </c>
      <c r="K18" t="str">
        <f>IFERROR(__xludf.DUMMYFUNCTION("""COMPUTED_VALUE"""),"Kersen")</f>
        <v>Kersen</v>
      </c>
      <c r="L18">
        <f>IFERROR(__xludf.DUMMYFUNCTION("""COMPUTED_VALUE"""),37.0)</f>
        <v>37</v>
      </c>
      <c r="M18">
        <f>IFERROR(__xludf.DUMMYFUNCTION("""COMPUTED_VALUE"""),37.0)</f>
        <v>37</v>
      </c>
      <c r="N18">
        <f>IFERROR(__xludf.DUMMYFUNCTION("""COMPUTED_VALUE"""),0.0)</f>
        <v>0</v>
      </c>
      <c r="Q18">
        <f>IFERROR(__xludf.DUMMYFUNCTION("""COMPUTED_VALUE"""),0.0)</f>
        <v>0</v>
      </c>
      <c r="R18">
        <f>IFERROR(__xludf.DUMMYFUNCTION("""COMPUTED_VALUE"""),0.0)</f>
        <v>0</v>
      </c>
      <c r="S18">
        <f>IFERROR(__xludf.DUMMYFUNCTION("""COMPUTED_VALUE"""),0.0)</f>
        <v>0</v>
      </c>
      <c r="V18">
        <f>IFERROR(__xludf.DUMMYFUNCTION("""COMPUTED_VALUE"""),0.0)</f>
        <v>0</v>
      </c>
      <c r="W18">
        <f>IFERROR(__xludf.DUMMYFUNCTION("""COMPUTED_VALUE"""),0.0)</f>
        <v>0</v>
      </c>
      <c r="X18">
        <f>IFERROR(__xludf.DUMMYFUNCTION("""COMPUTED_VALUE"""),0.0)</f>
        <v>0</v>
      </c>
    </row>
    <row r="19">
      <c r="A19" t="str">
        <f>IFERROR(__xludf.DUMMYFUNCTION("""COMPUTED_VALUE"""),"Spelt")</f>
        <v>Spelt</v>
      </c>
      <c r="B19">
        <f>IFERROR(__xludf.DUMMYFUNCTION("""COMPUTED_VALUE"""),20.0)</f>
        <v>20</v>
      </c>
      <c r="C19">
        <f>IFERROR(__xludf.DUMMYFUNCTION("""COMPUTED_VALUE"""),0.0)</f>
        <v>0</v>
      </c>
      <c r="D19">
        <f>IFERROR(__xludf.DUMMYFUNCTION("""COMPUTED_VALUE"""),20.0)</f>
        <v>20</v>
      </c>
      <c r="F19" t="str">
        <f>IFERROR(__xludf.DUMMYFUNCTION("""COMPUTED_VALUE"""),"Hallertau Cascade")</f>
        <v>Hallertau Cascade</v>
      </c>
      <c r="G19">
        <f>IFERROR(__xludf.DUMMYFUNCTION("""COMPUTED_VALUE"""),1.0)</f>
        <v>1</v>
      </c>
      <c r="H19">
        <f>IFERROR(__xludf.DUMMYFUNCTION("""COMPUTED_VALUE"""),1.0)</f>
        <v>1</v>
      </c>
      <c r="I19">
        <f>IFERROR(__xludf.DUMMYFUNCTION("""COMPUTED_VALUE"""),0.0)</f>
        <v>0</v>
      </c>
      <c r="K19" t="str">
        <f>IFERROR(__xludf.DUMMYFUNCTION("""COMPUTED_VALUE"""),"Tonkabonen")</f>
        <v>Tonkabonen</v>
      </c>
      <c r="L19">
        <f>IFERROR(__xludf.DUMMYFUNCTION("""COMPUTED_VALUE"""),0.1)</f>
        <v>0.1</v>
      </c>
      <c r="M19">
        <f>IFERROR(__xludf.DUMMYFUNCTION("""COMPUTED_VALUE"""),0.07500000000000001)</f>
        <v>0.075</v>
      </c>
      <c r="N19">
        <f>IFERROR(__xludf.DUMMYFUNCTION("""COMPUTED_VALUE"""),0.024999999999999994)</f>
        <v>0.025</v>
      </c>
      <c r="Q19">
        <f>IFERROR(__xludf.DUMMYFUNCTION("""COMPUTED_VALUE"""),0.0)</f>
        <v>0</v>
      </c>
      <c r="R19">
        <f>IFERROR(__xludf.DUMMYFUNCTION("""COMPUTED_VALUE"""),0.0)</f>
        <v>0</v>
      </c>
      <c r="S19">
        <f>IFERROR(__xludf.DUMMYFUNCTION("""COMPUTED_VALUE"""),0.0)</f>
        <v>0</v>
      </c>
      <c r="V19">
        <f>IFERROR(__xludf.DUMMYFUNCTION("""COMPUTED_VALUE"""),0.0)</f>
        <v>0</v>
      </c>
      <c r="W19">
        <f>IFERROR(__xludf.DUMMYFUNCTION("""COMPUTED_VALUE"""),0.0)</f>
        <v>0</v>
      </c>
      <c r="X19">
        <f>IFERROR(__xludf.DUMMYFUNCTION("""COMPUTED_VALUE"""),0.0)</f>
        <v>0</v>
      </c>
    </row>
    <row r="20">
      <c r="A20" t="str">
        <f>IFERROR(__xludf.DUMMYFUNCTION("""COMPUTED_VALUE"""),"rijsthulzen")</f>
        <v>rijsthulzen</v>
      </c>
      <c r="B20">
        <f>IFERROR(__xludf.DUMMYFUNCTION("""COMPUTED_VALUE"""),21.0)</f>
        <v>21</v>
      </c>
      <c r="C20">
        <f>IFERROR(__xludf.DUMMYFUNCTION("""COMPUTED_VALUE"""),14.0)</f>
        <v>14</v>
      </c>
      <c r="D20">
        <f>IFERROR(__xludf.DUMMYFUNCTION("""COMPUTED_VALUE"""),7.0)</f>
        <v>7</v>
      </c>
      <c r="F20" t="str">
        <f>IFERROR(__xludf.DUMMYFUNCTION("""COMPUTED_VALUE"""),"Styrian Kolibri")</f>
        <v>Styrian Kolibri</v>
      </c>
      <c r="G20">
        <f>IFERROR(__xludf.DUMMYFUNCTION("""COMPUTED_VALUE"""),1.0)</f>
        <v>1</v>
      </c>
      <c r="H20">
        <f>IFERROR(__xludf.DUMMYFUNCTION("""COMPUTED_VALUE"""),1.0)</f>
        <v>1</v>
      </c>
      <c r="I20">
        <f>IFERROR(__xludf.DUMMYFUNCTION("""COMPUTED_VALUE"""),0.0)</f>
        <v>0</v>
      </c>
      <c r="K20" t="str">
        <f>IFERROR(__xludf.DUMMYFUNCTION("""COMPUTED_VALUE"""),"Pompelmoesmunt")</f>
        <v>Pompelmoesmunt</v>
      </c>
      <c r="L20">
        <f>IFERROR(__xludf.DUMMYFUNCTION("""COMPUTED_VALUE"""),7.0)</f>
        <v>7</v>
      </c>
      <c r="M20">
        <f>IFERROR(__xludf.DUMMYFUNCTION("""COMPUTED_VALUE"""),7.0)</f>
        <v>7</v>
      </c>
      <c r="N20">
        <f>IFERROR(__xludf.DUMMYFUNCTION("""COMPUTED_VALUE"""),0.0)</f>
        <v>0</v>
      </c>
      <c r="Q20">
        <f>IFERROR(__xludf.DUMMYFUNCTION("""COMPUTED_VALUE"""),0.0)</f>
        <v>0</v>
      </c>
      <c r="R20">
        <f>IFERROR(__xludf.DUMMYFUNCTION("""COMPUTED_VALUE"""),0.0)</f>
        <v>0</v>
      </c>
      <c r="S20">
        <f>IFERROR(__xludf.DUMMYFUNCTION("""COMPUTED_VALUE"""),0.0)</f>
        <v>0</v>
      </c>
      <c r="V20">
        <f>IFERROR(__xludf.DUMMYFUNCTION("""COMPUTED_VALUE"""),0.0)</f>
        <v>0</v>
      </c>
      <c r="W20">
        <f>IFERROR(__xludf.DUMMYFUNCTION("""COMPUTED_VALUE"""),0.0)</f>
        <v>0</v>
      </c>
      <c r="X20">
        <f>IFERROR(__xludf.DUMMYFUNCTION("""COMPUTED_VALUE"""),0.0)</f>
        <v>0</v>
      </c>
    </row>
    <row r="21">
      <c r="A21" t="str">
        <f>IFERROR(__xludf.DUMMYFUNCTION("""COMPUTED_VALUE"""),"Carafa Special")</f>
        <v>Carafa Special</v>
      </c>
      <c r="B21">
        <f>IFERROR(__xludf.DUMMYFUNCTION("""COMPUTED_VALUE"""),5.0)</f>
        <v>5</v>
      </c>
      <c r="C21">
        <f>IFERROR(__xludf.DUMMYFUNCTION("""COMPUTED_VALUE"""),2.5)</f>
        <v>2.5</v>
      </c>
      <c r="D21">
        <f>IFERROR(__xludf.DUMMYFUNCTION("""COMPUTED_VALUE"""),2.5)</f>
        <v>2.5</v>
      </c>
      <c r="F21" t="str">
        <f>IFERROR(__xludf.DUMMYFUNCTION("""COMPUTED_VALUE"""),"Bobek")</f>
        <v>Bobek</v>
      </c>
      <c r="G21">
        <f>IFERROR(__xludf.DUMMYFUNCTION("""COMPUTED_VALUE"""),1.0)</f>
        <v>1</v>
      </c>
      <c r="H21">
        <f>IFERROR(__xludf.DUMMYFUNCTION("""COMPUTED_VALUE"""),1.0)</f>
        <v>1</v>
      </c>
      <c r="I21">
        <f>IFERROR(__xludf.DUMMYFUNCTION("""COMPUTED_VALUE"""),0.0)</f>
        <v>0</v>
      </c>
      <c r="K21" t="str">
        <f>IFERROR(__xludf.DUMMYFUNCTION("""COMPUTED_VALUE"""),"King mints")</f>
        <v>King mints</v>
      </c>
      <c r="L21">
        <f>IFERROR(__xludf.DUMMYFUNCTION("""COMPUTED_VALUE"""),6.0)</f>
        <v>6</v>
      </c>
      <c r="M21">
        <f>IFERROR(__xludf.DUMMYFUNCTION("""COMPUTED_VALUE"""),4.0)</f>
        <v>4</v>
      </c>
      <c r="N21">
        <f>IFERROR(__xludf.DUMMYFUNCTION("""COMPUTED_VALUE"""),2.0)</f>
        <v>2</v>
      </c>
      <c r="Q21">
        <f>IFERROR(__xludf.DUMMYFUNCTION("""COMPUTED_VALUE"""),0.0)</f>
        <v>0</v>
      </c>
      <c r="R21">
        <f>IFERROR(__xludf.DUMMYFUNCTION("""COMPUTED_VALUE"""),0.0)</f>
        <v>0</v>
      </c>
      <c r="S21">
        <f>IFERROR(__xludf.DUMMYFUNCTION("""COMPUTED_VALUE"""),0.0)</f>
        <v>0</v>
      </c>
      <c r="V21">
        <f>IFERROR(__xludf.DUMMYFUNCTION("""COMPUTED_VALUE"""),0.0)</f>
        <v>0</v>
      </c>
      <c r="W21">
        <f>IFERROR(__xludf.DUMMYFUNCTION("""COMPUTED_VALUE"""),0.0)</f>
        <v>0</v>
      </c>
      <c r="X21">
        <f>IFERROR(__xludf.DUMMYFUNCTION("""COMPUTED_VALUE"""),0.0)</f>
        <v>0</v>
      </c>
    </row>
    <row r="22">
      <c r="B22">
        <f>IFERROR(__xludf.DUMMYFUNCTION("""COMPUTED_VALUE"""),0.0)</f>
        <v>0</v>
      </c>
      <c r="C22">
        <f>IFERROR(__xludf.DUMMYFUNCTION("""COMPUTED_VALUE"""),0.0)</f>
        <v>0</v>
      </c>
      <c r="D22">
        <f>IFERROR(__xludf.DUMMYFUNCTION("""COMPUTED_VALUE"""),0.0)</f>
        <v>0</v>
      </c>
      <c r="F22" t="str">
        <f>IFERROR(__xludf.DUMMYFUNCTION("""COMPUTED_VALUE"""),"Talus")</f>
        <v>Talus</v>
      </c>
      <c r="G22">
        <f>IFERROR(__xludf.DUMMYFUNCTION("""COMPUTED_VALUE"""),1.0)</f>
        <v>1</v>
      </c>
      <c r="H22">
        <f>IFERROR(__xludf.DUMMYFUNCTION("""COMPUTED_VALUE"""),1.0)</f>
        <v>1</v>
      </c>
      <c r="I22">
        <f>IFERROR(__xludf.DUMMYFUNCTION("""COMPUTED_VALUE"""),0.0)</f>
        <v>0</v>
      </c>
      <c r="K22" t="str">
        <f>IFERROR(__xludf.DUMMYFUNCTION("""COMPUTED_VALUE"""),"Green Sichuan Pepper")</f>
        <v>Green Sichuan Pepper</v>
      </c>
      <c r="L22">
        <f>IFERROR(__xludf.DUMMYFUNCTION("""COMPUTED_VALUE"""),0.15)</f>
        <v>0.15</v>
      </c>
      <c r="M22">
        <f>IFERROR(__xludf.DUMMYFUNCTION("""COMPUTED_VALUE"""),0.15)</f>
        <v>0.15</v>
      </c>
      <c r="N22">
        <f>IFERROR(__xludf.DUMMYFUNCTION("""COMPUTED_VALUE"""),0.0)</f>
        <v>0</v>
      </c>
      <c r="Q22">
        <f>IFERROR(__xludf.DUMMYFUNCTION("""COMPUTED_VALUE"""),0.0)</f>
        <v>0</v>
      </c>
      <c r="R22">
        <f>IFERROR(__xludf.DUMMYFUNCTION("""COMPUTED_VALUE"""),0.0)</f>
        <v>0</v>
      </c>
      <c r="S22">
        <f>IFERROR(__xludf.DUMMYFUNCTION("""COMPUTED_VALUE"""),0.0)</f>
        <v>0</v>
      </c>
      <c r="V22">
        <f>IFERROR(__xludf.DUMMYFUNCTION("""COMPUTED_VALUE"""),0.0)</f>
        <v>0</v>
      </c>
      <c r="W22">
        <f>IFERROR(__xludf.DUMMYFUNCTION("""COMPUTED_VALUE"""),0.0)</f>
        <v>0</v>
      </c>
      <c r="X22">
        <f>IFERROR(__xludf.DUMMYFUNCTION("""COMPUTED_VALUE"""),0.0)</f>
        <v>0</v>
      </c>
    </row>
    <row r="23">
      <c r="B23">
        <f>IFERROR(__xludf.DUMMYFUNCTION("""COMPUTED_VALUE"""),0.0)</f>
        <v>0</v>
      </c>
      <c r="C23">
        <f>IFERROR(__xludf.DUMMYFUNCTION("""COMPUTED_VALUE"""),0.0)</f>
        <v>0</v>
      </c>
      <c r="D23">
        <f>IFERROR(__xludf.DUMMYFUNCTION("""COMPUTED_VALUE"""),0.0)</f>
        <v>0</v>
      </c>
      <c r="F23" t="str">
        <f>IFERROR(__xludf.DUMMYFUNCTION("""COMPUTED_VALUE"""),"Pacific Jade")</f>
        <v>Pacific Jade</v>
      </c>
      <c r="G23">
        <f>IFERROR(__xludf.DUMMYFUNCTION("""COMPUTED_VALUE"""),1.0)</f>
        <v>1</v>
      </c>
      <c r="H23">
        <f>IFERROR(__xludf.DUMMYFUNCTION("""COMPUTED_VALUE"""),1.0)</f>
        <v>1</v>
      </c>
      <c r="I23">
        <f>IFERROR(__xludf.DUMMYFUNCTION("""COMPUTED_VALUE"""),0.0)</f>
        <v>0</v>
      </c>
      <c r="K23" t="str">
        <f>IFERROR(__xludf.DUMMYFUNCTION("""COMPUTED_VALUE"""),"groene thee")</f>
        <v>groene thee</v>
      </c>
      <c r="L23">
        <f>IFERROR(__xludf.DUMMYFUNCTION("""COMPUTED_VALUE"""),0.5)</f>
        <v>0.5</v>
      </c>
      <c r="M23">
        <f>IFERROR(__xludf.DUMMYFUNCTION("""COMPUTED_VALUE"""),0.5)</f>
        <v>0.5</v>
      </c>
      <c r="N23">
        <f>IFERROR(__xludf.DUMMYFUNCTION("""COMPUTED_VALUE"""),0.0)</f>
        <v>0</v>
      </c>
      <c r="Q23">
        <f>IFERROR(__xludf.DUMMYFUNCTION("""COMPUTED_VALUE"""),0.0)</f>
        <v>0</v>
      </c>
      <c r="R23">
        <f>IFERROR(__xludf.DUMMYFUNCTION("""COMPUTED_VALUE"""),0.0)</f>
        <v>0</v>
      </c>
      <c r="S23">
        <f>IFERROR(__xludf.DUMMYFUNCTION("""COMPUTED_VALUE"""),0.0)</f>
        <v>0</v>
      </c>
      <c r="V23">
        <f>IFERROR(__xludf.DUMMYFUNCTION("""COMPUTED_VALUE"""),0.0)</f>
        <v>0</v>
      </c>
      <c r="W23">
        <f>IFERROR(__xludf.DUMMYFUNCTION("""COMPUTED_VALUE"""),0.0)</f>
        <v>0</v>
      </c>
      <c r="X23">
        <f>IFERROR(__xludf.DUMMYFUNCTION("""COMPUTED_VALUE"""),0.0)</f>
        <v>0</v>
      </c>
    </row>
    <row r="24">
      <c r="B24">
        <f>IFERROR(__xludf.DUMMYFUNCTION("""COMPUTED_VALUE"""),0.0)</f>
        <v>0</v>
      </c>
      <c r="C24">
        <f>IFERROR(__xludf.DUMMYFUNCTION("""COMPUTED_VALUE"""),0.0)</f>
        <v>0</v>
      </c>
      <c r="D24">
        <f>IFERROR(__xludf.DUMMYFUNCTION("""COMPUTED_VALUE"""),0.0)</f>
        <v>0</v>
      </c>
      <c r="F24" t="str">
        <f>IFERROR(__xludf.DUMMYFUNCTION("""COMPUTED_VALUE"""),"Tuinhop")</f>
        <v>Tuinhop</v>
      </c>
      <c r="G24">
        <f>IFERROR(__xludf.DUMMYFUNCTION("""COMPUTED_VALUE"""),4.0)</f>
        <v>4</v>
      </c>
      <c r="H24">
        <f>IFERROR(__xludf.DUMMYFUNCTION("""COMPUTED_VALUE"""),4.0)</f>
        <v>4</v>
      </c>
      <c r="I24">
        <f>IFERROR(__xludf.DUMMYFUNCTION("""COMPUTED_VALUE"""),0.0)</f>
        <v>0</v>
      </c>
      <c r="K24" t="str">
        <f>IFERROR(__xludf.DUMMYFUNCTION("""COMPUTED_VALUE"""),"jasmijn")</f>
        <v>jasmijn</v>
      </c>
      <c r="L24">
        <f>IFERROR(__xludf.DUMMYFUNCTION("""COMPUTED_VALUE"""),0.2)</f>
        <v>0.2</v>
      </c>
      <c r="M24">
        <f>IFERROR(__xludf.DUMMYFUNCTION("""COMPUTED_VALUE"""),0.2)</f>
        <v>0.2</v>
      </c>
      <c r="N24">
        <f>IFERROR(__xludf.DUMMYFUNCTION("""COMPUTED_VALUE"""),0.0)</f>
        <v>0</v>
      </c>
      <c r="Q24">
        <f>IFERROR(__xludf.DUMMYFUNCTION("""COMPUTED_VALUE"""),0.0)</f>
        <v>0</v>
      </c>
      <c r="R24">
        <f>IFERROR(__xludf.DUMMYFUNCTION("""COMPUTED_VALUE"""),0.0)</f>
        <v>0</v>
      </c>
      <c r="S24">
        <f>IFERROR(__xludf.DUMMYFUNCTION("""COMPUTED_VALUE"""),0.0)</f>
        <v>0</v>
      </c>
      <c r="V24">
        <f>IFERROR(__xludf.DUMMYFUNCTION("""COMPUTED_VALUE"""),0.0)</f>
        <v>0</v>
      </c>
      <c r="W24">
        <f>IFERROR(__xludf.DUMMYFUNCTION("""COMPUTED_VALUE"""),0.0)</f>
        <v>0</v>
      </c>
      <c r="X24">
        <f>IFERROR(__xludf.DUMMYFUNCTION("""COMPUTED_VALUE"""),0.0)</f>
        <v>0</v>
      </c>
    </row>
    <row r="25">
      <c r="B25">
        <f>IFERROR(__xludf.DUMMYFUNCTION("""COMPUTED_VALUE"""),0.0)</f>
        <v>0</v>
      </c>
      <c r="C25">
        <f>IFERROR(__xludf.DUMMYFUNCTION("""COMPUTED_VALUE"""),0.0)</f>
        <v>0</v>
      </c>
      <c r="D25">
        <f>IFERROR(__xludf.DUMMYFUNCTION("""COMPUTED_VALUE"""),0.0)</f>
        <v>0</v>
      </c>
      <c r="F25" t="str">
        <f>IFERROR(__xludf.DUMMYFUNCTION("""COMPUTED_VALUE"""),"Ariana")</f>
        <v>Ariana</v>
      </c>
      <c r="G25">
        <f>IFERROR(__xludf.DUMMYFUNCTION("""COMPUTED_VALUE"""),1.0)</f>
        <v>1</v>
      </c>
      <c r="H25">
        <f>IFERROR(__xludf.DUMMYFUNCTION("""COMPUTED_VALUE"""),1.0)</f>
        <v>1</v>
      </c>
      <c r="I25">
        <f>IFERROR(__xludf.DUMMYFUNCTION("""COMPUTED_VALUE"""),0.0)</f>
        <v>0</v>
      </c>
      <c r="K25" t="str">
        <f>IFERROR(__xludf.DUMMYFUNCTION("""COMPUTED_VALUE"""),"Kamillebloemen")</f>
        <v>Kamillebloemen</v>
      </c>
      <c r="L25">
        <f>IFERROR(__xludf.DUMMYFUNCTION("""COMPUTED_VALUE"""),0.0)</f>
        <v>0</v>
      </c>
      <c r="M25">
        <f>IFERROR(__xludf.DUMMYFUNCTION("""COMPUTED_VALUE"""),0.0)</f>
        <v>0</v>
      </c>
      <c r="N25">
        <f>IFERROR(__xludf.DUMMYFUNCTION("""COMPUTED_VALUE"""),0.0)</f>
        <v>0</v>
      </c>
      <c r="Q25">
        <f>IFERROR(__xludf.DUMMYFUNCTION("""COMPUTED_VALUE"""),0.0)</f>
        <v>0</v>
      </c>
      <c r="R25">
        <f>IFERROR(__xludf.DUMMYFUNCTION("""COMPUTED_VALUE"""),0.0)</f>
        <v>0</v>
      </c>
      <c r="S25">
        <f>IFERROR(__xludf.DUMMYFUNCTION("""COMPUTED_VALUE"""),0.0)</f>
        <v>0</v>
      </c>
      <c r="V25">
        <f>IFERROR(__xludf.DUMMYFUNCTION("""COMPUTED_VALUE"""),0.0)</f>
        <v>0</v>
      </c>
      <c r="W25">
        <f>IFERROR(__xludf.DUMMYFUNCTION("""COMPUTED_VALUE"""),0.0)</f>
        <v>0</v>
      </c>
      <c r="X25">
        <f>IFERROR(__xludf.DUMMYFUNCTION("""COMPUTED_VALUE"""),0.0)</f>
        <v>0</v>
      </c>
    </row>
    <row r="26">
      <c r="B26">
        <f>IFERROR(__xludf.DUMMYFUNCTION("""COMPUTED_VALUE"""),0.0)</f>
        <v>0</v>
      </c>
      <c r="C26">
        <f>IFERROR(__xludf.DUMMYFUNCTION("""COMPUTED_VALUE"""),0.0)</f>
        <v>0</v>
      </c>
      <c r="D26">
        <f>IFERROR(__xludf.DUMMYFUNCTION("""COMPUTED_VALUE"""),0.0)</f>
        <v>0</v>
      </c>
      <c r="F26" t="str">
        <f>IFERROR(__xludf.DUMMYFUNCTION("""COMPUTED_VALUE"""),"Tango")</f>
        <v>Tango</v>
      </c>
      <c r="G26">
        <f>IFERROR(__xludf.DUMMYFUNCTION("""COMPUTED_VALUE"""),1.0)</f>
        <v>1</v>
      </c>
      <c r="H26">
        <f>IFERROR(__xludf.DUMMYFUNCTION("""COMPUTED_VALUE"""),1.0)</f>
        <v>1</v>
      </c>
      <c r="I26">
        <f>IFERROR(__xludf.DUMMYFUNCTION("""COMPUTED_VALUE"""),0.0)</f>
        <v>0</v>
      </c>
      <c r="K26" t="str">
        <f>IFERROR(__xludf.DUMMYFUNCTION("""COMPUTED_VALUE"""),"Bloedappelsiensap")</f>
        <v>Bloedappelsiensap</v>
      </c>
      <c r="L26">
        <f>IFERROR(__xludf.DUMMYFUNCTION("""COMPUTED_VALUE"""),12.0)</f>
        <v>12</v>
      </c>
      <c r="M26">
        <f>IFERROR(__xludf.DUMMYFUNCTION("""COMPUTED_VALUE"""),12.0)</f>
        <v>12</v>
      </c>
      <c r="N26">
        <f>IFERROR(__xludf.DUMMYFUNCTION("""COMPUTED_VALUE"""),0.0)</f>
        <v>0</v>
      </c>
      <c r="Q26">
        <f>IFERROR(__xludf.DUMMYFUNCTION("""COMPUTED_VALUE"""),0.0)</f>
        <v>0</v>
      </c>
      <c r="R26">
        <f>IFERROR(__xludf.DUMMYFUNCTION("""COMPUTED_VALUE"""),0.0)</f>
        <v>0</v>
      </c>
      <c r="S26">
        <f>IFERROR(__xludf.DUMMYFUNCTION("""COMPUTED_VALUE"""),0.0)</f>
        <v>0</v>
      </c>
      <c r="V26">
        <f>IFERROR(__xludf.DUMMYFUNCTION("""COMPUTED_VALUE"""),0.0)</f>
        <v>0</v>
      </c>
      <c r="W26">
        <f>IFERROR(__xludf.DUMMYFUNCTION("""COMPUTED_VALUE"""),0.0)</f>
        <v>0</v>
      </c>
      <c r="X26">
        <f>IFERROR(__xludf.DUMMYFUNCTION("""COMPUTED_VALUE"""),0.0)</f>
        <v>0</v>
      </c>
    </row>
    <row r="27">
      <c r="B27">
        <f>IFERROR(__xludf.DUMMYFUNCTION("""COMPUTED_VALUE"""),0.0)</f>
        <v>0</v>
      </c>
      <c r="C27">
        <f>IFERROR(__xludf.DUMMYFUNCTION("""COMPUTED_VALUE"""),0.0)</f>
        <v>0</v>
      </c>
      <c r="D27">
        <f>IFERROR(__xludf.DUMMYFUNCTION("""COMPUTED_VALUE"""),0.0)</f>
        <v>0</v>
      </c>
      <c r="G27">
        <f>IFERROR(__xludf.DUMMYFUNCTION("""COMPUTED_VALUE"""),0.0)</f>
        <v>0</v>
      </c>
      <c r="H27">
        <f>IFERROR(__xludf.DUMMYFUNCTION("""COMPUTED_VALUE"""),0.0)</f>
        <v>0</v>
      </c>
      <c r="I27">
        <f>IFERROR(__xludf.DUMMYFUNCTION("""COMPUTED_VALUE"""),0.0)</f>
        <v>0</v>
      </c>
      <c r="K27" t="str">
        <f>IFERROR(__xludf.DUMMYFUNCTION("""COMPUTED_VALUE"""),"Bloedappelsienen")</f>
        <v>Bloedappelsienen</v>
      </c>
      <c r="L27">
        <f>IFERROR(__xludf.DUMMYFUNCTION("""COMPUTED_VALUE"""),12.0)</f>
        <v>12</v>
      </c>
      <c r="M27">
        <f>IFERROR(__xludf.DUMMYFUNCTION("""COMPUTED_VALUE"""),12.0)</f>
        <v>12</v>
      </c>
      <c r="N27">
        <f>IFERROR(__xludf.DUMMYFUNCTION("""COMPUTED_VALUE"""),0.0)</f>
        <v>0</v>
      </c>
      <c r="Q27">
        <f>IFERROR(__xludf.DUMMYFUNCTION("""COMPUTED_VALUE"""),0.0)</f>
        <v>0</v>
      </c>
      <c r="R27">
        <f>IFERROR(__xludf.DUMMYFUNCTION("""COMPUTED_VALUE"""),0.0)</f>
        <v>0</v>
      </c>
      <c r="S27">
        <f>IFERROR(__xludf.DUMMYFUNCTION("""COMPUTED_VALUE"""),0.0)</f>
        <v>0</v>
      </c>
      <c r="V27">
        <f>IFERROR(__xludf.DUMMYFUNCTION("""COMPUTED_VALUE"""),0.0)</f>
        <v>0</v>
      </c>
      <c r="W27">
        <f>IFERROR(__xludf.DUMMYFUNCTION("""COMPUTED_VALUE"""),0.0)</f>
        <v>0</v>
      </c>
      <c r="X27">
        <f>IFERROR(__xludf.DUMMYFUNCTION("""COMPUTED_VALUE"""),0.0)</f>
        <v>0</v>
      </c>
    </row>
    <row r="28">
      <c r="B28">
        <f>IFERROR(__xludf.DUMMYFUNCTION("""COMPUTED_VALUE"""),0.0)</f>
        <v>0</v>
      </c>
      <c r="C28">
        <f>IFERROR(__xludf.DUMMYFUNCTION("""COMPUTED_VALUE"""),0.0)</f>
        <v>0</v>
      </c>
      <c r="D28">
        <f>IFERROR(__xludf.DUMMYFUNCTION("""COMPUTED_VALUE"""),0.0)</f>
        <v>0</v>
      </c>
      <c r="G28">
        <f>IFERROR(__xludf.DUMMYFUNCTION("""COMPUTED_VALUE"""),0.0)</f>
        <v>0</v>
      </c>
      <c r="H28">
        <f>IFERROR(__xludf.DUMMYFUNCTION("""COMPUTED_VALUE"""),0.0)</f>
        <v>0</v>
      </c>
      <c r="I28">
        <f>IFERROR(__xludf.DUMMYFUNCTION("""COMPUTED_VALUE"""),0.0)</f>
        <v>0</v>
      </c>
      <c r="K28" t="str">
        <f>IFERROR(__xludf.DUMMYFUNCTION("""COMPUTED_VALUE"""),"koffie")</f>
        <v>koffie</v>
      </c>
      <c r="L28">
        <f>IFERROR(__xludf.DUMMYFUNCTION("""COMPUTED_VALUE"""),1.0)</f>
        <v>1</v>
      </c>
      <c r="M28">
        <f>IFERROR(__xludf.DUMMYFUNCTION("""COMPUTED_VALUE"""),1.0)</f>
        <v>1</v>
      </c>
      <c r="N28">
        <f>IFERROR(__xludf.DUMMYFUNCTION("""COMPUTED_VALUE"""),0.0)</f>
        <v>0</v>
      </c>
      <c r="Q28">
        <f>IFERROR(__xludf.DUMMYFUNCTION("""COMPUTED_VALUE"""),0.0)</f>
        <v>0</v>
      </c>
      <c r="R28">
        <f>IFERROR(__xludf.DUMMYFUNCTION("""COMPUTED_VALUE"""),0.0)</f>
        <v>0</v>
      </c>
      <c r="S28">
        <f>IFERROR(__xludf.DUMMYFUNCTION("""COMPUTED_VALUE"""),0.0)</f>
        <v>0</v>
      </c>
      <c r="V28">
        <f>IFERROR(__xludf.DUMMYFUNCTION("""COMPUTED_VALUE"""),0.0)</f>
        <v>0</v>
      </c>
      <c r="W28">
        <f>IFERROR(__xludf.DUMMYFUNCTION("""COMPUTED_VALUE"""),0.0)</f>
        <v>0</v>
      </c>
      <c r="X28">
        <f>IFERROR(__xludf.DUMMYFUNCTION("""COMPUTED_VALUE"""),0.0)</f>
        <v>0</v>
      </c>
    </row>
    <row r="29">
      <c r="B29">
        <f>IFERROR(__xludf.DUMMYFUNCTION("""COMPUTED_VALUE"""),0.0)</f>
        <v>0</v>
      </c>
      <c r="C29">
        <f>IFERROR(__xludf.DUMMYFUNCTION("""COMPUTED_VALUE"""),0.0)</f>
        <v>0</v>
      </c>
      <c r="D29">
        <f>IFERROR(__xludf.DUMMYFUNCTION("""COMPUTED_VALUE"""),0.0)</f>
        <v>0</v>
      </c>
      <c r="G29">
        <f>IFERROR(__xludf.DUMMYFUNCTION("""COMPUTED_VALUE"""),0.0)</f>
        <v>0</v>
      </c>
      <c r="H29">
        <f>IFERROR(__xludf.DUMMYFUNCTION("""COMPUTED_VALUE"""),0.0)</f>
        <v>0</v>
      </c>
      <c r="I29">
        <f>IFERROR(__xludf.DUMMYFUNCTION("""COMPUTED_VALUE"""),0.0)</f>
        <v>0</v>
      </c>
      <c r="K29" t="str">
        <f>IFERROR(__xludf.DUMMYFUNCTION("""COMPUTED_VALUE"""),"vanille")</f>
        <v>vanille</v>
      </c>
      <c r="L29">
        <f>IFERROR(__xludf.DUMMYFUNCTION("""COMPUTED_VALUE"""),0.048)</f>
        <v>0.048</v>
      </c>
      <c r="M29">
        <f>IFERROR(__xludf.DUMMYFUNCTION("""COMPUTED_VALUE"""),0.048)</f>
        <v>0.048</v>
      </c>
      <c r="N29">
        <f>IFERROR(__xludf.DUMMYFUNCTION("""COMPUTED_VALUE"""),0.0)</f>
        <v>0</v>
      </c>
      <c r="Q29">
        <f>IFERROR(__xludf.DUMMYFUNCTION("""COMPUTED_VALUE"""),0.0)</f>
        <v>0</v>
      </c>
      <c r="R29">
        <f>IFERROR(__xludf.DUMMYFUNCTION("""COMPUTED_VALUE"""),0.0)</f>
        <v>0</v>
      </c>
      <c r="S29">
        <f>IFERROR(__xludf.DUMMYFUNCTION("""COMPUTED_VALUE"""),0.0)</f>
        <v>0</v>
      </c>
      <c r="V29">
        <f>IFERROR(__xludf.DUMMYFUNCTION("""COMPUTED_VALUE"""),0.0)</f>
        <v>0</v>
      </c>
      <c r="W29">
        <f>IFERROR(__xludf.DUMMYFUNCTION("""COMPUTED_VALUE"""),0.0)</f>
        <v>0</v>
      </c>
      <c r="X29">
        <f>IFERROR(__xludf.DUMMYFUNCTION("""COMPUTED_VALUE"""),0.0)</f>
        <v>0</v>
      </c>
    </row>
    <row r="30">
      <c r="B30">
        <f>IFERROR(__xludf.DUMMYFUNCTION("""COMPUTED_VALUE"""),0.0)</f>
        <v>0</v>
      </c>
      <c r="C30">
        <f>IFERROR(__xludf.DUMMYFUNCTION("""COMPUTED_VALUE"""),0.0)</f>
        <v>0</v>
      </c>
      <c r="D30">
        <f>IFERROR(__xludf.DUMMYFUNCTION("""COMPUTED_VALUE"""),0.0)</f>
        <v>0</v>
      </c>
      <c r="G30">
        <f>IFERROR(__xludf.DUMMYFUNCTION("""COMPUTED_VALUE"""),0.0)</f>
        <v>0</v>
      </c>
      <c r="H30">
        <f>IFERROR(__xludf.DUMMYFUNCTION("""COMPUTED_VALUE"""),0.0)</f>
        <v>0</v>
      </c>
      <c r="I30">
        <f>IFERROR(__xludf.DUMMYFUNCTION("""COMPUTED_VALUE"""),0.0)</f>
        <v>0</v>
      </c>
      <c r="K30" t="str">
        <f>IFERROR(__xludf.DUMMYFUNCTION("""COMPUTED_VALUE"""),"appelsap")</f>
        <v>appelsap</v>
      </c>
      <c r="L30">
        <f>IFERROR(__xludf.DUMMYFUNCTION("""COMPUTED_VALUE"""),180.0)</f>
        <v>180</v>
      </c>
      <c r="M30">
        <f>IFERROR(__xludf.DUMMYFUNCTION("""COMPUTED_VALUE"""),180.0)</f>
        <v>180</v>
      </c>
      <c r="N30">
        <f>IFERROR(__xludf.DUMMYFUNCTION("""COMPUTED_VALUE"""),0.0)</f>
        <v>0</v>
      </c>
      <c r="Q30">
        <f>IFERROR(__xludf.DUMMYFUNCTION("""COMPUTED_VALUE"""),0.0)</f>
        <v>0</v>
      </c>
      <c r="R30">
        <f>IFERROR(__xludf.DUMMYFUNCTION("""COMPUTED_VALUE"""),0.0)</f>
        <v>0</v>
      </c>
      <c r="S30">
        <f>IFERROR(__xludf.DUMMYFUNCTION("""COMPUTED_VALUE"""),0.0)</f>
        <v>0</v>
      </c>
      <c r="V30">
        <f>IFERROR(__xludf.DUMMYFUNCTION("""COMPUTED_VALUE"""),0.0)</f>
        <v>0</v>
      </c>
      <c r="W30">
        <f>IFERROR(__xludf.DUMMYFUNCTION("""COMPUTED_VALUE"""),0.0)</f>
        <v>0</v>
      </c>
      <c r="X30">
        <f>IFERROR(__xludf.DUMMYFUNCTION("""COMPUTED_VALUE"""),0.0)</f>
        <v>0</v>
      </c>
    </row>
    <row r="31">
      <c r="B31">
        <f>IFERROR(__xludf.DUMMYFUNCTION("""COMPUTED_VALUE"""),0.0)</f>
        <v>0</v>
      </c>
      <c r="C31">
        <f>IFERROR(__xludf.DUMMYFUNCTION("""COMPUTED_VALUE"""),0.0)</f>
        <v>0</v>
      </c>
      <c r="D31">
        <f>IFERROR(__xludf.DUMMYFUNCTION("""COMPUTED_VALUE"""),0.0)</f>
        <v>0</v>
      </c>
      <c r="G31">
        <f>IFERROR(__xludf.DUMMYFUNCTION("""COMPUTED_VALUE"""),0.0)</f>
        <v>0</v>
      </c>
      <c r="H31">
        <f>IFERROR(__xludf.DUMMYFUNCTION("""COMPUTED_VALUE"""),0.0)</f>
        <v>0</v>
      </c>
      <c r="I31">
        <f>IFERROR(__xludf.DUMMYFUNCTION("""COMPUTED_VALUE"""),0.0)</f>
        <v>0</v>
      </c>
      <c r="K31" t="str">
        <f>IFERROR(__xludf.DUMMYFUNCTION("""COMPUTED_VALUE"""),"Gember")</f>
        <v>Gember</v>
      </c>
      <c r="L31">
        <f>IFERROR(__xludf.DUMMYFUNCTION("""COMPUTED_VALUE"""),2.36)</f>
        <v>2.36</v>
      </c>
      <c r="M31">
        <f>IFERROR(__xludf.DUMMYFUNCTION("""COMPUTED_VALUE"""),2.36)</f>
        <v>2.36</v>
      </c>
      <c r="N31">
        <f>IFERROR(__xludf.DUMMYFUNCTION("""COMPUTED_VALUE"""),0.0)</f>
        <v>0</v>
      </c>
      <c r="Q31">
        <f>IFERROR(__xludf.DUMMYFUNCTION("""COMPUTED_VALUE"""),0.0)</f>
        <v>0</v>
      </c>
      <c r="R31">
        <f>IFERROR(__xludf.DUMMYFUNCTION("""COMPUTED_VALUE"""),0.0)</f>
        <v>0</v>
      </c>
      <c r="S31">
        <f>IFERROR(__xludf.DUMMYFUNCTION("""COMPUTED_VALUE"""),0.0)</f>
        <v>0</v>
      </c>
      <c r="V31">
        <f>IFERROR(__xludf.DUMMYFUNCTION("""COMPUTED_VALUE"""),0.0)</f>
        <v>0</v>
      </c>
      <c r="W31">
        <f>IFERROR(__xludf.DUMMYFUNCTION("""COMPUTED_VALUE"""),0.0)</f>
        <v>0</v>
      </c>
      <c r="X31">
        <f>IFERROR(__xludf.DUMMYFUNCTION("""COMPUTED_VALUE"""),0.0)</f>
        <v>0</v>
      </c>
    </row>
    <row r="32">
      <c r="B32">
        <f>IFERROR(__xludf.DUMMYFUNCTION("""COMPUTED_VALUE"""),0.0)</f>
        <v>0</v>
      </c>
      <c r="C32">
        <f>IFERROR(__xludf.DUMMYFUNCTION("""COMPUTED_VALUE"""),0.0)</f>
        <v>0</v>
      </c>
      <c r="D32">
        <f>IFERROR(__xludf.DUMMYFUNCTION("""COMPUTED_VALUE"""),0.0)</f>
        <v>0</v>
      </c>
      <c r="G32">
        <f>IFERROR(__xludf.DUMMYFUNCTION("""COMPUTED_VALUE"""),0.0)</f>
        <v>0</v>
      </c>
      <c r="H32">
        <f>IFERROR(__xludf.DUMMYFUNCTION("""COMPUTED_VALUE"""),0.0)</f>
        <v>0</v>
      </c>
      <c r="I32">
        <f>IFERROR(__xludf.DUMMYFUNCTION("""COMPUTED_VALUE"""),0.0)</f>
        <v>0</v>
      </c>
      <c r="K32" t="str">
        <f>IFERROR(__xludf.DUMMYFUNCTION("""COMPUTED_VALUE"""),"Citroengras")</f>
        <v>Citroengras</v>
      </c>
      <c r="L32">
        <f>IFERROR(__xludf.DUMMYFUNCTION("""COMPUTED_VALUE"""),0.84)</f>
        <v>0.84</v>
      </c>
      <c r="M32">
        <f>IFERROR(__xludf.DUMMYFUNCTION("""COMPUTED_VALUE"""),0.84)</f>
        <v>0.84</v>
      </c>
      <c r="N32">
        <f>IFERROR(__xludf.DUMMYFUNCTION("""COMPUTED_VALUE"""),0.0)</f>
        <v>0</v>
      </c>
      <c r="Q32">
        <f>IFERROR(__xludf.DUMMYFUNCTION("""COMPUTED_VALUE"""),0.0)</f>
        <v>0</v>
      </c>
      <c r="R32">
        <f>IFERROR(__xludf.DUMMYFUNCTION("""COMPUTED_VALUE"""),0.0)</f>
        <v>0</v>
      </c>
      <c r="S32">
        <f>IFERROR(__xludf.DUMMYFUNCTION("""COMPUTED_VALUE"""),0.0)</f>
        <v>0</v>
      </c>
      <c r="V32">
        <f>IFERROR(__xludf.DUMMYFUNCTION("""COMPUTED_VALUE"""),0.0)</f>
        <v>0</v>
      </c>
      <c r="W32">
        <f>IFERROR(__xludf.DUMMYFUNCTION("""COMPUTED_VALUE"""),0.0)</f>
        <v>0</v>
      </c>
      <c r="X32">
        <f>IFERROR(__xludf.DUMMYFUNCTION("""COMPUTED_VALUE"""),0.0)</f>
        <v>0</v>
      </c>
    </row>
    <row r="33">
      <c r="B33">
        <f>IFERROR(__xludf.DUMMYFUNCTION("""COMPUTED_VALUE"""),0.0)</f>
        <v>0</v>
      </c>
      <c r="C33">
        <f>IFERROR(__xludf.DUMMYFUNCTION("""COMPUTED_VALUE"""),0.0)</f>
        <v>0</v>
      </c>
      <c r="D33">
        <f>IFERROR(__xludf.DUMMYFUNCTION("""COMPUTED_VALUE"""),0.0)</f>
        <v>0</v>
      </c>
      <c r="G33">
        <f>IFERROR(__xludf.DUMMYFUNCTION("""COMPUTED_VALUE"""),0.0)</f>
        <v>0</v>
      </c>
      <c r="H33">
        <f>IFERROR(__xludf.DUMMYFUNCTION("""COMPUTED_VALUE"""),0.0)</f>
        <v>0</v>
      </c>
      <c r="I33">
        <f>IFERROR(__xludf.DUMMYFUNCTION("""COMPUTED_VALUE"""),0.0)</f>
        <v>0</v>
      </c>
      <c r="K33" t="str">
        <f>IFERROR(__xludf.DUMMYFUNCTION("""COMPUTED_VALUE"""),"kokosnoot")</f>
        <v>kokosnoot</v>
      </c>
      <c r="L33">
        <f>IFERROR(__xludf.DUMMYFUNCTION("""COMPUTED_VALUE"""),4.0)</f>
        <v>4</v>
      </c>
      <c r="M33">
        <f>IFERROR(__xludf.DUMMYFUNCTION("""COMPUTED_VALUE"""),4.0)</f>
        <v>4</v>
      </c>
      <c r="N33">
        <f>IFERROR(__xludf.DUMMYFUNCTION("""COMPUTED_VALUE"""),0.0)</f>
        <v>0</v>
      </c>
      <c r="Q33">
        <f>IFERROR(__xludf.DUMMYFUNCTION("""COMPUTED_VALUE"""),0.0)</f>
        <v>0</v>
      </c>
      <c r="R33">
        <f>IFERROR(__xludf.DUMMYFUNCTION("""COMPUTED_VALUE"""),0.0)</f>
        <v>0</v>
      </c>
      <c r="S33">
        <f>IFERROR(__xludf.DUMMYFUNCTION("""COMPUTED_VALUE"""),0.0)</f>
        <v>0</v>
      </c>
      <c r="V33">
        <f>IFERROR(__xludf.DUMMYFUNCTION("""COMPUTED_VALUE"""),0.0)</f>
        <v>0</v>
      </c>
      <c r="W33">
        <f>IFERROR(__xludf.DUMMYFUNCTION("""COMPUTED_VALUE"""),0.0)</f>
        <v>0</v>
      </c>
      <c r="X33">
        <f>IFERROR(__xludf.DUMMYFUNCTION("""COMPUTED_VALUE"""),0.0)</f>
        <v>0</v>
      </c>
    </row>
    <row r="34">
      <c r="B34">
        <f>IFERROR(__xludf.DUMMYFUNCTION("""COMPUTED_VALUE"""),0.0)</f>
        <v>0</v>
      </c>
      <c r="C34">
        <f>IFERROR(__xludf.DUMMYFUNCTION("""COMPUTED_VALUE"""),0.0)</f>
        <v>0</v>
      </c>
      <c r="D34">
        <f>IFERROR(__xludf.DUMMYFUNCTION("""COMPUTED_VALUE"""),0.0)</f>
        <v>0</v>
      </c>
      <c r="G34">
        <f>IFERROR(__xludf.DUMMYFUNCTION("""COMPUTED_VALUE"""),0.0)</f>
        <v>0</v>
      </c>
      <c r="H34">
        <f>IFERROR(__xludf.DUMMYFUNCTION("""COMPUTED_VALUE"""),0.0)</f>
        <v>0</v>
      </c>
      <c r="I34">
        <f>IFERROR(__xludf.DUMMYFUNCTION("""COMPUTED_VALUE"""),0.0)</f>
        <v>0</v>
      </c>
      <c r="K34" t="str">
        <f>IFERROR(__xludf.DUMMYFUNCTION("""COMPUTED_VALUE"""),"abrikoos")</f>
        <v>abrikoos</v>
      </c>
      <c r="L34">
        <f>IFERROR(__xludf.DUMMYFUNCTION("""COMPUTED_VALUE"""),40.0)</f>
        <v>40</v>
      </c>
      <c r="M34">
        <f>IFERROR(__xludf.DUMMYFUNCTION("""COMPUTED_VALUE"""),40.0)</f>
        <v>40</v>
      </c>
      <c r="N34">
        <f>IFERROR(__xludf.DUMMYFUNCTION("""COMPUTED_VALUE"""),0.0)</f>
        <v>0</v>
      </c>
      <c r="Q34">
        <f>IFERROR(__xludf.DUMMYFUNCTION("""COMPUTED_VALUE"""),0.0)</f>
        <v>0</v>
      </c>
      <c r="R34">
        <f>IFERROR(__xludf.DUMMYFUNCTION("""COMPUTED_VALUE"""),0.0)</f>
        <v>0</v>
      </c>
      <c r="S34">
        <f>IFERROR(__xludf.DUMMYFUNCTION("""COMPUTED_VALUE"""),0.0)</f>
        <v>0</v>
      </c>
      <c r="V34">
        <f>IFERROR(__xludf.DUMMYFUNCTION("""COMPUTED_VALUE"""),0.0)</f>
        <v>0</v>
      </c>
      <c r="W34">
        <f>IFERROR(__xludf.DUMMYFUNCTION("""COMPUTED_VALUE"""),0.0)</f>
        <v>0</v>
      </c>
      <c r="X34">
        <f>IFERROR(__xludf.DUMMYFUNCTION("""COMPUTED_VALUE"""),0.0)</f>
        <v>0</v>
      </c>
    </row>
    <row r="35">
      <c r="B35">
        <f>IFERROR(__xludf.DUMMYFUNCTION("""COMPUTED_VALUE"""),0.0)</f>
        <v>0</v>
      </c>
      <c r="C35">
        <f>IFERROR(__xludf.DUMMYFUNCTION("""COMPUTED_VALUE"""),0.0)</f>
        <v>0</v>
      </c>
      <c r="D35">
        <f>IFERROR(__xludf.DUMMYFUNCTION("""COMPUTED_VALUE"""),0.0)</f>
        <v>0</v>
      </c>
      <c r="G35">
        <f>IFERROR(__xludf.DUMMYFUNCTION("""COMPUTED_VALUE"""),0.0)</f>
        <v>0</v>
      </c>
      <c r="H35">
        <f>IFERROR(__xludf.DUMMYFUNCTION("""COMPUTED_VALUE"""),0.0)</f>
        <v>0</v>
      </c>
      <c r="I35">
        <f>IFERROR(__xludf.DUMMYFUNCTION("""COMPUTED_VALUE"""),0.0)</f>
        <v>0</v>
      </c>
      <c r="K35" t="str">
        <f>IFERROR(__xludf.DUMMYFUNCTION("""COMPUTED_VALUE"""),"citroen ")</f>
        <v>citroen </v>
      </c>
      <c r="L35">
        <f>IFERROR(__xludf.DUMMYFUNCTION("""COMPUTED_VALUE"""),18.7)</f>
        <v>18.7</v>
      </c>
      <c r="M35">
        <f>IFERROR(__xludf.DUMMYFUNCTION("""COMPUTED_VALUE"""),18.7)</f>
        <v>18.7</v>
      </c>
      <c r="N35">
        <f>IFERROR(__xludf.DUMMYFUNCTION("""COMPUTED_VALUE"""),0.0)</f>
        <v>0</v>
      </c>
      <c r="Q35">
        <f>IFERROR(__xludf.DUMMYFUNCTION("""COMPUTED_VALUE"""),0.0)</f>
        <v>0</v>
      </c>
      <c r="R35">
        <f>IFERROR(__xludf.DUMMYFUNCTION("""COMPUTED_VALUE"""),0.0)</f>
        <v>0</v>
      </c>
      <c r="S35">
        <f>IFERROR(__xludf.DUMMYFUNCTION("""COMPUTED_VALUE"""),0.0)</f>
        <v>0</v>
      </c>
      <c r="V35">
        <f>IFERROR(__xludf.DUMMYFUNCTION("""COMPUTED_VALUE"""),0.0)</f>
        <v>0</v>
      </c>
      <c r="W35">
        <f>IFERROR(__xludf.DUMMYFUNCTION("""COMPUTED_VALUE"""),0.0)</f>
        <v>0</v>
      </c>
      <c r="X35">
        <f>IFERROR(__xludf.DUMMYFUNCTION("""COMPUTED_VALUE"""),0.0)</f>
        <v>0</v>
      </c>
    </row>
    <row r="36">
      <c r="B36">
        <f>IFERROR(__xludf.DUMMYFUNCTION("""COMPUTED_VALUE"""),0.0)</f>
        <v>0</v>
      </c>
      <c r="C36">
        <f>IFERROR(__xludf.DUMMYFUNCTION("""COMPUTED_VALUE"""),0.0)</f>
        <v>0</v>
      </c>
      <c r="D36">
        <f>IFERROR(__xludf.DUMMYFUNCTION("""COMPUTED_VALUE"""),0.0)</f>
        <v>0</v>
      </c>
      <c r="G36">
        <f>IFERROR(__xludf.DUMMYFUNCTION("""COMPUTED_VALUE"""),0.0)</f>
        <v>0</v>
      </c>
      <c r="H36">
        <f>IFERROR(__xludf.DUMMYFUNCTION("""COMPUTED_VALUE"""),0.0)</f>
        <v>0</v>
      </c>
      <c r="I36">
        <f>IFERROR(__xludf.DUMMYFUNCTION("""COMPUTED_VALUE"""),0.0)</f>
        <v>0</v>
      </c>
      <c r="K36" t="str">
        <f>IFERROR(__xludf.DUMMYFUNCTION("""COMPUTED_VALUE"""),"aardbei")</f>
        <v>aardbei</v>
      </c>
      <c r="L36">
        <f>IFERROR(__xludf.DUMMYFUNCTION("""COMPUTED_VALUE"""),50.0)</f>
        <v>50</v>
      </c>
      <c r="M36">
        <f>IFERROR(__xludf.DUMMYFUNCTION("""COMPUTED_VALUE"""),50.0)</f>
        <v>50</v>
      </c>
      <c r="N36">
        <f>IFERROR(__xludf.DUMMYFUNCTION("""COMPUTED_VALUE"""),0.0)</f>
        <v>0</v>
      </c>
      <c r="Q36">
        <f>IFERROR(__xludf.DUMMYFUNCTION("""COMPUTED_VALUE"""),0.0)</f>
        <v>0</v>
      </c>
      <c r="R36">
        <f>IFERROR(__xludf.DUMMYFUNCTION("""COMPUTED_VALUE"""),0.0)</f>
        <v>0</v>
      </c>
      <c r="S36">
        <f>IFERROR(__xludf.DUMMYFUNCTION("""COMPUTED_VALUE"""),0.0)</f>
        <v>0</v>
      </c>
      <c r="V36">
        <f>IFERROR(__xludf.DUMMYFUNCTION("""COMPUTED_VALUE"""),0.0)</f>
        <v>0</v>
      </c>
      <c r="W36">
        <f>IFERROR(__xludf.DUMMYFUNCTION("""COMPUTED_VALUE"""),0.0)</f>
        <v>0</v>
      </c>
      <c r="X36">
        <f>IFERROR(__xludf.DUMMYFUNCTION("""COMPUTED_VALUE"""),0.0)</f>
        <v>0</v>
      </c>
    </row>
    <row r="37">
      <c r="B37">
        <f>IFERROR(__xludf.DUMMYFUNCTION("""COMPUTED_VALUE"""),0.0)</f>
        <v>0</v>
      </c>
      <c r="C37">
        <f>IFERROR(__xludf.DUMMYFUNCTION("""COMPUTED_VALUE"""),0.0)</f>
        <v>0</v>
      </c>
      <c r="D37">
        <f>IFERROR(__xludf.DUMMYFUNCTION("""COMPUTED_VALUE"""),0.0)</f>
        <v>0</v>
      </c>
      <c r="G37">
        <f>IFERROR(__xludf.DUMMYFUNCTION("""COMPUTED_VALUE"""),0.0)</f>
        <v>0</v>
      </c>
      <c r="H37">
        <f>IFERROR(__xludf.DUMMYFUNCTION("""COMPUTED_VALUE"""),0.0)</f>
        <v>0</v>
      </c>
      <c r="I37">
        <f>IFERROR(__xludf.DUMMYFUNCTION("""COMPUTED_VALUE"""),0.0)</f>
        <v>0</v>
      </c>
      <c r="K37" t="str">
        <f>IFERROR(__xludf.DUMMYFUNCTION("""COMPUTED_VALUE"""),"hotsauce")</f>
        <v>hotsauce</v>
      </c>
      <c r="L37">
        <f>IFERROR(__xludf.DUMMYFUNCTION("""COMPUTED_VALUE"""),1.0)</f>
        <v>1</v>
      </c>
      <c r="M37">
        <f>IFERROR(__xludf.DUMMYFUNCTION("""COMPUTED_VALUE"""),1.0)</f>
        <v>1</v>
      </c>
      <c r="N37">
        <f>IFERROR(__xludf.DUMMYFUNCTION("""COMPUTED_VALUE"""),0.0)</f>
        <v>0</v>
      </c>
      <c r="Q37">
        <f>IFERROR(__xludf.DUMMYFUNCTION("""COMPUTED_VALUE"""),0.0)</f>
        <v>0</v>
      </c>
      <c r="R37">
        <f>IFERROR(__xludf.DUMMYFUNCTION("""COMPUTED_VALUE"""),0.0)</f>
        <v>0</v>
      </c>
      <c r="S37">
        <f>IFERROR(__xludf.DUMMYFUNCTION("""COMPUTED_VALUE"""),0.0)</f>
        <v>0</v>
      </c>
      <c r="V37">
        <f>IFERROR(__xludf.DUMMYFUNCTION("""COMPUTED_VALUE"""),0.0)</f>
        <v>0</v>
      </c>
      <c r="W37">
        <f>IFERROR(__xludf.DUMMYFUNCTION("""COMPUTED_VALUE"""),0.0)</f>
        <v>0</v>
      </c>
      <c r="X37">
        <f>IFERROR(__xludf.DUMMYFUNCTION("""COMPUTED_VALUE"""),0.0)</f>
        <v>0</v>
      </c>
    </row>
    <row r="38">
      <c r="B38">
        <f>IFERROR(__xludf.DUMMYFUNCTION("""COMPUTED_VALUE"""),0.0)</f>
        <v>0</v>
      </c>
      <c r="C38">
        <f>IFERROR(__xludf.DUMMYFUNCTION("""COMPUTED_VALUE"""),0.0)</f>
        <v>0</v>
      </c>
      <c r="D38">
        <f>IFERROR(__xludf.DUMMYFUNCTION("""COMPUTED_VALUE"""),0.0)</f>
        <v>0</v>
      </c>
      <c r="G38">
        <f>IFERROR(__xludf.DUMMYFUNCTION("""COMPUTED_VALUE"""),0.0)</f>
        <v>0</v>
      </c>
      <c r="H38">
        <f>IFERROR(__xludf.DUMMYFUNCTION("""COMPUTED_VALUE"""),0.0)</f>
        <v>0</v>
      </c>
      <c r="I38">
        <f>IFERROR(__xludf.DUMMYFUNCTION("""COMPUTED_VALUE"""),0.0)</f>
        <v>0</v>
      </c>
      <c r="K38" t="str">
        <f>IFERROR(__xludf.DUMMYFUNCTION("""COMPUTED_VALUE"""),"#REF!")</f>
        <v>#REF!</v>
      </c>
      <c r="L38">
        <f>IFERROR(__xludf.DUMMYFUNCTION("""COMPUTED_VALUE"""),0.0)</f>
        <v>0</v>
      </c>
      <c r="M38">
        <f>IFERROR(__xludf.DUMMYFUNCTION("""COMPUTED_VALUE"""),0.0)</f>
        <v>0</v>
      </c>
      <c r="N38">
        <f>IFERROR(__xludf.DUMMYFUNCTION("""COMPUTED_VALUE"""),0.0)</f>
        <v>0</v>
      </c>
      <c r="Q38">
        <f>IFERROR(__xludf.DUMMYFUNCTION("""COMPUTED_VALUE"""),0.0)</f>
        <v>0</v>
      </c>
      <c r="R38">
        <f>IFERROR(__xludf.DUMMYFUNCTION("""COMPUTED_VALUE"""),0.0)</f>
        <v>0</v>
      </c>
      <c r="S38">
        <f>IFERROR(__xludf.DUMMYFUNCTION("""COMPUTED_VALUE"""),0.0)</f>
        <v>0</v>
      </c>
      <c r="V38">
        <f>IFERROR(__xludf.DUMMYFUNCTION("""COMPUTED_VALUE"""),0.0)</f>
        <v>0</v>
      </c>
      <c r="W38">
        <f>IFERROR(__xludf.DUMMYFUNCTION("""COMPUTED_VALUE"""),0.0)</f>
        <v>0</v>
      </c>
      <c r="X38">
        <f>IFERROR(__xludf.DUMMYFUNCTION("""COMPUTED_VALUE"""),0.0)</f>
        <v>0</v>
      </c>
    </row>
    <row r="39">
      <c r="B39">
        <f>IFERROR(__xludf.DUMMYFUNCTION("""COMPUTED_VALUE"""),0.0)</f>
        <v>0</v>
      </c>
      <c r="C39">
        <f>IFERROR(__xludf.DUMMYFUNCTION("""COMPUTED_VALUE"""),0.0)</f>
        <v>0</v>
      </c>
      <c r="D39">
        <f>IFERROR(__xludf.DUMMYFUNCTION("""COMPUTED_VALUE"""),0.0)</f>
        <v>0</v>
      </c>
      <c r="G39">
        <f>IFERROR(__xludf.DUMMYFUNCTION("""COMPUTED_VALUE"""),0.0)</f>
        <v>0</v>
      </c>
      <c r="H39">
        <f>IFERROR(__xludf.DUMMYFUNCTION("""COMPUTED_VALUE"""),0.0)</f>
        <v>0</v>
      </c>
      <c r="I39">
        <f>IFERROR(__xludf.DUMMYFUNCTION("""COMPUTED_VALUE"""),0.0)</f>
        <v>0</v>
      </c>
      <c r="K39" t="str">
        <f>IFERROR(__xludf.DUMMYFUNCTION("""COMPUTED_VALUE"""),"#REF!")</f>
        <v>#REF!</v>
      </c>
      <c r="L39">
        <f>IFERROR(__xludf.DUMMYFUNCTION("""COMPUTED_VALUE"""),0.0)</f>
        <v>0</v>
      </c>
      <c r="M39">
        <f>IFERROR(__xludf.DUMMYFUNCTION("""COMPUTED_VALUE"""),0.0)</f>
        <v>0</v>
      </c>
      <c r="N39">
        <f>IFERROR(__xludf.DUMMYFUNCTION("""COMPUTED_VALUE"""),0.0)</f>
        <v>0</v>
      </c>
      <c r="Q39">
        <f>IFERROR(__xludf.DUMMYFUNCTION("""COMPUTED_VALUE"""),0.0)</f>
        <v>0</v>
      </c>
      <c r="R39">
        <f>IFERROR(__xludf.DUMMYFUNCTION("""COMPUTED_VALUE"""),0.0)</f>
        <v>0</v>
      </c>
      <c r="S39">
        <f>IFERROR(__xludf.DUMMYFUNCTION("""COMPUTED_VALUE"""),0.0)</f>
        <v>0</v>
      </c>
      <c r="V39">
        <f>IFERROR(__xludf.DUMMYFUNCTION("""COMPUTED_VALUE"""),0.0)</f>
        <v>0</v>
      </c>
      <c r="W39">
        <f>IFERROR(__xludf.DUMMYFUNCTION("""COMPUTED_VALUE"""),0.0)</f>
        <v>0</v>
      </c>
      <c r="X39">
        <f>IFERROR(__xludf.DUMMYFUNCTION("""COMPUTED_VALUE"""),0.0)</f>
        <v>0</v>
      </c>
    </row>
    <row r="40">
      <c r="B40">
        <f>IFERROR(__xludf.DUMMYFUNCTION("""COMPUTED_VALUE"""),0.0)</f>
        <v>0</v>
      </c>
      <c r="C40">
        <f>IFERROR(__xludf.DUMMYFUNCTION("""COMPUTED_VALUE"""),0.0)</f>
        <v>0</v>
      </c>
      <c r="D40">
        <f>IFERROR(__xludf.DUMMYFUNCTION("""COMPUTED_VALUE"""),0.0)</f>
        <v>0</v>
      </c>
      <c r="G40">
        <f>IFERROR(__xludf.DUMMYFUNCTION("""COMPUTED_VALUE"""),0.0)</f>
        <v>0</v>
      </c>
      <c r="H40">
        <f>IFERROR(__xludf.DUMMYFUNCTION("""COMPUTED_VALUE"""),0.0)</f>
        <v>0</v>
      </c>
      <c r="I40">
        <f>IFERROR(__xludf.DUMMYFUNCTION("""COMPUTED_VALUE"""),0.0)</f>
        <v>0</v>
      </c>
      <c r="K40" t="str">
        <f>IFERROR(__xludf.DUMMYFUNCTION("""COMPUTED_VALUE"""),"#REF!")</f>
        <v>#REF!</v>
      </c>
      <c r="L40">
        <f>IFERROR(__xludf.DUMMYFUNCTION("""COMPUTED_VALUE"""),0.0)</f>
        <v>0</v>
      </c>
      <c r="M40">
        <f>IFERROR(__xludf.DUMMYFUNCTION("""COMPUTED_VALUE"""),0.0)</f>
        <v>0</v>
      </c>
      <c r="N40">
        <f>IFERROR(__xludf.DUMMYFUNCTION("""COMPUTED_VALUE"""),0.0)</f>
        <v>0</v>
      </c>
      <c r="Q40">
        <f>IFERROR(__xludf.DUMMYFUNCTION("""COMPUTED_VALUE"""),0.0)</f>
        <v>0</v>
      </c>
      <c r="R40">
        <f>IFERROR(__xludf.DUMMYFUNCTION("""COMPUTED_VALUE"""),0.0)</f>
        <v>0</v>
      </c>
      <c r="S40">
        <f>IFERROR(__xludf.DUMMYFUNCTION("""COMPUTED_VALUE"""),0.0)</f>
        <v>0</v>
      </c>
      <c r="V40">
        <f>IFERROR(__xludf.DUMMYFUNCTION("""COMPUTED_VALUE"""),0.0)</f>
        <v>0</v>
      </c>
      <c r="W40">
        <f>IFERROR(__xludf.DUMMYFUNCTION("""COMPUTED_VALUE"""),0.0)</f>
        <v>0</v>
      </c>
      <c r="X40">
        <f>IFERROR(__xludf.DUMMYFUNCTION("""COMPUTED_VALUE"""),0.0)</f>
        <v>0</v>
      </c>
    </row>
    <row r="41">
      <c r="B41">
        <f>IFERROR(__xludf.DUMMYFUNCTION("""COMPUTED_VALUE"""),0.0)</f>
        <v>0</v>
      </c>
      <c r="C41">
        <f>IFERROR(__xludf.DUMMYFUNCTION("""COMPUTED_VALUE"""),0.0)</f>
        <v>0</v>
      </c>
      <c r="D41">
        <f>IFERROR(__xludf.DUMMYFUNCTION("""COMPUTED_VALUE"""),0.0)</f>
        <v>0</v>
      </c>
      <c r="G41">
        <f>IFERROR(__xludf.DUMMYFUNCTION("""COMPUTED_VALUE"""),0.0)</f>
        <v>0</v>
      </c>
      <c r="H41">
        <f>IFERROR(__xludf.DUMMYFUNCTION("""COMPUTED_VALUE"""),0.0)</f>
        <v>0</v>
      </c>
      <c r="I41">
        <f>IFERROR(__xludf.DUMMYFUNCTION("""COMPUTED_VALUE"""),0.0)</f>
        <v>0</v>
      </c>
      <c r="K41" t="str">
        <f>IFERROR(__xludf.DUMMYFUNCTION("""COMPUTED_VALUE"""),"Pardijszaad")</f>
        <v>Pardijszaad</v>
      </c>
      <c r="L41">
        <f>IFERROR(__xludf.DUMMYFUNCTION("""COMPUTED_VALUE"""),0.075)</f>
        <v>0.075</v>
      </c>
      <c r="M41">
        <f>IFERROR(__xludf.DUMMYFUNCTION("""COMPUTED_VALUE"""),0.0)</f>
        <v>0</v>
      </c>
      <c r="N41">
        <f>IFERROR(__xludf.DUMMYFUNCTION("""COMPUTED_VALUE"""),0.075)</f>
        <v>0.075</v>
      </c>
      <c r="Q41">
        <f>IFERROR(__xludf.DUMMYFUNCTION("""COMPUTED_VALUE"""),0.0)</f>
        <v>0</v>
      </c>
      <c r="R41">
        <f>IFERROR(__xludf.DUMMYFUNCTION("""COMPUTED_VALUE"""),0.0)</f>
        <v>0</v>
      </c>
      <c r="S41">
        <f>IFERROR(__xludf.DUMMYFUNCTION("""COMPUTED_VALUE"""),0.0)</f>
        <v>0</v>
      </c>
      <c r="V41">
        <f>IFERROR(__xludf.DUMMYFUNCTION("""COMPUTED_VALUE"""),0.0)</f>
        <v>0</v>
      </c>
      <c r="W41">
        <f>IFERROR(__xludf.DUMMYFUNCTION("""COMPUTED_VALUE"""),0.0)</f>
        <v>0</v>
      </c>
      <c r="X41">
        <f>IFERROR(__xludf.DUMMYFUNCTION("""COMPUTED_VALUE"""),0.0)</f>
        <v>0</v>
      </c>
    </row>
    <row r="42">
      <c r="B42">
        <f>IFERROR(__xludf.DUMMYFUNCTION("""COMPUTED_VALUE"""),0.0)</f>
        <v>0</v>
      </c>
      <c r="C42">
        <f>IFERROR(__xludf.DUMMYFUNCTION("""COMPUTED_VALUE"""),0.0)</f>
        <v>0</v>
      </c>
      <c r="D42">
        <f>IFERROR(__xludf.DUMMYFUNCTION("""COMPUTED_VALUE"""),0.0)</f>
        <v>0</v>
      </c>
      <c r="G42">
        <f>IFERROR(__xludf.DUMMYFUNCTION("""COMPUTED_VALUE"""),0.0)</f>
        <v>0</v>
      </c>
      <c r="H42">
        <f>IFERROR(__xludf.DUMMYFUNCTION("""COMPUTED_VALUE"""),0.0)</f>
        <v>0</v>
      </c>
      <c r="I42">
        <f>IFERROR(__xludf.DUMMYFUNCTION("""COMPUTED_VALUE"""),0.0)</f>
        <v>0</v>
      </c>
      <c r="K42" t="str">
        <f>IFERROR(__xludf.DUMMYFUNCTION("""COMPUTED_VALUE"""),"Timut peper")</f>
        <v>Timut peper</v>
      </c>
      <c r="L42">
        <f>IFERROR(__xludf.DUMMYFUNCTION("""COMPUTED_VALUE"""),0.24)</f>
        <v>0.24</v>
      </c>
      <c r="M42">
        <f>IFERROR(__xludf.DUMMYFUNCTION("""COMPUTED_VALUE"""),0.0)</f>
        <v>0</v>
      </c>
      <c r="N42">
        <f>IFERROR(__xludf.DUMMYFUNCTION("""COMPUTED_VALUE"""),0.24)</f>
        <v>0.24</v>
      </c>
      <c r="Q42">
        <f>IFERROR(__xludf.DUMMYFUNCTION("""COMPUTED_VALUE"""),0.0)</f>
        <v>0</v>
      </c>
      <c r="R42">
        <f>IFERROR(__xludf.DUMMYFUNCTION("""COMPUTED_VALUE"""),0.0)</f>
        <v>0</v>
      </c>
      <c r="S42">
        <f>IFERROR(__xludf.DUMMYFUNCTION("""COMPUTED_VALUE"""),0.0)</f>
        <v>0</v>
      </c>
      <c r="V42">
        <f>IFERROR(__xludf.DUMMYFUNCTION("""COMPUTED_VALUE"""),0.0)</f>
        <v>0</v>
      </c>
      <c r="W42">
        <f>IFERROR(__xludf.DUMMYFUNCTION("""COMPUTED_VALUE"""),0.0)</f>
        <v>0</v>
      </c>
      <c r="X42">
        <f>IFERROR(__xludf.DUMMYFUNCTION("""COMPUTED_VALUE"""),0.0)</f>
        <v>0</v>
      </c>
    </row>
    <row r="43">
      <c r="B43">
        <f>IFERROR(__xludf.DUMMYFUNCTION("""COMPUTED_VALUE"""),0.0)</f>
        <v>0</v>
      </c>
      <c r="C43">
        <f>IFERROR(__xludf.DUMMYFUNCTION("""COMPUTED_VALUE"""),0.0)</f>
        <v>0</v>
      </c>
      <c r="D43">
        <f>IFERROR(__xludf.DUMMYFUNCTION("""COMPUTED_VALUE"""),0.0)</f>
        <v>0</v>
      </c>
      <c r="G43">
        <f>IFERROR(__xludf.DUMMYFUNCTION("""COMPUTED_VALUE"""),0.0)</f>
        <v>0</v>
      </c>
      <c r="H43">
        <f>IFERROR(__xludf.DUMMYFUNCTION("""COMPUTED_VALUE"""),0.0)</f>
        <v>0</v>
      </c>
      <c r="I43">
        <f>IFERROR(__xludf.DUMMYFUNCTION("""COMPUTED_VALUE"""),0.0)</f>
        <v>0</v>
      </c>
      <c r="L43">
        <f>IFERROR(__xludf.DUMMYFUNCTION("""COMPUTED_VALUE"""),0.0)</f>
        <v>0</v>
      </c>
      <c r="M43">
        <f>IFERROR(__xludf.DUMMYFUNCTION("""COMPUTED_VALUE"""),0.0)</f>
        <v>0</v>
      </c>
      <c r="N43">
        <f>IFERROR(__xludf.DUMMYFUNCTION("""COMPUTED_VALUE"""),0.0)</f>
        <v>0</v>
      </c>
      <c r="Q43">
        <f>IFERROR(__xludf.DUMMYFUNCTION("""COMPUTED_VALUE"""),0.0)</f>
        <v>0</v>
      </c>
      <c r="R43">
        <f>IFERROR(__xludf.DUMMYFUNCTION("""COMPUTED_VALUE"""),0.0)</f>
        <v>0</v>
      </c>
      <c r="S43">
        <f>IFERROR(__xludf.DUMMYFUNCTION("""COMPUTED_VALUE"""),0.0)</f>
        <v>0</v>
      </c>
      <c r="V43">
        <f>IFERROR(__xludf.DUMMYFUNCTION("""COMPUTED_VALUE"""),0.0)</f>
        <v>0</v>
      </c>
      <c r="W43">
        <f>IFERROR(__xludf.DUMMYFUNCTION("""COMPUTED_VALUE"""),0.0)</f>
        <v>0</v>
      </c>
      <c r="X43">
        <f>IFERROR(__xludf.DUMMYFUNCTION("""COMPUTED_VALUE"""),0.0)</f>
        <v>0</v>
      </c>
    </row>
    <row r="44">
      <c r="B44">
        <f>IFERROR(__xludf.DUMMYFUNCTION("""COMPUTED_VALUE"""),0.0)</f>
        <v>0</v>
      </c>
      <c r="C44">
        <f>IFERROR(__xludf.DUMMYFUNCTION("""COMPUTED_VALUE"""),0.0)</f>
        <v>0</v>
      </c>
      <c r="D44">
        <f>IFERROR(__xludf.DUMMYFUNCTION("""COMPUTED_VALUE"""),0.0)</f>
        <v>0</v>
      </c>
      <c r="G44">
        <f>IFERROR(__xludf.DUMMYFUNCTION("""COMPUTED_VALUE"""),0.0)</f>
        <v>0</v>
      </c>
      <c r="H44">
        <f>IFERROR(__xludf.DUMMYFUNCTION("""COMPUTED_VALUE"""),0.0)</f>
        <v>0</v>
      </c>
      <c r="I44">
        <f>IFERROR(__xludf.DUMMYFUNCTION("""COMPUTED_VALUE"""),0.0)</f>
        <v>0</v>
      </c>
      <c r="L44">
        <f>IFERROR(__xludf.DUMMYFUNCTION("""COMPUTED_VALUE"""),0.0)</f>
        <v>0</v>
      </c>
      <c r="M44">
        <f>IFERROR(__xludf.DUMMYFUNCTION("""COMPUTED_VALUE"""),0.0)</f>
        <v>0</v>
      </c>
      <c r="N44">
        <f>IFERROR(__xludf.DUMMYFUNCTION("""COMPUTED_VALUE"""),0.0)</f>
        <v>0</v>
      </c>
      <c r="Q44">
        <f>IFERROR(__xludf.DUMMYFUNCTION("""COMPUTED_VALUE"""),0.0)</f>
        <v>0</v>
      </c>
      <c r="R44">
        <f>IFERROR(__xludf.DUMMYFUNCTION("""COMPUTED_VALUE"""),0.0)</f>
        <v>0</v>
      </c>
      <c r="S44">
        <f>IFERROR(__xludf.DUMMYFUNCTION("""COMPUTED_VALUE"""),0.0)</f>
        <v>0</v>
      </c>
      <c r="V44">
        <f>IFERROR(__xludf.DUMMYFUNCTION("""COMPUTED_VALUE"""),0.0)</f>
        <v>0</v>
      </c>
      <c r="W44">
        <f>IFERROR(__xludf.DUMMYFUNCTION("""COMPUTED_VALUE"""),0.0)</f>
        <v>0</v>
      </c>
      <c r="X44">
        <f>IFERROR(__xludf.DUMMYFUNCTION("""COMPUTED_VALUE"""),0.0)</f>
        <v>0</v>
      </c>
    </row>
    <row r="45">
      <c r="B45">
        <f>IFERROR(__xludf.DUMMYFUNCTION("""COMPUTED_VALUE"""),0.0)</f>
        <v>0</v>
      </c>
      <c r="C45">
        <f>IFERROR(__xludf.DUMMYFUNCTION("""COMPUTED_VALUE"""),0.0)</f>
        <v>0</v>
      </c>
      <c r="D45">
        <f>IFERROR(__xludf.DUMMYFUNCTION("""COMPUTED_VALUE"""),0.0)</f>
        <v>0</v>
      </c>
      <c r="G45">
        <f>IFERROR(__xludf.DUMMYFUNCTION("""COMPUTED_VALUE"""),0.0)</f>
        <v>0</v>
      </c>
      <c r="H45">
        <f>IFERROR(__xludf.DUMMYFUNCTION("""COMPUTED_VALUE"""),0.0)</f>
        <v>0</v>
      </c>
      <c r="I45">
        <f>IFERROR(__xludf.DUMMYFUNCTION("""COMPUTED_VALUE"""),0.0)</f>
        <v>0</v>
      </c>
      <c r="L45">
        <f>IFERROR(__xludf.DUMMYFUNCTION("""COMPUTED_VALUE"""),0.0)</f>
        <v>0</v>
      </c>
      <c r="M45">
        <f>IFERROR(__xludf.DUMMYFUNCTION("""COMPUTED_VALUE"""),0.0)</f>
        <v>0</v>
      </c>
      <c r="N45">
        <f>IFERROR(__xludf.DUMMYFUNCTION("""COMPUTED_VALUE"""),0.0)</f>
        <v>0</v>
      </c>
      <c r="Q45">
        <f>IFERROR(__xludf.DUMMYFUNCTION("""COMPUTED_VALUE"""),0.0)</f>
        <v>0</v>
      </c>
      <c r="R45">
        <f>IFERROR(__xludf.DUMMYFUNCTION("""COMPUTED_VALUE"""),0.0)</f>
        <v>0</v>
      </c>
      <c r="S45">
        <f>IFERROR(__xludf.DUMMYFUNCTION("""COMPUTED_VALUE"""),0.0)</f>
        <v>0</v>
      </c>
      <c r="V45">
        <f>IFERROR(__xludf.DUMMYFUNCTION("""COMPUTED_VALUE"""),0.0)</f>
        <v>0</v>
      </c>
      <c r="W45">
        <f>IFERROR(__xludf.DUMMYFUNCTION("""COMPUTED_VALUE"""),0.0)</f>
        <v>0</v>
      </c>
      <c r="X45">
        <f>IFERROR(__xludf.DUMMYFUNCTION("""COMPUTED_VALUE"""),0.0)</f>
        <v>0</v>
      </c>
    </row>
    <row r="46">
      <c r="B46">
        <f>IFERROR(__xludf.DUMMYFUNCTION("""COMPUTED_VALUE"""),0.0)</f>
        <v>0</v>
      </c>
      <c r="C46">
        <f>IFERROR(__xludf.DUMMYFUNCTION("""COMPUTED_VALUE"""),0.0)</f>
        <v>0</v>
      </c>
      <c r="D46">
        <f>IFERROR(__xludf.DUMMYFUNCTION("""COMPUTED_VALUE"""),0.0)</f>
        <v>0</v>
      </c>
      <c r="G46">
        <f>IFERROR(__xludf.DUMMYFUNCTION("""COMPUTED_VALUE"""),0.0)</f>
        <v>0</v>
      </c>
      <c r="H46">
        <f>IFERROR(__xludf.DUMMYFUNCTION("""COMPUTED_VALUE"""),0.0)</f>
        <v>0</v>
      </c>
      <c r="I46">
        <f>IFERROR(__xludf.DUMMYFUNCTION("""COMPUTED_VALUE"""),0.0)</f>
        <v>0</v>
      </c>
      <c r="L46">
        <f>IFERROR(__xludf.DUMMYFUNCTION("""COMPUTED_VALUE"""),0.0)</f>
        <v>0</v>
      </c>
      <c r="M46">
        <f>IFERROR(__xludf.DUMMYFUNCTION("""COMPUTED_VALUE"""),0.0)</f>
        <v>0</v>
      </c>
      <c r="N46">
        <f>IFERROR(__xludf.DUMMYFUNCTION("""COMPUTED_VALUE"""),0.0)</f>
        <v>0</v>
      </c>
      <c r="Q46">
        <f>IFERROR(__xludf.DUMMYFUNCTION("""COMPUTED_VALUE"""),0.0)</f>
        <v>0</v>
      </c>
      <c r="R46">
        <f>IFERROR(__xludf.DUMMYFUNCTION("""COMPUTED_VALUE"""),0.0)</f>
        <v>0</v>
      </c>
      <c r="S46">
        <f>IFERROR(__xludf.DUMMYFUNCTION("""COMPUTED_VALUE"""),0.0)</f>
        <v>0</v>
      </c>
      <c r="V46">
        <f>IFERROR(__xludf.DUMMYFUNCTION("""COMPUTED_VALUE"""),0.0)</f>
        <v>0</v>
      </c>
      <c r="W46">
        <f>IFERROR(__xludf.DUMMYFUNCTION("""COMPUTED_VALUE"""),0.0)</f>
        <v>0</v>
      </c>
      <c r="X46">
        <f>IFERROR(__xludf.DUMMYFUNCTION("""COMPUTED_VALUE"""),0.0)</f>
        <v>0</v>
      </c>
    </row>
    <row r="47">
      <c r="B47">
        <f>IFERROR(__xludf.DUMMYFUNCTION("""COMPUTED_VALUE"""),0.0)</f>
        <v>0</v>
      </c>
      <c r="C47">
        <f>IFERROR(__xludf.DUMMYFUNCTION("""COMPUTED_VALUE"""),0.0)</f>
        <v>0</v>
      </c>
      <c r="D47">
        <f>IFERROR(__xludf.DUMMYFUNCTION("""COMPUTED_VALUE"""),0.0)</f>
        <v>0</v>
      </c>
      <c r="G47">
        <f>IFERROR(__xludf.DUMMYFUNCTION("""COMPUTED_VALUE"""),0.0)</f>
        <v>0</v>
      </c>
      <c r="H47">
        <f>IFERROR(__xludf.DUMMYFUNCTION("""COMPUTED_VALUE"""),0.0)</f>
        <v>0</v>
      </c>
      <c r="I47">
        <f>IFERROR(__xludf.DUMMYFUNCTION("""COMPUTED_VALUE"""),0.0)</f>
        <v>0</v>
      </c>
      <c r="L47">
        <f>IFERROR(__xludf.DUMMYFUNCTION("""COMPUTED_VALUE"""),0.0)</f>
        <v>0</v>
      </c>
      <c r="M47">
        <f>IFERROR(__xludf.DUMMYFUNCTION("""COMPUTED_VALUE"""),0.0)</f>
        <v>0</v>
      </c>
      <c r="N47">
        <f>IFERROR(__xludf.DUMMYFUNCTION("""COMPUTED_VALUE"""),0.0)</f>
        <v>0</v>
      </c>
      <c r="Q47">
        <f>IFERROR(__xludf.DUMMYFUNCTION("""COMPUTED_VALUE"""),0.0)</f>
        <v>0</v>
      </c>
      <c r="R47">
        <f>IFERROR(__xludf.DUMMYFUNCTION("""COMPUTED_VALUE"""),0.0)</f>
        <v>0</v>
      </c>
      <c r="S47">
        <f>IFERROR(__xludf.DUMMYFUNCTION("""COMPUTED_VALUE"""),0.0)</f>
        <v>0</v>
      </c>
      <c r="V47">
        <f>IFERROR(__xludf.DUMMYFUNCTION("""COMPUTED_VALUE"""),0.0)</f>
        <v>0</v>
      </c>
      <c r="W47">
        <f>IFERROR(__xludf.DUMMYFUNCTION("""COMPUTED_VALUE"""),0.0)</f>
        <v>0</v>
      </c>
      <c r="X47">
        <f>IFERROR(__xludf.DUMMYFUNCTION("""COMPUTED_VALUE"""),0.0)</f>
        <v>0</v>
      </c>
    </row>
    <row r="48">
      <c r="B48">
        <f>IFERROR(__xludf.DUMMYFUNCTION("""COMPUTED_VALUE"""),0.0)</f>
        <v>0</v>
      </c>
      <c r="C48">
        <f>IFERROR(__xludf.DUMMYFUNCTION("""COMPUTED_VALUE"""),0.0)</f>
        <v>0</v>
      </c>
      <c r="D48">
        <f>IFERROR(__xludf.DUMMYFUNCTION("""COMPUTED_VALUE"""),0.0)</f>
        <v>0</v>
      </c>
      <c r="G48">
        <f>IFERROR(__xludf.DUMMYFUNCTION("""COMPUTED_VALUE"""),0.0)</f>
        <v>0</v>
      </c>
      <c r="H48">
        <f>IFERROR(__xludf.DUMMYFUNCTION("""COMPUTED_VALUE"""),0.0)</f>
        <v>0</v>
      </c>
      <c r="I48">
        <f>IFERROR(__xludf.DUMMYFUNCTION("""COMPUTED_VALUE"""),0.0)</f>
        <v>0</v>
      </c>
      <c r="L48">
        <f>IFERROR(__xludf.DUMMYFUNCTION("""COMPUTED_VALUE"""),0.0)</f>
        <v>0</v>
      </c>
      <c r="M48">
        <f>IFERROR(__xludf.DUMMYFUNCTION("""COMPUTED_VALUE"""),0.0)</f>
        <v>0</v>
      </c>
      <c r="N48">
        <f>IFERROR(__xludf.DUMMYFUNCTION("""COMPUTED_VALUE"""),0.0)</f>
        <v>0</v>
      </c>
      <c r="Q48">
        <f>IFERROR(__xludf.DUMMYFUNCTION("""COMPUTED_VALUE"""),0.0)</f>
        <v>0</v>
      </c>
      <c r="R48">
        <f>IFERROR(__xludf.DUMMYFUNCTION("""COMPUTED_VALUE"""),0.0)</f>
        <v>0</v>
      </c>
      <c r="S48">
        <f>IFERROR(__xludf.DUMMYFUNCTION("""COMPUTED_VALUE"""),0.0)</f>
        <v>0</v>
      </c>
      <c r="V48">
        <f>IFERROR(__xludf.DUMMYFUNCTION("""COMPUTED_VALUE"""),0.0)</f>
        <v>0</v>
      </c>
      <c r="W48">
        <f>IFERROR(__xludf.DUMMYFUNCTION("""COMPUTED_VALUE"""),0.0)</f>
        <v>0</v>
      </c>
      <c r="X48">
        <f>IFERROR(__xludf.DUMMYFUNCTION("""COMPUTED_VALUE"""),0.0)</f>
        <v>0</v>
      </c>
    </row>
    <row r="49">
      <c r="B49">
        <f>IFERROR(__xludf.DUMMYFUNCTION("""COMPUTED_VALUE"""),0.0)</f>
        <v>0</v>
      </c>
      <c r="C49">
        <f>IFERROR(__xludf.DUMMYFUNCTION("""COMPUTED_VALUE"""),0.0)</f>
        <v>0</v>
      </c>
      <c r="D49">
        <f>IFERROR(__xludf.DUMMYFUNCTION("""COMPUTED_VALUE"""),0.0)</f>
        <v>0</v>
      </c>
      <c r="G49">
        <f>IFERROR(__xludf.DUMMYFUNCTION("""COMPUTED_VALUE"""),0.0)</f>
        <v>0</v>
      </c>
      <c r="H49">
        <f>IFERROR(__xludf.DUMMYFUNCTION("""COMPUTED_VALUE"""),0.0)</f>
        <v>0</v>
      </c>
      <c r="I49">
        <f>IFERROR(__xludf.DUMMYFUNCTION("""COMPUTED_VALUE"""),0.0)</f>
        <v>0</v>
      </c>
      <c r="L49">
        <f>IFERROR(__xludf.DUMMYFUNCTION("""COMPUTED_VALUE"""),0.0)</f>
        <v>0</v>
      </c>
      <c r="M49">
        <f>IFERROR(__xludf.DUMMYFUNCTION("""COMPUTED_VALUE"""),0.0)</f>
        <v>0</v>
      </c>
      <c r="N49">
        <f>IFERROR(__xludf.DUMMYFUNCTION("""COMPUTED_VALUE"""),0.0)</f>
        <v>0</v>
      </c>
      <c r="Q49">
        <f>IFERROR(__xludf.DUMMYFUNCTION("""COMPUTED_VALUE"""),0.0)</f>
        <v>0</v>
      </c>
      <c r="R49">
        <f>IFERROR(__xludf.DUMMYFUNCTION("""COMPUTED_VALUE"""),0.0)</f>
        <v>0</v>
      </c>
      <c r="S49">
        <f>IFERROR(__xludf.DUMMYFUNCTION("""COMPUTED_VALUE"""),0.0)</f>
        <v>0</v>
      </c>
      <c r="V49">
        <f>IFERROR(__xludf.DUMMYFUNCTION("""COMPUTED_VALUE"""),0.0)</f>
        <v>0</v>
      </c>
      <c r="W49">
        <f>IFERROR(__xludf.DUMMYFUNCTION("""COMPUTED_VALUE"""),0.0)</f>
        <v>0</v>
      </c>
      <c r="X49">
        <f>IFERROR(__xludf.DUMMYFUNCTION("""COMPUTED_VALUE"""),0.0)</f>
        <v>0</v>
      </c>
    </row>
    <row r="50">
      <c r="B50">
        <f>IFERROR(__xludf.DUMMYFUNCTION("""COMPUTED_VALUE"""),0.0)</f>
        <v>0</v>
      </c>
      <c r="C50">
        <f>IFERROR(__xludf.DUMMYFUNCTION("""COMPUTED_VALUE"""),0.0)</f>
        <v>0</v>
      </c>
      <c r="D50">
        <f>IFERROR(__xludf.DUMMYFUNCTION("""COMPUTED_VALUE"""),0.0)</f>
        <v>0</v>
      </c>
      <c r="G50">
        <f>IFERROR(__xludf.DUMMYFUNCTION("""COMPUTED_VALUE"""),0.0)</f>
        <v>0</v>
      </c>
      <c r="H50">
        <f>IFERROR(__xludf.DUMMYFUNCTION("""COMPUTED_VALUE"""),0.0)</f>
        <v>0</v>
      </c>
      <c r="I50">
        <f>IFERROR(__xludf.DUMMYFUNCTION("""COMPUTED_VALUE"""),0.0)</f>
        <v>0</v>
      </c>
      <c r="L50">
        <f>IFERROR(__xludf.DUMMYFUNCTION("""COMPUTED_VALUE"""),0.0)</f>
        <v>0</v>
      </c>
      <c r="M50">
        <f>IFERROR(__xludf.DUMMYFUNCTION("""COMPUTED_VALUE"""),0.0)</f>
        <v>0</v>
      </c>
      <c r="N50">
        <f>IFERROR(__xludf.DUMMYFUNCTION("""COMPUTED_VALUE"""),0.0)</f>
        <v>0</v>
      </c>
      <c r="Q50">
        <f>IFERROR(__xludf.DUMMYFUNCTION("""COMPUTED_VALUE"""),0.0)</f>
        <v>0</v>
      </c>
      <c r="R50">
        <f>IFERROR(__xludf.DUMMYFUNCTION("""COMPUTED_VALUE"""),0.0)</f>
        <v>0</v>
      </c>
      <c r="S50">
        <f>IFERROR(__xludf.DUMMYFUNCTION("""COMPUTED_VALUE"""),0.0)</f>
        <v>0</v>
      </c>
      <c r="V50">
        <f>IFERROR(__xludf.DUMMYFUNCTION("""COMPUTED_VALUE"""),0.0)</f>
        <v>0</v>
      </c>
      <c r="W50">
        <f>IFERROR(__xludf.DUMMYFUNCTION("""COMPUTED_VALUE"""),0.0)</f>
        <v>0</v>
      </c>
      <c r="X50">
        <f>IFERROR(__xludf.DUMMYFUNCTION("""COMPUTED_VALUE"""),0.0)</f>
        <v>0</v>
      </c>
    </row>
    <row r="51">
      <c r="B51">
        <f>IFERROR(__xludf.DUMMYFUNCTION("""COMPUTED_VALUE"""),0.0)</f>
        <v>0</v>
      </c>
      <c r="C51">
        <f>IFERROR(__xludf.DUMMYFUNCTION("""COMPUTED_VALUE"""),0.0)</f>
        <v>0</v>
      </c>
      <c r="D51">
        <f>IFERROR(__xludf.DUMMYFUNCTION("""COMPUTED_VALUE"""),0.0)</f>
        <v>0</v>
      </c>
      <c r="G51">
        <f>IFERROR(__xludf.DUMMYFUNCTION("""COMPUTED_VALUE"""),0.0)</f>
        <v>0</v>
      </c>
      <c r="H51">
        <f>IFERROR(__xludf.DUMMYFUNCTION("""COMPUTED_VALUE"""),0.0)</f>
        <v>0</v>
      </c>
      <c r="I51">
        <f>IFERROR(__xludf.DUMMYFUNCTION("""COMPUTED_VALUE"""),0.0)</f>
        <v>0</v>
      </c>
      <c r="L51">
        <f>IFERROR(__xludf.DUMMYFUNCTION("""COMPUTED_VALUE"""),0.0)</f>
        <v>0</v>
      </c>
      <c r="M51">
        <f>IFERROR(__xludf.DUMMYFUNCTION("""COMPUTED_VALUE"""),0.0)</f>
        <v>0</v>
      </c>
      <c r="N51">
        <f>IFERROR(__xludf.DUMMYFUNCTION("""COMPUTED_VALUE"""),0.0)</f>
        <v>0</v>
      </c>
      <c r="Q51">
        <f>IFERROR(__xludf.DUMMYFUNCTION("""COMPUTED_VALUE"""),0.0)</f>
        <v>0</v>
      </c>
      <c r="R51">
        <f>IFERROR(__xludf.DUMMYFUNCTION("""COMPUTED_VALUE"""),0.0)</f>
        <v>0</v>
      </c>
      <c r="S51">
        <f>IFERROR(__xludf.DUMMYFUNCTION("""COMPUTED_VALUE"""),0.0)</f>
        <v>0</v>
      </c>
      <c r="V51">
        <f>IFERROR(__xludf.DUMMYFUNCTION("""COMPUTED_VALUE"""),0.0)</f>
        <v>0</v>
      </c>
      <c r="W51">
        <f>IFERROR(__xludf.DUMMYFUNCTION("""COMPUTED_VALUE"""),0.0)</f>
        <v>0</v>
      </c>
      <c r="X51">
        <f>IFERROR(__xludf.DUMMYFUNCTION("""COMPUTED_VALUE"""),0.0)</f>
        <v>0</v>
      </c>
    </row>
    <row r="52">
      <c r="B52">
        <f>IFERROR(__xludf.DUMMYFUNCTION("""COMPUTED_VALUE"""),0.0)</f>
        <v>0</v>
      </c>
      <c r="C52">
        <f>IFERROR(__xludf.DUMMYFUNCTION("""COMPUTED_VALUE"""),0.0)</f>
        <v>0</v>
      </c>
      <c r="D52">
        <f>IFERROR(__xludf.DUMMYFUNCTION("""COMPUTED_VALUE"""),0.0)</f>
        <v>0</v>
      </c>
      <c r="G52">
        <f>IFERROR(__xludf.DUMMYFUNCTION("""COMPUTED_VALUE"""),0.0)</f>
        <v>0</v>
      </c>
      <c r="H52">
        <f>IFERROR(__xludf.DUMMYFUNCTION("""COMPUTED_VALUE"""),0.0)</f>
        <v>0</v>
      </c>
      <c r="I52">
        <f>IFERROR(__xludf.DUMMYFUNCTION("""COMPUTED_VALUE"""),0.0)</f>
        <v>0</v>
      </c>
      <c r="L52">
        <f>IFERROR(__xludf.DUMMYFUNCTION("""COMPUTED_VALUE"""),0.0)</f>
        <v>0</v>
      </c>
      <c r="M52">
        <f>IFERROR(__xludf.DUMMYFUNCTION("""COMPUTED_VALUE"""),0.0)</f>
        <v>0</v>
      </c>
      <c r="N52">
        <f>IFERROR(__xludf.DUMMYFUNCTION("""COMPUTED_VALUE"""),0.0)</f>
        <v>0</v>
      </c>
      <c r="Q52">
        <f>IFERROR(__xludf.DUMMYFUNCTION("""COMPUTED_VALUE"""),0.0)</f>
        <v>0</v>
      </c>
      <c r="R52">
        <f>IFERROR(__xludf.DUMMYFUNCTION("""COMPUTED_VALUE"""),0.0)</f>
        <v>0</v>
      </c>
      <c r="S52">
        <f>IFERROR(__xludf.DUMMYFUNCTION("""COMPUTED_VALUE"""),0.0)</f>
        <v>0</v>
      </c>
      <c r="V52">
        <f>IFERROR(__xludf.DUMMYFUNCTION("""COMPUTED_VALUE"""),0.0)</f>
        <v>0</v>
      </c>
      <c r="W52">
        <f>IFERROR(__xludf.DUMMYFUNCTION("""COMPUTED_VALUE"""),0.0)</f>
        <v>0</v>
      </c>
      <c r="X52">
        <f>IFERROR(__xludf.DUMMYFUNCTION("""COMPUTED_VALUE"""),0.0)</f>
        <v>0</v>
      </c>
    </row>
    <row r="53">
      <c r="B53">
        <f>IFERROR(__xludf.DUMMYFUNCTION("""COMPUTED_VALUE"""),0.0)</f>
        <v>0</v>
      </c>
      <c r="C53">
        <f>IFERROR(__xludf.DUMMYFUNCTION("""COMPUTED_VALUE"""),0.0)</f>
        <v>0</v>
      </c>
      <c r="D53">
        <f>IFERROR(__xludf.DUMMYFUNCTION("""COMPUTED_VALUE"""),0.0)</f>
        <v>0</v>
      </c>
      <c r="G53">
        <f>IFERROR(__xludf.DUMMYFUNCTION("""COMPUTED_VALUE"""),0.0)</f>
        <v>0</v>
      </c>
      <c r="H53">
        <f>IFERROR(__xludf.DUMMYFUNCTION("""COMPUTED_VALUE"""),0.0)</f>
        <v>0</v>
      </c>
      <c r="I53">
        <f>IFERROR(__xludf.DUMMYFUNCTION("""COMPUTED_VALUE"""),0.0)</f>
        <v>0</v>
      </c>
      <c r="L53">
        <f>IFERROR(__xludf.DUMMYFUNCTION("""COMPUTED_VALUE"""),0.0)</f>
        <v>0</v>
      </c>
      <c r="M53">
        <f>IFERROR(__xludf.DUMMYFUNCTION("""COMPUTED_VALUE"""),0.0)</f>
        <v>0</v>
      </c>
      <c r="N53">
        <f>IFERROR(__xludf.DUMMYFUNCTION("""COMPUTED_VALUE"""),0.0)</f>
        <v>0</v>
      </c>
      <c r="Q53">
        <f>IFERROR(__xludf.DUMMYFUNCTION("""COMPUTED_VALUE"""),0.0)</f>
        <v>0</v>
      </c>
      <c r="R53">
        <f>IFERROR(__xludf.DUMMYFUNCTION("""COMPUTED_VALUE"""),0.0)</f>
        <v>0</v>
      </c>
      <c r="S53">
        <f>IFERROR(__xludf.DUMMYFUNCTION("""COMPUTED_VALUE"""),0.0)</f>
        <v>0</v>
      </c>
      <c r="V53">
        <f>IFERROR(__xludf.DUMMYFUNCTION("""COMPUTED_VALUE"""),0.0)</f>
        <v>0</v>
      </c>
      <c r="W53">
        <f>IFERROR(__xludf.DUMMYFUNCTION("""COMPUTED_VALUE"""),0.0)</f>
        <v>0</v>
      </c>
      <c r="X53">
        <f>IFERROR(__xludf.DUMMYFUNCTION("""COMPUTED_VALUE"""),0.0)</f>
        <v>0</v>
      </c>
    </row>
    <row r="54">
      <c r="B54">
        <f>IFERROR(__xludf.DUMMYFUNCTION("""COMPUTED_VALUE"""),0.0)</f>
        <v>0</v>
      </c>
      <c r="C54">
        <f>IFERROR(__xludf.DUMMYFUNCTION("""COMPUTED_VALUE"""),0.0)</f>
        <v>0</v>
      </c>
      <c r="D54">
        <f>IFERROR(__xludf.DUMMYFUNCTION("""COMPUTED_VALUE"""),0.0)</f>
        <v>0</v>
      </c>
      <c r="G54">
        <f>IFERROR(__xludf.DUMMYFUNCTION("""COMPUTED_VALUE"""),0.0)</f>
        <v>0</v>
      </c>
      <c r="H54">
        <f>IFERROR(__xludf.DUMMYFUNCTION("""COMPUTED_VALUE"""),0.0)</f>
        <v>0</v>
      </c>
      <c r="I54">
        <f>IFERROR(__xludf.DUMMYFUNCTION("""COMPUTED_VALUE"""),0.0)</f>
        <v>0</v>
      </c>
      <c r="L54">
        <f>IFERROR(__xludf.DUMMYFUNCTION("""COMPUTED_VALUE"""),0.0)</f>
        <v>0</v>
      </c>
      <c r="M54">
        <f>IFERROR(__xludf.DUMMYFUNCTION("""COMPUTED_VALUE"""),0.0)</f>
        <v>0</v>
      </c>
      <c r="N54">
        <f>IFERROR(__xludf.DUMMYFUNCTION("""COMPUTED_VALUE"""),0.0)</f>
        <v>0</v>
      </c>
      <c r="Q54">
        <f>IFERROR(__xludf.DUMMYFUNCTION("""COMPUTED_VALUE"""),0.0)</f>
        <v>0</v>
      </c>
      <c r="R54">
        <f>IFERROR(__xludf.DUMMYFUNCTION("""COMPUTED_VALUE"""),0.0)</f>
        <v>0</v>
      </c>
      <c r="S54">
        <f>IFERROR(__xludf.DUMMYFUNCTION("""COMPUTED_VALUE"""),0.0)</f>
        <v>0</v>
      </c>
      <c r="V54">
        <f>IFERROR(__xludf.DUMMYFUNCTION("""COMPUTED_VALUE"""),0.0)</f>
        <v>0</v>
      </c>
      <c r="W54">
        <f>IFERROR(__xludf.DUMMYFUNCTION("""COMPUTED_VALUE"""),0.0)</f>
        <v>0</v>
      </c>
      <c r="X54">
        <f>IFERROR(__xludf.DUMMYFUNCTION("""COMPUTED_VALUE"""),0.0)</f>
        <v>0</v>
      </c>
    </row>
    <row r="55">
      <c r="B55">
        <f>IFERROR(__xludf.DUMMYFUNCTION("""COMPUTED_VALUE"""),0.0)</f>
        <v>0</v>
      </c>
      <c r="C55">
        <f>IFERROR(__xludf.DUMMYFUNCTION("""COMPUTED_VALUE"""),0.0)</f>
        <v>0</v>
      </c>
      <c r="D55">
        <f>IFERROR(__xludf.DUMMYFUNCTION("""COMPUTED_VALUE"""),0.0)</f>
        <v>0</v>
      </c>
      <c r="G55">
        <f>IFERROR(__xludf.DUMMYFUNCTION("""COMPUTED_VALUE"""),0.0)</f>
        <v>0</v>
      </c>
      <c r="H55">
        <f>IFERROR(__xludf.DUMMYFUNCTION("""COMPUTED_VALUE"""),0.0)</f>
        <v>0</v>
      </c>
      <c r="I55">
        <f>IFERROR(__xludf.DUMMYFUNCTION("""COMPUTED_VALUE"""),0.0)</f>
        <v>0</v>
      </c>
      <c r="L55">
        <f>IFERROR(__xludf.DUMMYFUNCTION("""COMPUTED_VALUE"""),0.0)</f>
        <v>0</v>
      </c>
      <c r="M55">
        <f>IFERROR(__xludf.DUMMYFUNCTION("""COMPUTED_VALUE"""),0.0)</f>
        <v>0</v>
      </c>
      <c r="N55">
        <f>IFERROR(__xludf.DUMMYFUNCTION("""COMPUTED_VALUE"""),0.0)</f>
        <v>0</v>
      </c>
      <c r="Q55">
        <f>IFERROR(__xludf.DUMMYFUNCTION("""COMPUTED_VALUE"""),0.0)</f>
        <v>0</v>
      </c>
      <c r="R55">
        <f>IFERROR(__xludf.DUMMYFUNCTION("""COMPUTED_VALUE"""),0.0)</f>
        <v>0</v>
      </c>
      <c r="S55">
        <f>IFERROR(__xludf.DUMMYFUNCTION("""COMPUTED_VALUE"""),0.0)</f>
        <v>0</v>
      </c>
      <c r="V55">
        <f>IFERROR(__xludf.DUMMYFUNCTION("""COMPUTED_VALUE"""),0.0)</f>
        <v>0</v>
      </c>
      <c r="W55">
        <f>IFERROR(__xludf.DUMMYFUNCTION("""COMPUTED_VALUE"""),0.0)</f>
        <v>0</v>
      </c>
      <c r="X55">
        <f>IFERROR(__xludf.DUMMYFUNCTION("""COMPUTED_VALUE"""),0.0)</f>
        <v>0</v>
      </c>
    </row>
    <row r="56">
      <c r="B56">
        <f>IFERROR(__xludf.DUMMYFUNCTION("""COMPUTED_VALUE"""),0.0)</f>
        <v>0</v>
      </c>
      <c r="C56">
        <f>IFERROR(__xludf.DUMMYFUNCTION("""COMPUTED_VALUE"""),0.0)</f>
        <v>0</v>
      </c>
      <c r="D56">
        <f>IFERROR(__xludf.DUMMYFUNCTION("""COMPUTED_VALUE"""),0.0)</f>
        <v>0</v>
      </c>
      <c r="G56">
        <f>IFERROR(__xludf.DUMMYFUNCTION("""COMPUTED_VALUE"""),0.0)</f>
        <v>0</v>
      </c>
      <c r="H56">
        <f>IFERROR(__xludf.DUMMYFUNCTION("""COMPUTED_VALUE"""),0.0)</f>
        <v>0</v>
      </c>
      <c r="I56">
        <f>IFERROR(__xludf.DUMMYFUNCTION("""COMPUTED_VALUE"""),0.0)</f>
        <v>0</v>
      </c>
      <c r="L56">
        <f>IFERROR(__xludf.DUMMYFUNCTION("""COMPUTED_VALUE"""),0.0)</f>
        <v>0</v>
      </c>
      <c r="M56">
        <f>IFERROR(__xludf.DUMMYFUNCTION("""COMPUTED_VALUE"""),0.0)</f>
        <v>0</v>
      </c>
      <c r="N56">
        <f>IFERROR(__xludf.DUMMYFUNCTION("""COMPUTED_VALUE"""),0.0)</f>
        <v>0</v>
      </c>
      <c r="Q56">
        <f>IFERROR(__xludf.DUMMYFUNCTION("""COMPUTED_VALUE"""),0.0)</f>
        <v>0</v>
      </c>
      <c r="R56">
        <f>IFERROR(__xludf.DUMMYFUNCTION("""COMPUTED_VALUE"""),0.0)</f>
        <v>0</v>
      </c>
      <c r="S56">
        <f>IFERROR(__xludf.DUMMYFUNCTION("""COMPUTED_VALUE"""),0.0)</f>
        <v>0</v>
      </c>
      <c r="V56">
        <f>IFERROR(__xludf.DUMMYFUNCTION("""COMPUTED_VALUE"""),0.0)</f>
        <v>0</v>
      </c>
      <c r="W56">
        <f>IFERROR(__xludf.DUMMYFUNCTION("""COMPUTED_VALUE"""),0.0)</f>
        <v>0</v>
      </c>
      <c r="X56">
        <f>IFERROR(__xludf.DUMMYFUNCTION("""COMPUTED_VALUE"""),0.0)</f>
        <v>0</v>
      </c>
    </row>
    <row r="57">
      <c r="B57">
        <f>IFERROR(__xludf.DUMMYFUNCTION("""COMPUTED_VALUE"""),0.0)</f>
        <v>0</v>
      </c>
      <c r="C57">
        <f>IFERROR(__xludf.DUMMYFUNCTION("""COMPUTED_VALUE"""),0.0)</f>
        <v>0</v>
      </c>
      <c r="D57">
        <f>IFERROR(__xludf.DUMMYFUNCTION("""COMPUTED_VALUE"""),0.0)</f>
        <v>0</v>
      </c>
      <c r="G57">
        <f>IFERROR(__xludf.DUMMYFUNCTION("""COMPUTED_VALUE"""),0.0)</f>
        <v>0</v>
      </c>
      <c r="H57">
        <f>IFERROR(__xludf.DUMMYFUNCTION("""COMPUTED_VALUE"""),0.0)</f>
        <v>0</v>
      </c>
      <c r="I57">
        <f>IFERROR(__xludf.DUMMYFUNCTION("""COMPUTED_VALUE"""),0.0)</f>
        <v>0</v>
      </c>
      <c r="L57">
        <f>IFERROR(__xludf.DUMMYFUNCTION("""COMPUTED_VALUE"""),0.0)</f>
        <v>0</v>
      </c>
      <c r="M57">
        <f>IFERROR(__xludf.DUMMYFUNCTION("""COMPUTED_VALUE"""),0.0)</f>
        <v>0</v>
      </c>
      <c r="N57">
        <f>IFERROR(__xludf.DUMMYFUNCTION("""COMPUTED_VALUE"""),0.0)</f>
        <v>0</v>
      </c>
      <c r="Q57">
        <f>IFERROR(__xludf.DUMMYFUNCTION("""COMPUTED_VALUE"""),0.0)</f>
        <v>0</v>
      </c>
      <c r="R57">
        <f>IFERROR(__xludf.DUMMYFUNCTION("""COMPUTED_VALUE"""),0.0)</f>
        <v>0</v>
      </c>
      <c r="S57">
        <f>IFERROR(__xludf.DUMMYFUNCTION("""COMPUTED_VALUE"""),0.0)</f>
        <v>0</v>
      </c>
      <c r="V57">
        <f>IFERROR(__xludf.DUMMYFUNCTION("""COMPUTED_VALUE"""),0.0)</f>
        <v>0</v>
      </c>
      <c r="W57">
        <f>IFERROR(__xludf.DUMMYFUNCTION("""COMPUTED_VALUE"""),0.0)</f>
        <v>0</v>
      </c>
      <c r="X57">
        <f>IFERROR(__xludf.DUMMYFUNCTION("""COMPUTED_VALUE"""),0.0)</f>
        <v>0</v>
      </c>
    </row>
    <row r="58">
      <c r="B58">
        <f>IFERROR(__xludf.DUMMYFUNCTION("""COMPUTED_VALUE"""),0.0)</f>
        <v>0</v>
      </c>
      <c r="C58">
        <f>IFERROR(__xludf.DUMMYFUNCTION("""COMPUTED_VALUE"""),0.0)</f>
        <v>0</v>
      </c>
      <c r="D58">
        <f>IFERROR(__xludf.DUMMYFUNCTION("""COMPUTED_VALUE"""),0.0)</f>
        <v>0</v>
      </c>
      <c r="G58">
        <f>IFERROR(__xludf.DUMMYFUNCTION("""COMPUTED_VALUE"""),0.0)</f>
        <v>0</v>
      </c>
      <c r="H58">
        <f>IFERROR(__xludf.DUMMYFUNCTION("""COMPUTED_VALUE"""),0.0)</f>
        <v>0</v>
      </c>
      <c r="I58">
        <f>IFERROR(__xludf.DUMMYFUNCTION("""COMPUTED_VALUE"""),0.0)</f>
        <v>0</v>
      </c>
      <c r="L58">
        <f>IFERROR(__xludf.DUMMYFUNCTION("""COMPUTED_VALUE"""),0.0)</f>
        <v>0</v>
      </c>
      <c r="M58">
        <f>IFERROR(__xludf.DUMMYFUNCTION("""COMPUTED_VALUE"""),0.0)</f>
        <v>0</v>
      </c>
      <c r="N58">
        <f>IFERROR(__xludf.DUMMYFUNCTION("""COMPUTED_VALUE"""),0.0)</f>
        <v>0</v>
      </c>
      <c r="Q58">
        <f>IFERROR(__xludf.DUMMYFUNCTION("""COMPUTED_VALUE"""),0.0)</f>
        <v>0</v>
      </c>
      <c r="R58">
        <f>IFERROR(__xludf.DUMMYFUNCTION("""COMPUTED_VALUE"""),0.0)</f>
        <v>0</v>
      </c>
      <c r="S58">
        <f>IFERROR(__xludf.DUMMYFUNCTION("""COMPUTED_VALUE"""),0.0)</f>
        <v>0</v>
      </c>
      <c r="V58">
        <f>IFERROR(__xludf.DUMMYFUNCTION("""COMPUTED_VALUE"""),0.0)</f>
        <v>0</v>
      </c>
      <c r="W58">
        <f>IFERROR(__xludf.DUMMYFUNCTION("""COMPUTED_VALUE"""),0.0)</f>
        <v>0</v>
      </c>
      <c r="X58">
        <f>IFERROR(__xludf.DUMMYFUNCTION("""COMPUTED_VALUE"""),0.0)</f>
        <v>0</v>
      </c>
    </row>
    <row r="59">
      <c r="B59">
        <f>IFERROR(__xludf.DUMMYFUNCTION("""COMPUTED_VALUE"""),0.0)</f>
        <v>0</v>
      </c>
      <c r="C59">
        <f>IFERROR(__xludf.DUMMYFUNCTION("""COMPUTED_VALUE"""),0.0)</f>
        <v>0</v>
      </c>
      <c r="D59">
        <f>IFERROR(__xludf.DUMMYFUNCTION("""COMPUTED_VALUE"""),0.0)</f>
        <v>0</v>
      </c>
      <c r="G59">
        <f>IFERROR(__xludf.DUMMYFUNCTION("""COMPUTED_VALUE"""),0.0)</f>
        <v>0</v>
      </c>
      <c r="H59">
        <f>IFERROR(__xludf.DUMMYFUNCTION("""COMPUTED_VALUE"""),0.0)</f>
        <v>0</v>
      </c>
      <c r="I59">
        <f>IFERROR(__xludf.DUMMYFUNCTION("""COMPUTED_VALUE"""),0.0)</f>
        <v>0</v>
      </c>
      <c r="L59">
        <f>IFERROR(__xludf.DUMMYFUNCTION("""COMPUTED_VALUE"""),0.0)</f>
        <v>0</v>
      </c>
      <c r="M59">
        <f>IFERROR(__xludf.DUMMYFUNCTION("""COMPUTED_VALUE"""),0.0)</f>
        <v>0</v>
      </c>
      <c r="N59">
        <f>IFERROR(__xludf.DUMMYFUNCTION("""COMPUTED_VALUE"""),0.0)</f>
        <v>0</v>
      </c>
      <c r="Q59">
        <f>IFERROR(__xludf.DUMMYFUNCTION("""COMPUTED_VALUE"""),0.0)</f>
        <v>0</v>
      </c>
      <c r="R59">
        <f>IFERROR(__xludf.DUMMYFUNCTION("""COMPUTED_VALUE"""),0.0)</f>
        <v>0</v>
      </c>
      <c r="S59">
        <f>IFERROR(__xludf.DUMMYFUNCTION("""COMPUTED_VALUE"""),0.0)</f>
        <v>0</v>
      </c>
      <c r="V59">
        <f>IFERROR(__xludf.DUMMYFUNCTION("""COMPUTED_VALUE"""),0.0)</f>
        <v>0</v>
      </c>
      <c r="W59">
        <f>IFERROR(__xludf.DUMMYFUNCTION("""COMPUTED_VALUE"""),0.0)</f>
        <v>0</v>
      </c>
      <c r="X59">
        <f>IFERROR(__xludf.DUMMYFUNCTION("""COMPUTED_VALUE"""),0.0)</f>
        <v>0</v>
      </c>
    </row>
    <row r="60">
      <c r="B60">
        <f>IFERROR(__xludf.DUMMYFUNCTION("""COMPUTED_VALUE"""),0.0)</f>
        <v>0</v>
      </c>
      <c r="C60">
        <f>IFERROR(__xludf.DUMMYFUNCTION("""COMPUTED_VALUE"""),0.0)</f>
        <v>0</v>
      </c>
      <c r="D60">
        <f>IFERROR(__xludf.DUMMYFUNCTION("""COMPUTED_VALUE"""),0.0)</f>
        <v>0</v>
      </c>
      <c r="G60">
        <f>IFERROR(__xludf.DUMMYFUNCTION("""COMPUTED_VALUE"""),0.0)</f>
        <v>0</v>
      </c>
      <c r="H60">
        <f>IFERROR(__xludf.DUMMYFUNCTION("""COMPUTED_VALUE"""),0.0)</f>
        <v>0</v>
      </c>
      <c r="I60">
        <f>IFERROR(__xludf.DUMMYFUNCTION("""COMPUTED_VALUE"""),0.0)</f>
        <v>0</v>
      </c>
      <c r="L60">
        <f>IFERROR(__xludf.DUMMYFUNCTION("""COMPUTED_VALUE"""),0.0)</f>
        <v>0</v>
      </c>
      <c r="M60">
        <f>IFERROR(__xludf.DUMMYFUNCTION("""COMPUTED_VALUE"""),0.0)</f>
        <v>0</v>
      </c>
      <c r="N60">
        <f>IFERROR(__xludf.DUMMYFUNCTION("""COMPUTED_VALUE"""),0.0)</f>
        <v>0</v>
      </c>
      <c r="Q60">
        <f>IFERROR(__xludf.DUMMYFUNCTION("""COMPUTED_VALUE"""),0.0)</f>
        <v>0</v>
      </c>
      <c r="R60">
        <f>IFERROR(__xludf.DUMMYFUNCTION("""COMPUTED_VALUE"""),0.0)</f>
        <v>0</v>
      </c>
      <c r="S60">
        <f>IFERROR(__xludf.DUMMYFUNCTION("""COMPUTED_VALUE"""),0.0)</f>
        <v>0</v>
      </c>
      <c r="V60">
        <f>IFERROR(__xludf.DUMMYFUNCTION("""COMPUTED_VALUE"""),0.0)</f>
        <v>0</v>
      </c>
      <c r="W60">
        <f>IFERROR(__xludf.DUMMYFUNCTION("""COMPUTED_VALUE"""),0.0)</f>
        <v>0</v>
      </c>
      <c r="X60">
        <f>IFERROR(__xludf.DUMMYFUNCTION("""COMPUTED_VALUE"""),0.0)</f>
        <v>0</v>
      </c>
    </row>
    <row r="61">
      <c r="B61">
        <f>IFERROR(__xludf.DUMMYFUNCTION("""COMPUTED_VALUE"""),0.0)</f>
        <v>0</v>
      </c>
      <c r="C61">
        <f>IFERROR(__xludf.DUMMYFUNCTION("""COMPUTED_VALUE"""),0.0)</f>
        <v>0</v>
      </c>
      <c r="D61">
        <f>IFERROR(__xludf.DUMMYFUNCTION("""COMPUTED_VALUE"""),0.0)</f>
        <v>0</v>
      </c>
      <c r="G61">
        <f>IFERROR(__xludf.DUMMYFUNCTION("""COMPUTED_VALUE"""),0.0)</f>
        <v>0</v>
      </c>
      <c r="H61">
        <f>IFERROR(__xludf.DUMMYFUNCTION("""COMPUTED_VALUE"""),0.0)</f>
        <v>0</v>
      </c>
      <c r="I61">
        <f>IFERROR(__xludf.DUMMYFUNCTION("""COMPUTED_VALUE"""),0.0)</f>
        <v>0</v>
      </c>
      <c r="L61">
        <f>IFERROR(__xludf.DUMMYFUNCTION("""COMPUTED_VALUE"""),0.0)</f>
        <v>0</v>
      </c>
      <c r="M61">
        <f>IFERROR(__xludf.DUMMYFUNCTION("""COMPUTED_VALUE"""),0.0)</f>
        <v>0</v>
      </c>
      <c r="N61">
        <f>IFERROR(__xludf.DUMMYFUNCTION("""COMPUTED_VALUE"""),0.0)</f>
        <v>0</v>
      </c>
      <c r="Q61">
        <f>IFERROR(__xludf.DUMMYFUNCTION("""COMPUTED_VALUE"""),0.0)</f>
        <v>0</v>
      </c>
      <c r="R61">
        <f>IFERROR(__xludf.DUMMYFUNCTION("""COMPUTED_VALUE"""),0.0)</f>
        <v>0</v>
      </c>
      <c r="S61">
        <f>IFERROR(__xludf.DUMMYFUNCTION("""COMPUTED_VALUE"""),0.0)</f>
        <v>0</v>
      </c>
      <c r="V61">
        <f>IFERROR(__xludf.DUMMYFUNCTION("""COMPUTED_VALUE"""),0.0)</f>
        <v>0</v>
      </c>
      <c r="W61">
        <f>IFERROR(__xludf.DUMMYFUNCTION("""COMPUTED_VALUE"""),0.0)</f>
        <v>0</v>
      </c>
      <c r="X61">
        <f>IFERROR(__xludf.DUMMYFUNCTION("""COMPUTED_VALUE"""),0.0)</f>
        <v>0</v>
      </c>
    </row>
    <row r="62">
      <c r="B62">
        <f>IFERROR(__xludf.DUMMYFUNCTION("""COMPUTED_VALUE"""),0.0)</f>
        <v>0</v>
      </c>
      <c r="C62">
        <f>IFERROR(__xludf.DUMMYFUNCTION("""COMPUTED_VALUE"""),0.0)</f>
        <v>0</v>
      </c>
      <c r="D62">
        <f>IFERROR(__xludf.DUMMYFUNCTION("""COMPUTED_VALUE"""),0.0)</f>
        <v>0</v>
      </c>
      <c r="G62">
        <f>IFERROR(__xludf.DUMMYFUNCTION("""COMPUTED_VALUE"""),0.0)</f>
        <v>0</v>
      </c>
      <c r="H62">
        <f>IFERROR(__xludf.DUMMYFUNCTION("""COMPUTED_VALUE"""),0.0)</f>
        <v>0</v>
      </c>
      <c r="I62">
        <f>IFERROR(__xludf.DUMMYFUNCTION("""COMPUTED_VALUE"""),0.0)</f>
        <v>0</v>
      </c>
      <c r="L62">
        <f>IFERROR(__xludf.DUMMYFUNCTION("""COMPUTED_VALUE"""),0.0)</f>
        <v>0</v>
      </c>
      <c r="M62">
        <f>IFERROR(__xludf.DUMMYFUNCTION("""COMPUTED_VALUE"""),0.0)</f>
        <v>0</v>
      </c>
      <c r="N62">
        <f>IFERROR(__xludf.DUMMYFUNCTION("""COMPUTED_VALUE"""),0.0)</f>
        <v>0</v>
      </c>
      <c r="Q62">
        <f>IFERROR(__xludf.DUMMYFUNCTION("""COMPUTED_VALUE"""),0.0)</f>
        <v>0</v>
      </c>
      <c r="R62">
        <f>IFERROR(__xludf.DUMMYFUNCTION("""COMPUTED_VALUE"""),0.0)</f>
        <v>0</v>
      </c>
      <c r="S62">
        <f>IFERROR(__xludf.DUMMYFUNCTION("""COMPUTED_VALUE"""),0.0)</f>
        <v>0</v>
      </c>
      <c r="V62">
        <f>IFERROR(__xludf.DUMMYFUNCTION("""COMPUTED_VALUE"""),0.0)</f>
        <v>0</v>
      </c>
      <c r="W62">
        <f>IFERROR(__xludf.DUMMYFUNCTION("""COMPUTED_VALUE"""),0.0)</f>
        <v>0</v>
      </c>
      <c r="X62">
        <f>IFERROR(__xludf.DUMMYFUNCTION("""COMPUTED_VALUE"""),0.0)</f>
        <v>0</v>
      </c>
    </row>
    <row r="63">
      <c r="B63">
        <f>IFERROR(__xludf.DUMMYFUNCTION("""COMPUTED_VALUE"""),0.0)</f>
        <v>0</v>
      </c>
      <c r="C63">
        <f>IFERROR(__xludf.DUMMYFUNCTION("""COMPUTED_VALUE"""),0.0)</f>
        <v>0</v>
      </c>
      <c r="D63">
        <f>IFERROR(__xludf.DUMMYFUNCTION("""COMPUTED_VALUE"""),0.0)</f>
        <v>0</v>
      </c>
      <c r="G63">
        <f>IFERROR(__xludf.DUMMYFUNCTION("""COMPUTED_VALUE"""),0.0)</f>
        <v>0</v>
      </c>
      <c r="H63">
        <f>IFERROR(__xludf.DUMMYFUNCTION("""COMPUTED_VALUE"""),0.0)</f>
        <v>0</v>
      </c>
      <c r="I63">
        <f>IFERROR(__xludf.DUMMYFUNCTION("""COMPUTED_VALUE"""),0.0)</f>
        <v>0</v>
      </c>
      <c r="L63">
        <f>IFERROR(__xludf.DUMMYFUNCTION("""COMPUTED_VALUE"""),0.0)</f>
        <v>0</v>
      </c>
      <c r="M63">
        <f>IFERROR(__xludf.DUMMYFUNCTION("""COMPUTED_VALUE"""),0.0)</f>
        <v>0</v>
      </c>
      <c r="N63">
        <f>IFERROR(__xludf.DUMMYFUNCTION("""COMPUTED_VALUE"""),0.0)</f>
        <v>0</v>
      </c>
      <c r="Q63">
        <f>IFERROR(__xludf.DUMMYFUNCTION("""COMPUTED_VALUE"""),0.0)</f>
        <v>0</v>
      </c>
      <c r="R63">
        <f>IFERROR(__xludf.DUMMYFUNCTION("""COMPUTED_VALUE"""),0.0)</f>
        <v>0</v>
      </c>
      <c r="S63">
        <f>IFERROR(__xludf.DUMMYFUNCTION("""COMPUTED_VALUE"""),0.0)</f>
        <v>0</v>
      </c>
      <c r="V63">
        <f>IFERROR(__xludf.DUMMYFUNCTION("""COMPUTED_VALUE"""),0.0)</f>
        <v>0</v>
      </c>
      <c r="W63">
        <f>IFERROR(__xludf.DUMMYFUNCTION("""COMPUTED_VALUE"""),0.0)</f>
        <v>0</v>
      </c>
      <c r="X63">
        <f>IFERROR(__xludf.DUMMYFUNCTION("""COMPUTED_VALUE"""),0.0)</f>
        <v>0</v>
      </c>
    </row>
    <row r="64">
      <c r="B64">
        <f>IFERROR(__xludf.DUMMYFUNCTION("""COMPUTED_VALUE"""),0.0)</f>
        <v>0</v>
      </c>
      <c r="C64">
        <f>IFERROR(__xludf.DUMMYFUNCTION("""COMPUTED_VALUE"""),0.0)</f>
        <v>0</v>
      </c>
      <c r="D64">
        <f>IFERROR(__xludf.DUMMYFUNCTION("""COMPUTED_VALUE"""),0.0)</f>
        <v>0</v>
      </c>
      <c r="G64">
        <f>IFERROR(__xludf.DUMMYFUNCTION("""COMPUTED_VALUE"""),0.0)</f>
        <v>0</v>
      </c>
      <c r="H64">
        <f>IFERROR(__xludf.DUMMYFUNCTION("""COMPUTED_VALUE"""),0.0)</f>
        <v>0</v>
      </c>
      <c r="I64">
        <f>IFERROR(__xludf.DUMMYFUNCTION("""COMPUTED_VALUE"""),0.0)</f>
        <v>0</v>
      </c>
      <c r="L64">
        <f>IFERROR(__xludf.DUMMYFUNCTION("""COMPUTED_VALUE"""),0.0)</f>
        <v>0</v>
      </c>
      <c r="M64">
        <f>IFERROR(__xludf.DUMMYFUNCTION("""COMPUTED_VALUE"""),0.0)</f>
        <v>0</v>
      </c>
      <c r="N64">
        <f>IFERROR(__xludf.DUMMYFUNCTION("""COMPUTED_VALUE"""),0.0)</f>
        <v>0</v>
      </c>
      <c r="Q64">
        <f>IFERROR(__xludf.DUMMYFUNCTION("""COMPUTED_VALUE"""),0.0)</f>
        <v>0</v>
      </c>
      <c r="R64">
        <f>IFERROR(__xludf.DUMMYFUNCTION("""COMPUTED_VALUE"""),0.0)</f>
        <v>0</v>
      </c>
      <c r="S64">
        <f>IFERROR(__xludf.DUMMYFUNCTION("""COMPUTED_VALUE"""),0.0)</f>
        <v>0</v>
      </c>
      <c r="V64">
        <f>IFERROR(__xludf.DUMMYFUNCTION("""COMPUTED_VALUE"""),0.0)</f>
        <v>0</v>
      </c>
      <c r="W64">
        <f>IFERROR(__xludf.DUMMYFUNCTION("""COMPUTED_VALUE"""),0.0)</f>
        <v>0</v>
      </c>
      <c r="X64">
        <f>IFERROR(__xludf.DUMMYFUNCTION("""COMPUTED_VALUE"""),0.0)</f>
        <v>0</v>
      </c>
    </row>
    <row r="65">
      <c r="B65">
        <f>IFERROR(__xludf.DUMMYFUNCTION("""COMPUTED_VALUE"""),0.0)</f>
        <v>0</v>
      </c>
      <c r="C65">
        <f>IFERROR(__xludf.DUMMYFUNCTION("""COMPUTED_VALUE"""),0.0)</f>
        <v>0</v>
      </c>
      <c r="D65">
        <f>IFERROR(__xludf.DUMMYFUNCTION("""COMPUTED_VALUE"""),0.0)</f>
        <v>0</v>
      </c>
      <c r="G65">
        <f>IFERROR(__xludf.DUMMYFUNCTION("""COMPUTED_VALUE"""),0.0)</f>
        <v>0</v>
      </c>
      <c r="H65">
        <f>IFERROR(__xludf.DUMMYFUNCTION("""COMPUTED_VALUE"""),0.0)</f>
        <v>0</v>
      </c>
      <c r="I65">
        <f>IFERROR(__xludf.DUMMYFUNCTION("""COMPUTED_VALUE"""),0.0)</f>
        <v>0</v>
      </c>
      <c r="L65">
        <f>IFERROR(__xludf.DUMMYFUNCTION("""COMPUTED_VALUE"""),0.0)</f>
        <v>0</v>
      </c>
      <c r="M65">
        <f>IFERROR(__xludf.DUMMYFUNCTION("""COMPUTED_VALUE"""),0.0)</f>
        <v>0</v>
      </c>
      <c r="N65">
        <f>IFERROR(__xludf.DUMMYFUNCTION("""COMPUTED_VALUE"""),0.0)</f>
        <v>0</v>
      </c>
      <c r="Q65">
        <f>IFERROR(__xludf.DUMMYFUNCTION("""COMPUTED_VALUE"""),0.0)</f>
        <v>0</v>
      </c>
      <c r="R65">
        <f>IFERROR(__xludf.DUMMYFUNCTION("""COMPUTED_VALUE"""),0.0)</f>
        <v>0</v>
      </c>
      <c r="S65">
        <f>IFERROR(__xludf.DUMMYFUNCTION("""COMPUTED_VALUE"""),0.0)</f>
        <v>0</v>
      </c>
      <c r="V65">
        <f>IFERROR(__xludf.DUMMYFUNCTION("""COMPUTED_VALUE"""),0.0)</f>
        <v>0</v>
      </c>
      <c r="W65">
        <f>IFERROR(__xludf.DUMMYFUNCTION("""COMPUTED_VALUE"""),0.0)</f>
        <v>0</v>
      </c>
      <c r="X65">
        <f>IFERROR(__xludf.DUMMYFUNCTION("""COMPUTED_VALUE"""),0.0)</f>
        <v>0</v>
      </c>
    </row>
    <row r="66">
      <c r="B66">
        <f>IFERROR(__xludf.DUMMYFUNCTION("""COMPUTED_VALUE"""),0.0)</f>
        <v>0</v>
      </c>
      <c r="C66">
        <f>IFERROR(__xludf.DUMMYFUNCTION("""COMPUTED_VALUE"""),0.0)</f>
        <v>0</v>
      </c>
      <c r="D66">
        <f>IFERROR(__xludf.DUMMYFUNCTION("""COMPUTED_VALUE"""),0.0)</f>
        <v>0</v>
      </c>
      <c r="G66">
        <f>IFERROR(__xludf.DUMMYFUNCTION("""COMPUTED_VALUE"""),0.0)</f>
        <v>0</v>
      </c>
      <c r="H66">
        <f>IFERROR(__xludf.DUMMYFUNCTION("""COMPUTED_VALUE"""),0.0)</f>
        <v>0</v>
      </c>
      <c r="I66">
        <f>IFERROR(__xludf.DUMMYFUNCTION("""COMPUTED_VALUE"""),0.0)</f>
        <v>0</v>
      </c>
      <c r="L66">
        <f>IFERROR(__xludf.DUMMYFUNCTION("""COMPUTED_VALUE"""),0.0)</f>
        <v>0</v>
      </c>
      <c r="M66">
        <f>IFERROR(__xludf.DUMMYFUNCTION("""COMPUTED_VALUE"""),0.0)</f>
        <v>0</v>
      </c>
      <c r="N66">
        <f>IFERROR(__xludf.DUMMYFUNCTION("""COMPUTED_VALUE"""),0.0)</f>
        <v>0</v>
      </c>
      <c r="Q66">
        <f>IFERROR(__xludf.DUMMYFUNCTION("""COMPUTED_VALUE"""),0.0)</f>
        <v>0</v>
      </c>
      <c r="R66">
        <f>IFERROR(__xludf.DUMMYFUNCTION("""COMPUTED_VALUE"""),0.0)</f>
        <v>0</v>
      </c>
      <c r="S66">
        <f>IFERROR(__xludf.DUMMYFUNCTION("""COMPUTED_VALUE"""),0.0)</f>
        <v>0</v>
      </c>
      <c r="V66">
        <f>IFERROR(__xludf.DUMMYFUNCTION("""COMPUTED_VALUE"""),0.0)</f>
        <v>0</v>
      </c>
      <c r="W66">
        <f>IFERROR(__xludf.DUMMYFUNCTION("""COMPUTED_VALUE"""),0.0)</f>
        <v>0</v>
      </c>
      <c r="X66">
        <f>IFERROR(__xludf.DUMMYFUNCTION("""COMPUTED_VALUE"""),0.0)</f>
        <v>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14"/>
    <col customWidth="1" min="2" max="2" width="14.57"/>
    <col customWidth="1" min="3" max="3" width="5.43"/>
    <col customWidth="1" min="4" max="4" width="20.57"/>
    <col customWidth="1" min="5" max="5" width="13.57"/>
    <col customWidth="1" min="6" max="6" width="15.57"/>
    <col customWidth="1" min="7" max="7" width="8.71"/>
    <col customWidth="1" min="8" max="8" width="11.86"/>
    <col customWidth="1" min="9" max="9" width="16.43"/>
    <col customWidth="1" min="10" max="10" width="17.14"/>
    <col customWidth="1" min="11" max="11" width="12.43"/>
    <col customWidth="1" min="12" max="25" width="8.71"/>
  </cols>
  <sheetData>
    <row r="1">
      <c r="A1" s="68" t="s">
        <v>151</v>
      </c>
      <c r="B1" s="26"/>
      <c r="C1" s="26"/>
      <c r="D1" s="68" t="s">
        <v>152</v>
      </c>
      <c r="E1" s="26"/>
      <c r="F1" s="230"/>
      <c r="H1" s="231"/>
      <c r="I1" s="231"/>
      <c r="J1" s="231"/>
      <c r="K1" s="231"/>
      <c r="L1" s="231"/>
      <c r="O1" s="232"/>
    </row>
    <row r="2">
      <c r="A2" s="23" t="s">
        <v>153</v>
      </c>
      <c r="D2" s="233" t="s">
        <v>154</v>
      </c>
      <c r="E2" s="209">
        <v>3.78541</v>
      </c>
      <c r="F2" s="234"/>
      <c r="O2" s="235"/>
      <c r="P2" s="235"/>
      <c r="Q2" s="235"/>
      <c r="R2" s="232"/>
    </row>
    <row r="3">
      <c r="A3" s="23" t="s">
        <v>155</v>
      </c>
      <c r="D3" s="233" t="s">
        <v>156</v>
      </c>
      <c r="E3" s="209">
        <v>0.45359237</v>
      </c>
      <c r="F3" s="234"/>
      <c r="I3" s="26"/>
      <c r="J3" s="26"/>
      <c r="O3" s="235"/>
      <c r="P3" s="235"/>
      <c r="Q3" s="235"/>
      <c r="R3" s="232"/>
    </row>
    <row r="4">
      <c r="A4" s="23" t="s">
        <v>157</v>
      </c>
      <c r="D4" s="233" t="s">
        <v>158</v>
      </c>
      <c r="E4" s="209">
        <v>0.03527396</v>
      </c>
      <c r="F4" s="234"/>
      <c r="H4" s="25"/>
      <c r="I4" s="230"/>
      <c r="J4" s="236"/>
      <c r="K4" s="236"/>
      <c r="L4" s="236"/>
      <c r="O4" s="235"/>
      <c r="P4" s="232"/>
      <c r="Q4" s="235"/>
      <c r="R4" s="232"/>
    </row>
    <row r="5">
      <c r="A5" s="23" t="s">
        <v>60</v>
      </c>
      <c r="D5" s="236"/>
      <c r="E5" s="231"/>
      <c r="F5" s="234"/>
      <c r="H5" s="236"/>
      <c r="I5" s="236"/>
      <c r="J5" s="236"/>
      <c r="K5" s="236"/>
      <c r="L5" s="236"/>
      <c r="O5" s="235"/>
      <c r="P5" s="232"/>
      <c r="Q5" s="235"/>
      <c r="R5" s="232"/>
    </row>
    <row r="6">
      <c r="A6" s="23" t="s">
        <v>159</v>
      </c>
      <c r="D6" s="236"/>
      <c r="E6" s="231"/>
      <c r="F6" s="234"/>
      <c r="H6" s="236"/>
      <c r="I6" s="236"/>
      <c r="J6" s="236"/>
      <c r="K6" s="236"/>
      <c r="L6" s="236"/>
      <c r="O6" s="235"/>
      <c r="P6" s="232"/>
      <c r="Q6" s="235"/>
      <c r="R6" s="232"/>
    </row>
    <row r="7">
      <c r="A7" s="23" t="s">
        <v>61</v>
      </c>
      <c r="D7" s="236"/>
      <c r="E7" s="231"/>
      <c r="F7" s="234"/>
      <c r="H7" s="236"/>
      <c r="I7" s="236"/>
      <c r="J7" s="236"/>
      <c r="K7" s="236"/>
      <c r="L7" s="236"/>
      <c r="O7" s="235"/>
      <c r="P7" s="232"/>
      <c r="Q7" s="235"/>
      <c r="R7" s="232"/>
    </row>
    <row r="8">
      <c r="A8" s="23" t="s">
        <v>160</v>
      </c>
      <c r="D8" s="236"/>
      <c r="E8" s="231"/>
      <c r="F8" s="234"/>
      <c r="H8" s="236"/>
      <c r="I8" s="236"/>
      <c r="J8" s="236"/>
      <c r="K8" s="236"/>
      <c r="L8" s="236"/>
      <c r="O8" s="235"/>
      <c r="P8" s="232"/>
      <c r="Q8" s="235"/>
      <c r="R8" s="232"/>
    </row>
    <row r="9">
      <c r="A9" s="23" t="s">
        <v>161</v>
      </c>
      <c r="C9" s="237"/>
      <c r="D9" s="236"/>
      <c r="E9" s="230"/>
      <c r="F9" s="230"/>
      <c r="H9" s="236"/>
      <c r="I9" s="236"/>
      <c r="J9" s="236"/>
      <c r="K9" s="236"/>
      <c r="L9" s="236"/>
    </row>
    <row r="10">
      <c r="A10" s="23" t="s">
        <v>162</v>
      </c>
      <c r="I10" s="236"/>
      <c r="J10" s="236"/>
      <c r="K10" s="238"/>
      <c r="L10" s="238"/>
    </row>
    <row r="11">
      <c r="A11" s="23" t="s">
        <v>62</v>
      </c>
      <c r="C11" s="26"/>
      <c r="D11" s="26"/>
    </row>
    <row r="12">
      <c r="A12" s="23" t="s">
        <v>63</v>
      </c>
      <c r="D12" s="236"/>
    </row>
    <row r="13">
      <c r="D13" s="236"/>
    </row>
    <row r="14">
      <c r="D14" s="236"/>
    </row>
    <row r="15">
      <c r="D15" s="236"/>
    </row>
    <row r="16">
      <c r="D16" s="236"/>
    </row>
    <row r="17">
      <c r="D17" s="236"/>
    </row>
    <row r="18">
      <c r="D18" s="236"/>
    </row>
    <row r="19">
      <c r="C19" s="237"/>
      <c r="D19" s="236"/>
    </row>
    <row r="21" ht="15.75" customHeight="1">
      <c r="C21" s="26"/>
      <c r="D21" s="26"/>
    </row>
    <row r="22" ht="15.75" customHeight="1">
      <c r="D22" s="236"/>
    </row>
    <row r="23" ht="15.75" customHeight="1">
      <c r="D23" s="236"/>
    </row>
    <row r="24" ht="15.75" customHeight="1">
      <c r="D24" s="236"/>
    </row>
    <row r="25" ht="15.75" customHeight="1">
      <c r="D25" s="236"/>
    </row>
    <row r="26" ht="15.75" customHeight="1">
      <c r="D26" s="236"/>
    </row>
    <row r="27" ht="15.75" customHeight="1">
      <c r="D27" s="236"/>
    </row>
    <row r="28" ht="15.75" customHeight="1">
      <c r="D28" s="236"/>
    </row>
    <row r="29" ht="15.75" customHeight="1">
      <c r="C29" s="237"/>
      <c r="D29" s="236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O1:Q1"/>
  </mergeCells>
  <printOptions/>
  <pageMargins bottom="0.75" footer="0.0" header="0.0" left="0.7" right="0.7" top="0.75"/>
  <pageSetup orientation="portrait"/>
  <drawing r:id="rId1"/>
</worksheet>
</file>